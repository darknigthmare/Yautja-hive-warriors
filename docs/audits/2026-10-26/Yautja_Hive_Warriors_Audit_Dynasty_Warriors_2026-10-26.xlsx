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51130cfb5c4f8b" /></Relationships>
</file>

<file path=xl/workbook.xml><?xml version="1.0" encoding="utf-8"?>
<x:workbook xmlns:x="http://schemas.openxmlformats.org/spreadsheetml/2006/main">
  <x:sheets>
    <x:sheet xmlns:r="http://schemas.openxmlformats.org/officeDocument/2006/relationships" name="Synthese" sheetId="1" r:id="Rd5cc322ca0ae49e9"/>
    <x:sheet xmlns:r="http://schemas.openxmlformats.org/officeDocument/2006/relationships" name="Effectifs" sheetId="2" r:id="Rccd2b25affb64d17"/>
    <x:sheet xmlns:r="http://schemas.openxmlformats.org/officeDocument/2006/relationships" name="Manquants" sheetId="3" r:id="R7c96f1552db745dd"/>
    <x:sheet xmlns:r="http://schemas.openxmlformats.org/officeDocument/2006/relationships" name="Comparatif_DW" sheetId="4" r:id="Rb743831927f94d2b"/>
    <x:sheet xmlns:r="http://schemas.openxmlformats.org/officeDocument/2006/relationships" name="Groupes" sheetId="5" r:id="Rfb9353c170cd445a"/>
    <x:sheet xmlns:r="http://schemas.openxmlformats.org/officeDocument/2006/relationships" name="Fronts" sheetId="6" r:id="R8503240e47f147f3"/>
    <x:sheet xmlns:r="http://schemas.openxmlformats.org/officeDocument/2006/relationships" name="Cartes_zones" sheetId="7" r:id="R15e161650ab841f8"/>
    <x:sheet xmlns:r="http://schemas.openxmlformats.org/officeDocument/2006/relationships" name="Boss_et_elites" sheetId="8" r:id="R001d3b7f19a1488b"/>
    <x:sheet xmlns:r="http://schemas.openxmlformats.org/officeDocument/2006/relationships" name="Fidelite" sheetId="9" r:id="R026e0c3bc52b4565"/>
    <x:sheet xmlns:r="http://schemas.openxmlformats.org/officeDocument/2006/relationships" name="Validation" sheetId="10" r:id="Rf8de692499834399"/>
    <x:sheet xmlns:r="http://schemas.openxmlformats.org/officeDocument/2006/relationships" name="Feuille_route" sheetId="11" r:id="R5e4777610e7443e3"/>
    <x:sheet xmlns:r="http://schemas.openxmlformats.org/officeDocument/2006/relationships" name="Etat_verifie" sheetId="12" r:id="R05bf99e1d59e4528"/>
    <x:sheet xmlns:r="http://schemas.openxmlformats.org/officeDocument/2006/relationships" name="Affrontements" sheetId="13" r:id="R2770f1afec1049c8"/>
    <x:sheet xmlns:r="http://schemas.openxmlformats.org/officeDocument/2006/relationships" name="Bestiaire_medias" sheetId="14" r:id="R27b14dbe897e45a8"/>
    <x:sheet xmlns:r="http://schemas.openxmlformats.org/officeDocument/2006/relationships" name="Lieux_medias" sheetId="15" r:id="R7a411dba73004d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dd/mm/yyyy"/>
    <x:numFmt numFmtId="202" formatCode="+0"/>
  </x:numFmts>
  <x:fonts count="9">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s>
  <x:fills count="14">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1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6" borderId="0" xfId="0" applyNumberFormat="1" applyFont="1" applyFill="1" applyBorder="1" applyAlignment="1">
      <x:alignment horizontal="right" vertical="top" wrapText="1"/>
    </x:xf>
    <x:xf numFmtId="0" fontId="1" fillId="7" borderId="0" xfId="0" applyNumberFormat="1" applyFont="1" applyFill="1" applyBorder="1" applyAlignment="1">
      <x:alignment horizontal="right" vertical="top" wrapText="1"/>
    </x:xf>
    <x:xf numFmtId="200" fontId="1" fillId="6" borderId="0" xfId="0" applyNumberFormat="1" applyFont="1" applyFill="1" applyBorder="1" applyAlignment="1">
      <x:alignment horizontal="right" vertical="top" wrapText="1"/>
    </x:xf>
    <x:xf numFmtId="200" fontId="1" fillId="7" borderId="0" xfId="0" applyNumberFormat="1" applyFont="1" applyFill="1" applyBorder="1" applyAlignment="1">
      <x:alignment horizontal="right" vertical="top" wrapText="1"/>
    </x:xf>
    <x:xf numFmtId="0" fontId="6" fillId="7" borderId="0"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3"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8" borderId="0" xfId="0" applyNumberFormat="1" applyFont="1" applyFill="1" applyBorder="1" applyAlignment="1">
      <x:alignment vertical="center"/>
    </x:xf>
    <x:xf numFmtId="0" fontId="5" fillId="8" borderId="0" xfId="0" applyNumberFormat="1" applyFont="1" applyFill="1" applyBorder="1" applyAlignment="1">
      <x:alignment vertical="center"/>
    </x:xf>
    <x:xf numFmtId="0" fontId="5" fillId="8" borderId="2" xfId="0" applyNumberFormat="1" applyFont="1" applyFill="1" applyBorder="1" applyAlignment="1">
      <x:alignment vertical="center"/>
    </x:xf>
    <x:xf numFmtId="0" fontId="5" fillId="8" borderId="3"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2" xfId="0" applyNumberFormat="1" applyFont="1" applyFill="1" applyBorder="1" applyAlignment="1">
      <x:alignment vertical="center" wrapText="1"/>
    </x:xf>
    <x:xf numFmtId="0" fontId="5" fillId="8" borderId="3" xfId="0" applyNumberFormat="1" applyFont="1" applyFill="1" applyBorder="1" applyAlignment="1">
      <x:alignment vertical="center" wrapText="1"/>
    </x:xf>
    <x:xf numFmtId="0" fontId="5" fillId="8" borderId="4" xfId="0" applyNumberFormat="1" applyFont="1" applyFill="1" applyBorder="1" applyAlignment="1">
      <x:alignment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5" fillId="8" borderId="4" xfId="0" applyNumberFormat="1" applyFont="1" applyFill="1" applyBorder="1" applyAlignment="1">
      <x:alignment horizontal="center" vertical="center" wrapText="1"/>
    </x:xf>
    <x:xf numFmtId="0" fontId="4" fillId="6" borderId="0" xfId="0" applyNumberFormat="1" applyFont="1" applyFill="1" applyBorder="1" applyAlignment="1">
      <x:alignment vertical="center"/>
    </x:xf>
    <x:xf numFmtId="200" fontId="1" fillId="0"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202" fontId="1" fillId="2" borderId="0" xfId="0" applyNumberFormat="1" applyFont="1" applyFill="1" applyBorder="1" applyAlignment="1">
      <x:alignment vertical="center"/>
    </x:xf>
    <x:xf numFmtId="0" fontId="1" fillId="7" borderId="0" xfId="0" applyNumberFormat="1" applyFont="1" applyFill="1" applyBorder="1" applyAlignment="1">
      <x:alignment vertical="center"/>
    </x:xf>
    <x:xf numFmtId="202" fontId="1" fillId="7" borderId="0" xfId="0" applyNumberFormat="1" applyFont="1" applyFill="1" applyBorder="1" applyAlignment="1">
      <x:alignment vertical="center"/>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0" borderId="0" xfId="0" applyNumberFormat="1" applyFont="1" applyFill="1" applyBorder="1" applyAlignment="1">
      <x:alignment horizontal="right" vertical="top" wrapText="1"/>
    </x:xf>
    <x:xf numFmtId="0" fontId="1" fillId="11" borderId="0" xfId="0" applyNumberFormat="1" applyFont="1" applyFill="1" applyBorder="1" applyAlignment="1">
      <x:alignment horizontal="right" vertical="top" wrapText="1"/>
    </x:xf>
    <x:xf numFmtId="200" fontId="1" fillId="10" borderId="0" xfId="0" applyNumberFormat="1" applyFont="1" applyFill="1" applyBorder="1" applyAlignment="1">
      <x:alignment horizontal="right" vertical="top" wrapText="1"/>
    </x:xf>
    <x:xf numFmtId="200" fontId="1" fillId="11" borderId="0" xfId="0" applyNumberFormat="1" applyFont="1" applyFill="1" applyBorder="1" applyAlignment="1">
      <x:alignment horizontal="right" vertical="top" wrapText="1"/>
    </x:xf>
    <x:xf numFmtId="0" fontId="6" fillId="11"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1" fillId="10" borderId="0" xfId="0" applyNumberFormat="1" applyFont="1" applyFill="1" applyBorder="1" applyAlignment="1">
      <x:alignment vertical="center"/>
    </x:xf>
    <x:xf numFmtId="0" fontId="2" fillId="10" borderId="0" xfId="0" applyNumberFormat="1" applyFont="1" applyFill="1" applyBorder="1" applyAlignment="1">
      <x:alignment vertical="center"/>
    </x:xf>
    <x:xf numFmtId="0" fontId="1" fillId="10" borderId="1" xfId="0" applyNumberFormat="1" applyFont="1" applyFill="1" applyBorder="1" applyAlignment="1">
      <x:alignment vertical="center"/>
    </x:xf>
    <x:xf numFmtId="0" fontId="3" fillId="10" borderId="0" xfId="0" applyNumberFormat="1" applyFont="1" applyFill="1" applyBorder="1" applyAlignment="1">
      <x:alignment vertical="center"/>
    </x:xf>
    <x:xf numFmtId="0" fontId="1" fillId="10" borderId="0" xfId="0" applyNumberFormat="1" applyFont="1" applyFill="1" applyBorder="1" applyAlignment="1">
      <x:alignment vertical="center" wrapText="1"/>
    </x:xf>
    <x:xf numFmtId="0" fontId="1" fillId="12" borderId="0" xfId="0" applyNumberFormat="1" applyFont="1" applyFill="1" applyBorder="1" applyAlignment="1">
      <x:alignment vertical="center"/>
    </x:xf>
    <x:xf numFmtId="0" fontId="5" fillId="12" borderId="0" xfId="0" applyNumberFormat="1" applyFont="1" applyFill="1" applyBorder="1" applyAlignment="1">
      <x:alignment vertical="center"/>
    </x:xf>
    <x:xf numFmtId="0" fontId="5" fillId="12" borderId="2" xfId="0" applyNumberFormat="1" applyFont="1" applyFill="1" applyBorder="1" applyAlignment="1">
      <x:alignment vertical="center"/>
    </x:xf>
    <x:xf numFmtId="0" fontId="5" fillId="12" borderId="3" xfId="0" applyNumberFormat="1" applyFont="1" applyFill="1" applyBorder="1" applyAlignment="1">
      <x:alignment vertical="center"/>
    </x:xf>
    <x:xf numFmtId="0" fontId="5" fillId="12" borderId="4" xfId="0" applyNumberFormat="1" applyFont="1" applyFill="1" applyBorder="1" applyAlignment="1">
      <x:alignment vertical="center"/>
    </x:xf>
    <x:xf numFmtId="0" fontId="5" fillId="12" borderId="2" xfId="0" applyNumberFormat="1" applyFont="1" applyFill="1" applyBorder="1" applyAlignment="1">
      <x:alignment vertical="center" wrapText="1"/>
    </x:xf>
    <x:xf numFmtId="0" fontId="5" fillId="12" borderId="3" xfId="0" applyNumberFormat="1" applyFont="1" applyFill="1" applyBorder="1" applyAlignment="1">
      <x:alignment vertical="center" wrapText="1"/>
    </x:xf>
    <x:xf numFmtId="0" fontId="5" fillId="12" borderId="4" xfId="0" applyNumberFormat="1" applyFont="1" applyFill="1" applyBorder="1" applyAlignment="1">
      <x:alignment vertical="center" wrapText="1"/>
    </x:xf>
    <x:xf numFmtId="0" fontId="5" fillId="12" borderId="2" xfId="0" applyNumberFormat="1" applyFont="1" applyFill="1" applyBorder="1" applyAlignment="1">
      <x:alignment horizontal="center" vertical="center" wrapText="1"/>
    </x:xf>
    <x:xf numFmtId="0" fontId="5" fillId="12" borderId="3" xfId="0" applyNumberFormat="1" applyFont="1" applyFill="1" applyBorder="1" applyAlignment="1">
      <x:alignment horizontal="center" vertical="center" wrapText="1"/>
    </x:xf>
    <x:xf numFmtId="0" fontId="5" fillId="12" borderId="4" xfId="0" applyNumberFormat="1" applyFont="1" applyFill="1" applyBorder="1" applyAlignment="1">
      <x:alignment horizontal="center" vertical="center" wrapText="1"/>
    </x:xf>
    <x:xf numFmtId="0" fontId="4" fillId="10" borderId="0" xfId="0" applyNumberFormat="1" applyFont="1" applyFill="1" applyBorder="1" applyAlignment="1">
      <x:alignment vertical="center"/>
    </x:xf>
    <x:xf numFmtId="200" fontId="1" fillId="13" borderId="0" xfId="0" applyNumberFormat="1" applyFont="1" applyFill="1" applyBorder="1" applyAlignment="1">
      <x:alignment vertical="top" wrapText="1"/>
    </x:xf>
    <x:xf numFmtId="0" fontId="7" fillId="0" borderId="0" xfId="0" applyNumberFormat="1" applyFont="1" applyFill="1" applyBorder="1"/>
    <x:xf numFmtId="0" fontId="1" fillId="12" borderId="0" xfId="0" applyNumberFormat="1" applyFont="1" applyFill="1" applyBorder="1"/>
    <x:xf numFmtId="0" fontId="5" fillId="12" borderId="0" xfId="0" applyNumberFormat="1" applyFont="1" applyFill="1" applyBorder="1"/>
    <x:xf numFmtId="0" fontId="5" fillId="12" borderId="2" xfId="0" applyNumberFormat="1" applyFont="1" applyFill="1" applyBorder="1"/>
    <x:xf numFmtId="0" fontId="5" fillId="12" borderId="3" xfId="0" applyNumberFormat="1" applyFont="1" applyFill="1" applyBorder="1"/>
    <x:xf numFmtId="0" fontId="5" fillId="12" borderId="4" xfId="0" applyNumberFormat="1" applyFont="1" applyFill="1" applyBorder="1"/>
    <x:xf numFmtId="0" fontId="5" fillId="12" borderId="2" xfId="0" applyNumberFormat="1" applyFont="1" applyFill="1" applyBorder="1" applyAlignment="1">
      <x:alignment wrapText="1"/>
    </x:xf>
    <x:xf numFmtId="0" fontId="5" fillId="12" borderId="3" xfId="0" applyNumberFormat="1" applyFont="1" applyFill="1" applyBorder="1" applyAlignment="1">
      <x:alignment wrapText="1"/>
    </x:xf>
    <x:xf numFmtId="0" fontId="5" fillId="12" borderId="4" xfId="0" applyNumberFormat="1" applyFont="1" applyFill="1" applyBorder="1" applyAlignment="1">
      <x:alignment wrapText="1"/>
    </x:xf>
    <x:xf numFmtId="0" fontId="5" fillId="12" borderId="2" xfId="0" applyNumberFormat="1" applyFont="1" applyFill="1" applyBorder="1" applyAlignment="1">
      <x:alignment horizontal="center" wrapText="1"/>
    </x:xf>
    <x:xf numFmtId="0" fontId="5" fillId="12" borderId="3" xfId="0" applyNumberFormat="1" applyFont="1" applyFill="1" applyBorder="1" applyAlignment="1">
      <x:alignment horizontal="center" wrapText="1"/>
    </x:xf>
    <x:xf numFmtId="0" fontId="5" fillId="12" borderId="4" xfId="0" applyNumberFormat="1" applyFont="1" applyFill="1" applyBorder="1" applyAlignment="1">
      <x:alignment horizontal="center" wrapText="1"/>
    </x:xf>
    <x:xf numFmtId="202" fontId="1" fillId="0" borderId="0" xfId="0" applyNumberFormat="1" applyFont="1" applyFill="1" applyBorder="1"/>
    <x:xf numFmtId="0" fontId="1" fillId="11" borderId="0" xfId="0" applyNumberFormat="1" applyFont="1" applyFill="1" applyBorder="1"/>
    <x:xf numFmtId="202" fontId="1" fillId="11" borderId="0" xfId="0" applyNumberFormat="1" applyFont="1" applyFill="1" applyBorder="1"/>
  </x:cellXfs>
  <x:cellStyles count="1">
    <x:cellStyle name="Normal" xfId="0"/>
  </x:cellStyles>
  <x:dxfs count="55">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f984edaa4344e4" /><Relationship Type="http://schemas.openxmlformats.org/officeDocument/2006/relationships/theme" Target="/xl/theme/theme1.xml" Id="Rbc39715b838147e9" /><Relationship Type="http://schemas.openxmlformats.org/officeDocument/2006/relationships/sharedStrings" Target="/xl/sharedStrings.xml" Id="Rf27351c01c774fc5" /><Relationship Type="http://schemas.openxmlformats.org/officeDocument/2006/relationships/worksheet" Target="/xl/worksheets/sheet1.xml" Id="Rd5cc322ca0ae49e9" /><Relationship Type="http://schemas.openxmlformats.org/officeDocument/2006/relationships/worksheet" Target="/xl/worksheets/sheet2.xml" Id="Rccd2b25affb64d17" /><Relationship Type="http://schemas.openxmlformats.org/officeDocument/2006/relationships/worksheet" Target="/xl/worksheets/sheet3.xml" Id="R7c96f1552db745dd" /><Relationship Type="http://schemas.openxmlformats.org/officeDocument/2006/relationships/worksheet" Target="/xl/worksheets/sheet4.xml" Id="Rb743831927f94d2b" /><Relationship Type="http://schemas.openxmlformats.org/officeDocument/2006/relationships/worksheet" Target="/xl/worksheets/sheet5.xml" Id="Rfb9353c170cd445a" /><Relationship Type="http://schemas.openxmlformats.org/officeDocument/2006/relationships/worksheet" Target="/xl/worksheets/sheet6.xml" Id="R8503240e47f147f3" /><Relationship Type="http://schemas.openxmlformats.org/officeDocument/2006/relationships/worksheet" Target="/xl/worksheets/sheet7.xml" Id="R15e161650ab841f8" /><Relationship Type="http://schemas.openxmlformats.org/officeDocument/2006/relationships/worksheet" Target="/xl/worksheets/sheet8.xml" Id="R001d3b7f19a1488b" /><Relationship Type="http://schemas.openxmlformats.org/officeDocument/2006/relationships/worksheet" Target="/xl/worksheets/sheet9.xml" Id="R026e0c3bc52b4565" /><Relationship Type="http://schemas.openxmlformats.org/officeDocument/2006/relationships/worksheet" Target="/xl/worksheets/sheet10.xml" Id="Rf8de692499834399" /><Relationship Type="http://schemas.openxmlformats.org/officeDocument/2006/relationships/worksheet" Target="/xl/worksheets/sheet11.xml" Id="R5e4777610e7443e3" /><Relationship Type="http://schemas.openxmlformats.org/officeDocument/2006/relationships/worksheet" Target="/xl/worksheets/sheet12.xml" Id="R05bf99e1d59e4528" /><Relationship Type="http://schemas.openxmlformats.org/officeDocument/2006/relationships/worksheet" Target="/xl/worksheets/sheet13.xml" Id="R2770f1afec1049c8" /><Relationship Type="http://schemas.openxmlformats.org/officeDocument/2006/relationships/worksheet" Target="/xl/worksheets/sheet14.xml" Id="R27b14dbe897e45a8" /><Relationship Type="http://schemas.openxmlformats.org/officeDocument/2006/relationships/worksheet" Target="/xl/worksheets/sheet15.xml" Id="R7a411dba73004d63" /></Relationships>
</file>

<file path=xl/tables/table1.xml><?xml version="1.0" encoding="utf-8"?>
<x:table xmlns:x="http://schemas.openxmlformats.org/spreadsheetml/2006/main" id="11" name="BattleBudgets" displayName="BattleBudgets" ref="A6:O23" headerRowCount="1" totalsRowCount="0" totalsRowShown="0">
  <x:autoFilter ref="A6:O23"/>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68" headerRowCount="1" totalsRowCount="0" totalsRowShown="0">
  <x:autoFilter ref="A6:M68"/>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46" headerRowCount="1" totalsRowCount="0" totalsRowShown="0">
  <x:autoFilter ref="A6:M46"/>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40" headerRowCount="1" totalsRowCount="0" totalsRowShown="0">
  <x:autoFilter ref="A6:Q40"/>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45" headerRowCount="1" totalsRowCount="0" totalsRowShown="0">
  <x:autoFilter ref="A6:P45"/>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ables/table12.xml><?xml version="1.0" encoding="utf-8"?>
<x:table xmlns:x="http://schemas.openxmlformats.org/spreadsheetml/2006/main" id="12" name="AffrontementsTable" displayName="AffrontementsTable" ref="A6:V33" headerRowCount="1" totalsRowCount="0" totalsRowShown="0">
  <x:autoFilter ref="A6:V33"/>
  <x:tableColumns count="22">
    <x:tableColumn id="1" name="ID"/>
    <x:tableColumn id="2" name="Affrontement"/>
    <x:tableColumn id="3" name="Type de guerre"/>
    <x:tableColumn id="4" name="Carte et lieu"/>
    <x:tableColumn id="5" name="Fronts associés"/>
    <x:tableColumn id="6" name="Gabarit d’effectifs"/>
    <x:tableColumn id="7" name="Camp du joueur"/>
    <x:tableColumn id="8" name="Camp adverse"/>
    <x:tableColumn id="9" name="Tiers / civils"/>
    <x:tableColumn id="10" name="Groupes alliés"/>
    <x:tableColumn id="11" name="Groupes adverses"/>
    <x:tableColumn id="12" name="Implantation initiale"/>
    <x:tableColumn id="13" name="Réserves et renforts"/>
    <x:tableColumn id="14" name="Objectifs"/>
    <x:tableColumn id="15" name="Victoire"/>
    <x:tableColumn id="16" name="Défaite"/>
    <x:tableColumn id="17" name="Commandement"/>
    <x:tableColumn id="18" name="Boss et chefs"/>
    <x:tableColumn id="19" name="Conséquences entre fronts"/>
    <x:tableColumn id="20" name="Continuité / fiction"/>
    <x:tableColumn id="21" name="Priorité"/>
    <x:tableColumn id="22" name="Critères de validation"/>
  </x:tableColumns>
  <x:tableStyleInfo name="TableStyleLight9" showFirstColumn="0" showLastColumn="0" showRowStripes="1" showColumnStripes="0"/>
</x:table>
</file>

<file path=xl/tables/table13.xml><?xml version="1.0" encoding="utf-8"?>
<x:table xmlns:x="http://schemas.openxmlformats.org/spreadsheetml/2006/main" id="13" name="BestiaireMediasTable" displayName="BestiaireMediasTable" ref="A6:U121" headerRowCount="1" totalsRowCount="0" totalsRowShown="0">
  <x:autoFilter ref="A6:U121"/>
  <x:tableColumns count="21">
    <x:tableColumn id="1" name="ID"/>
    <x:tableColumn id="2" name="Famille / faction"/>
    <x:tableColumn id="3" name="Profil, forme ou dispositif"/>
    <x:tableColumn id="4" name="Nature de l’entrée"/>
    <x:tableColumn id="5" name="Éligibilité au spawn"/>
    <x:tableColumn id="6" name="Œuvre de référence"/>
    <x:tableColumn id="7" name="Média"/>
    <x:tableColumn id="8" name="Continuité / périmètre"/>
    <x:tableColumn id="9" name="Niveau de preuve"/>
    <x:tableColumn id="10" name="Fait établi par la source"/>
    <x:tableColumn id="11" name="Source et portée"/>
    <x:tableColumn id="12" name="URL de la source"/>
    <x:tableColumn id="13" name="État dans le code 0f37cc52"/>
    <x:tableColumn id="14" name="Preuve de code / limites"/>
    <x:tableColumn id="15" name="Travail restant proposé"/>
    <x:tableColumn id="16" name="Rôle de combat proposé"/>
    <x:tableColumn id="17" name="Règle de groupe proposée"/>
    <x:tableColumn id="18" name="Affrontements compatibles"/>
    <x:tableColumn id="19" name="Lieux compatibles"/>
    <x:tableColumn id="20" name="Restrictions de cohérence"/>
    <x:tableColumn id="21" name="Priorité"/>
  </x:tableColumns>
  <x:tableStyleInfo name="TableStyleLight9" showFirstColumn="0" showLastColumn="0" showRowStripes="1" showColumnStripes="0"/>
</x:table>
</file>

<file path=xl/tables/table14.xml><?xml version="1.0" encoding="utf-8"?>
<x:table xmlns:x="http://schemas.openxmlformats.org/spreadsheetml/2006/main" id="14" name="LieuxMediasTable" displayName="LieuxMediasTable" ref="A6:L33" headerRowCount="1" totalsRowCount="0" totalsRowShown="0">
  <x:autoFilter ref="A6:L33"/>
  <x:tableColumns count="12">
    <x:tableColumn id="1" name="ID"/>
    <x:tableColumn id="2" name="Lieu documenté"/>
    <x:tableColumn id="3" name="Œuvre de référence"/>
    <x:tableColumn id="4" name="Média"/>
    <x:tableColumn id="5" name="Continuité / périmètre"/>
    <x:tableColumn id="6" name="Niveau de preuve"/>
    <x:tableColumn id="7" name="Fait établi par la source"/>
    <x:tableColumn id="8" name="Source et portée"/>
    <x:tableColumn id="9" name="URL de la source"/>
    <x:tableColumn id="10" name="Affrontements compatibles"/>
    <x:tableColumn id="11" name="Implantation proposée"/>
    <x:tableColumn id="12" name="Restrictions de cohérence"/>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ae8aabe4e8848c8" /></Relationships>
</file>

<file path=xl/worksheets/_rels/sheet3.xml.rels>&#65279;<?xml version="1.0" encoding="utf-8"?><Relationships xmlns="http://schemas.openxmlformats.org/package/2006/relationships"><Relationship Type="http://schemas.openxmlformats.org/officeDocument/2006/relationships/table" Target="/xl/tables/table2.xml" Id="R39815ce864d14479" /></Relationships>
</file>

<file path=xl/worksheets/_rels/sheet4.xml.rels>&#65279;<?xml version="1.0" encoding="utf-8"?><Relationships xmlns="http://schemas.openxmlformats.org/package/2006/relationships"><Relationship Type="http://schemas.openxmlformats.org/officeDocument/2006/relationships/table" Target="/xl/tables/table3.xml" Id="R90ba00dc0e784acd" /></Relationships>
</file>

<file path=xl/worksheets/_rels/sheet5.xml.rels>&#65279;<?xml version="1.0" encoding="utf-8"?><Relationships xmlns="http://schemas.openxmlformats.org/package/2006/relationships"><Relationship Type="http://schemas.openxmlformats.org/officeDocument/2006/relationships/table" Target="/xl/tables/table4.xml" Id="R308bd54505be4246" /></Relationships>
</file>

<file path=xl/worksheets/_rels/sheet6.xml.rels>&#65279;<?xml version="1.0" encoding="utf-8"?><Relationships xmlns="http://schemas.openxmlformats.org/package/2006/relationships"><Relationship Type="http://schemas.openxmlformats.org/officeDocument/2006/relationships/table" Target="/xl/tables/table5.xml" Id="R30eaea90c73f4250" /></Relationships>
</file>

<file path=xl/worksheets/_rels/sheet7.xml.rels>&#65279;<?xml version="1.0" encoding="utf-8"?><Relationships xmlns="http://schemas.openxmlformats.org/package/2006/relationships"><Relationship Type="http://schemas.openxmlformats.org/officeDocument/2006/relationships/table" Target="/xl/tables/table6.xml" Id="R0b65d6b4aa214613" /></Relationships>
</file>

<file path=xl/worksheets/_rels/sheet8.xml.rels>&#65279;<?xml version="1.0" encoding="utf-8"?><Relationships xmlns="http://schemas.openxmlformats.org/package/2006/relationships"><Relationship Type="http://schemas.openxmlformats.org/officeDocument/2006/relationships/table" Target="/xl/tables/table7.xml" Id="R93bc5417b7b94cb1" /></Relationships>
</file>

<file path=xl/worksheets/_rels/sheet9.xml.rels>&#65279;<?xml version="1.0" encoding="utf-8"?><Relationships xmlns="http://schemas.openxmlformats.org/package/2006/relationships"><Relationship Type="http://schemas.openxmlformats.org/officeDocument/2006/relationships/table" Target="/xl/tables/table8.xml" Id="R4d2e3299580e44a1" /></Relationships>
</file>

<file path=xl/worksheets/_rels/sheet10.xml.rels>&#65279;<?xml version="1.0" encoding="utf-8"?><Relationships xmlns="http://schemas.openxmlformats.org/package/2006/relationships"><Relationship Type="http://schemas.openxmlformats.org/officeDocument/2006/relationships/table" Target="/xl/tables/table9.xml" Id="R9b84e92280094a17" /></Relationships>
</file>

<file path=xl/worksheets/_rels/sheet11.xml.rels>&#65279;<?xml version="1.0" encoding="utf-8"?><Relationships xmlns="http://schemas.openxmlformats.org/package/2006/relationships"><Relationship Type="http://schemas.openxmlformats.org/officeDocument/2006/relationships/table" Target="/xl/tables/table10.xml" Id="R12b84ced8d3f484b" /></Relationships>
</file>

<file path=xl/worksheets/_rels/sheet12.xml.rels>&#65279;<?xml version="1.0" encoding="utf-8"?><Relationships xmlns="http://schemas.openxmlformats.org/package/2006/relationships"><Relationship Type="http://schemas.openxmlformats.org/officeDocument/2006/relationships/table" Target="/xl/tables/table11.xml" Id="R1a6d102ce706498d" /></Relationships>
</file>

<file path=xl/worksheets/_rels/sheet13.xml.rels>&#65279;<?xml version="1.0" encoding="utf-8"?><Relationships xmlns="http://schemas.openxmlformats.org/package/2006/relationships"><Relationship Type="http://schemas.openxmlformats.org/officeDocument/2006/relationships/table" Target="/xl/tables/table12.xml" Id="R0e6cca8acd4a486a" /></Relationships>
</file>

<file path=xl/worksheets/_rels/sheet14.xml.rels>&#65279;<?xml version="1.0" encoding="utf-8"?><Relationships xmlns="http://schemas.openxmlformats.org/package/2006/relationships"><Relationship Type="http://schemas.openxmlformats.org/officeDocument/2006/relationships/table" Target="/xl/tables/table13.xml" Id="Rd33c984047684c00" /></Relationships>
</file>

<file path=xl/worksheets/_rels/sheet15.xml.rels>&#65279;<?xml version="1.0" encoding="utf-8"?><Relationships xmlns="http://schemas.openxmlformats.org/package/2006/relationships"><Relationship Type="http://schemas.openxmlformats.org/officeDocument/2006/relationships/table" Target="/xl/tables/table14.xml" Id="R767cfccc0ae5448d"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Comparer les états du projet, prioriser les corrections et construire des batailles de masse cohérentes avec Alien / Predator.</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référence</x:v>
      </x:c>
      <x:c r="B6" s="31" t="d">
        <x:v>2026-10-26T12:00:00.000Z</x:v>
      </x:c>
      <x:c r="C6" s="3"/>
      <x:c r="D6" s="3"/>
      <x:c r="E6" s="3" t="str">
        <x:v>Révision GitHub</x:v>
      </x:c>
      <x:c r="F6" s="3" t="str">
        <x:v>0f37cc52f9d8</x:v>
      </x:c>
      <x:c r="G6" s="3"/>
      <x:c r="H6" s="3"/>
      <x:c r="I6" s="3" t="str">
        <x:v>Documents détaillés</x:v>
      </x:c>
      <x:c r="J6" s="3" t="n">
        <x:v>14</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126</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0</x:v>
      </x:c>
      <x:c r="C14" s="3"/>
      <x:c r="D14" s="3"/>
      <x:c r="E14" s="3"/>
      <x:c r="F14" s="3"/>
      <x:c r="G14" s="3"/>
      <x:c r="H14" s="3"/>
      <x:c r="I14" s="3" t="str">
        <x:v>À valider</x:v>
      </x:c>
      <x:c r="J14" s="3" t="n">
        <x:f>COUNTIFS('Manquants'!$E$7:$E$132,I14)</x:f>
        <x:v>6</x:v>
      </x:c>
      <x:c r="K14" s="3"/>
      <x:c r="L14" s="3"/>
    </x:row>
    <x:row r="15">
      <x:c r="A15" s="3" t="str">
        <x:v>À valider</x:v>
      </x:c>
      <x:c r="B15" s="3" t="n">
        <x:f>COUNTIFS('Manquants'!$N$7:$N$132,A15)</x:f>
        <x:v>0</x:v>
      </x:c>
      <x:c r="C15" s="3"/>
      <x:c r="D15" s="3"/>
      <x:c r="E15" s="3"/>
      <x:c r="F15" s="3"/>
      <x:c r="G15" s="3"/>
      <x:c r="H15" s="3"/>
      <x:c r="I15" s="3"/>
      <x:c r="J15" s="3"/>
      <x:c r="K15" s="3"/>
      <x:c r="L15" s="3"/>
    </x:row>
    <x:row r="16">
      <x:c r="A16" s="3" t="str">
        <x:v>Terminé</x:v>
      </x:c>
      <x:c r="B16" s="3" t="n">
        <x:f>COUNTIFS('Manquants'!$N$7:$N$132,A16)</x:f>
        <x:v>0</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2" t="str">
        <x:v>Extension des affrontements</x:v>
      </x:c>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ht="36" customHeight="1">
      <x:c r="A39" s="61" t="str">
        <x:v>Ajout de conception</x:v>
      </x:c>
      <x:c r="B39" s="62" t="str">
        <x:v>Ajouts</x:v>
      </x:c>
      <x:c r="C39" s="63" t="str">
        <x:v>Catalogue</x:v>
      </x:c>
      <x:c r="D39" s="3"/>
      <x:c r="E39" s="3"/>
      <x:c r="F39" s="3" t="str">
        <x:v>Scénarios détaillés dans l’onglet Affrontements.</x:v>
      </x:c>
      <x:c r="G39" s="3"/>
      <x:c r="H39" s="3"/>
      <x:c r="I39" s="3"/>
      <x:c r="J39" s="3"/>
      <x:c r="K39" s="3"/>
      <x:c r="L39" s="3"/>
    </x:row>
    <x:row r="40" ht="25" customHeight="1">
      <x:c r="A40" s="3" t="str">
        <x:v>Affrontements</x:v>
      </x:c>
      <x:c r="B40" s="67" t="n">
        <x:f>COUNTA('Affrontements'!$A$7:$A$18)-0</x:f>
        <x:v>12</x:v>
      </x:c>
      <x:c r="C40" s="3" t="n">
        <x:f>COUNTA('Affrontements'!$A$7:$A$18)</x:f>
        <x:v>12</x:v>
      </x:c>
      <x:c r="D40" s="3"/>
      <x:c r="E40" s="3"/>
      <x:c r="F40" s="3"/>
      <x:c r="G40" s="3"/>
      <x:c r="H40" s="3"/>
      <x:c r="I40" s="3"/>
      <x:c r="J40" s="3"/>
      <x:c r="K40" s="3"/>
      <x:c r="L40" s="3"/>
    </x:row>
    <x:row r="41" ht="25" customHeight="1">
      <x:c r="A41" s="68" t="str">
        <x:v>Fiches de cartes</x:v>
      </x:c>
      <x:c r="B41" s="69" t="n">
        <x:f>COUNTA('Cartes_zones'!$A$7:$A$27)-13</x:f>
        <x:v>8</x:v>
      </x:c>
      <x:c r="C41" s="68" t="n">
        <x:f>COUNTA('Cartes_zones'!$A$7:$A$27)</x:f>
        <x:v>21</x:v>
      </x:c>
      <x:c r="D41" s="3"/>
      <x:c r="E41" s="3"/>
      <x:c r="F41" s="3" t="str">
        <x:v>Les 126 actions et l’état du code v65.5 restent l’audit initial.</x:v>
      </x:c>
      <x:c r="G41" s="3"/>
      <x:c r="H41" s="3"/>
      <x:c r="I41" s="3"/>
      <x:c r="J41" s="3"/>
      <x:c r="K41" s="3"/>
      <x:c r="L41" s="3"/>
    </x:row>
    <x:row r="42" ht="25" customHeight="1">
      <x:c r="A42" s="3" t="str">
        <x:v>Groupes catalogués</x:v>
      </x:c>
      <x:c r="B42" s="67" t="n">
        <x:f>COUNTA('Groupes'!$A$7:$A$48)-30</x:f>
        <x:v>12</x:v>
      </x:c>
      <x:c r="C42" s="3" t="n">
        <x:f>COUNTA('Groupes'!$A$7:$A$48)</x:f>
        <x:v>42</x:v>
      </x:c>
      <x:c r="D42" s="3"/>
      <x:c r="E42" s="3"/>
      <x:c r="F42" s="3"/>
      <x:c r="G42" s="3"/>
      <x:c r="H42" s="3"/>
      <x:c r="I42" s="3"/>
      <x:c r="J42" s="3"/>
      <x:c r="K42" s="3"/>
      <x:c r="L42" s="3"/>
    </x:row>
    <x:row r="43" ht="25" customHeight="1">
      <x:c r="A43" s="68" t="str">
        <x:v>Fiches de rencontre</x:v>
      </x:c>
      <x:c r="B43" s="69" t="n">
        <x:f>COUNTA('Boss_et_elites'!$A$7:$A$37)-25</x:f>
        <x:v>6</x:v>
      </x:c>
      <x:c r="C43" s="68" t="n">
        <x:f>COUNTA('Boss_et_elites'!$A$7:$A$37)</x:f>
        <x:v>31</x:v>
      </x:c>
      <x:c r="D43" s="3"/>
      <x:c r="E43" s="3"/>
      <x:c r="F43" s="3" t="str">
        <x:v>Les nouveaux scénarios sont des propositions de conception.</x:v>
      </x:c>
      <x:c r="G43" s="3"/>
      <x:c r="H43" s="3"/>
      <x:c r="I43" s="3"/>
      <x:c r="J43" s="3"/>
      <x:c r="K43" s="3"/>
      <x:c r="L43" s="3"/>
    </x:row>
    <x:row r="44" ht="25" customHeight="1">
      <x:c r="A44" s="3" t="str">
        <x:v>Gabarits d’effectifs</x:v>
      </x:c>
      <x:c r="B44" s="67" t="n">
        <x:f>COUNTA('Effectifs'!$A$7:$A$19)-8</x:f>
        <x:v>5</x:v>
      </x:c>
      <x:c r="C44" s="3" t="n">
        <x:f>COUNTA('Effectifs'!$A$7:$A$19)</x:f>
        <x:v>13</x:v>
      </x:c>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2" t="str">
        <x:v>Règles communes de l’extension</x:v>
      </x:c>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ht="21" customHeight="1">
      <x:c r="A49" s="3" t="str">
        <x:v>1. Les nouveaux clans, lieux et déroulements de mission sont créés pour le projet. Leur présence ne certifie pas un événement ou un rite canonique.</x:v>
      </x:c>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ht="21" customHeight="1">
      <x:c r="A51" s="3" t="str">
        <x:v>2. Les scénarios sont des presets indépendants. Si une campagne les relie, elle conserve l’identité, la mort, la capture et le retrait des chefs et des groupes.</x:v>
      </x:c>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ht="21" customHeight="1">
      <x:c r="A53" s="3" t="str">
        <x:v>3. Les forces actives, distantes et de réserve sont trois états exclusifs. Actif signifie simulé en détail, pas nécessairement visible. Les fronts partagent</x:v>
      </x:c>
      <x:c r="B53" s="3"/>
      <x:c r="C53" s="3"/>
      <x:c r="D53" s="3"/>
      <x:c r="E53" s="3"/>
      <x:c r="F53" s="3"/>
      <x:c r="G53" s="3"/>
      <x:c r="H53" s="3"/>
      <x:c r="I53" s="3"/>
      <x:c r="J53" s="3"/>
      <x:c r="K53" s="3"/>
      <x:c r="L53" s="3"/>
    </x:row>
    <x:row r="54" ht="21" customHeight="1">
      <x:c r="A54" s="3" t="str">
        <x:v>l’allocation globale, les chefs sont inclus et le joueur est séparé des PNJ.</x:v>
      </x:c>
      <x:c r="B54" s="3"/>
      <x:c r="C54" s="3"/>
      <x:c r="D54" s="3"/>
      <x:c r="E54" s="3"/>
      <x:c r="F54" s="3"/>
      <x:c r="G54" s="3"/>
      <x:c r="H54" s="3"/>
      <x:c r="I54" s="3"/>
      <x:c r="J54" s="3"/>
      <x:c r="K54" s="3"/>
      <x:c r="L54" s="3"/>
    </x:row>
    <x:row r="55">
      <x:c r="A55" s="3"/>
      <x:c r="B55" s="3"/>
      <x:c r="C55" s="3"/>
      <x:c r="D55" s="3"/>
      <x:c r="E55" s="3"/>
      <x:c r="F55" s="3"/>
      <x:c r="G55" s="3"/>
      <x:c r="H55" s="3"/>
      <x:c r="I55" s="3"/>
      <x:c r="J55" s="3"/>
      <x:c r="K55" s="3"/>
      <x:c r="L55" s="3"/>
    </x:row>
    <x:row r="56" ht="21" customHeight="1">
      <x:c r="A56" s="1" t="str">
        <x:v>4. Les civils, personnes blessées non combattantes et matériels sont suivis séparément. Leurs plafonds de représentation doivent entrer dans le profilage de la scène</x:v>
      </x:c>
      <x:c r="B56" s="1"/>
      <x:c r="C56" s="1"/>
      <x:c r="D56" s="1"/>
      <x:c r="E56" s="1"/>
      <x:c r="F56" s="1"/>
      <x:c r="G56" s="1"/>
      <x:c r="H56" s="1"/>
      <x:c r="I56" s="1"/>
      <x:c r="J56" s="1"/>
      <x:c r="K56" s="1"/>
      <x:c r="L56" s="1"/>
    </x:row>
    <x:row r="57" ht="21" customHeight="1">
      <x:c r="A57" s="1" t="str">
        <x:v>complète.</x:v>
      </x:c>
      <x:c r="B57" s="1"/>
      <x:c r="C57" s="1"/>
      <x:c r="D57" s="1"/>
      <x:c r="E57" s="1"/>
      <x:c r="F57" s="1"/>
      <x:c r="G57" s="1"/>
      <x:c r="H57" s="1"/>
      <x:c r="I57" s="1"/>
      <x:c r="J57" s="1"/>
      <x:c r="K57" s="1"/>
      <x:c r="L57" s="1"/>
    </x:row>
    <x:row r="59" ht="21" customHeight="1">
      <x:c r="A59" s="1" t="str">
        <x:v>5. Les factions humaines respectent l’époque du scénario. Les relations sont définies par les objectifs et les événements ; une trêve ne crée aucune unité</x:v>
      </x:c>
      <x:c r="B59" s="1"/>
      <x:c r="C59" s="1"/>
      <x:c r="D59" s="1"/>
      <x:c r="E59" s="1"/>
      <x:c r="F59" s="1"/>
      <x:c r="G59" s="1"/>
      <x:c r="H59" s="1"/>
      <x:c r="I59" s="1"/>
      <x:c r="J59" s="1"/>
      <x:c r="K59" s="1"/>
      <x:c r="L59" s="1"/>
    </x:row>
    <x:row r="60" ht="21" customHeight="1">
      <x:c r="A60" s="1" t="str">
        <x:v>supplémentaire.</x:v>
      </x:c>
      <x:c r="B60" s="1"/>
      <x:c r="C60" s="1"/>
      <x:c r="D60" s="1"/>
      <x:c r="E60" s="1"/>
      <x:c r="F60" s="1"/>
      <x:c r="G60" s="1"/>
      <x:c r="H60" s="1"/>
      <x:c r="I60" s="1"/>
      <x:c r="J60" s="1"/>
      <x:c r="K60" s="1"/>
      <x:c r="L60" s="1"/>
    </x:row>
    <x:row r="65">
      <x:c r="A65" s="96" t="str">
        <x:v>Bestiaire, lieux et opérations issus des médias</x:v>
      </x:c>
      <x:c r="B65" s="1"/>
      <x:c r="C65" s="1"/>
      <x:c r="D65" s="1"/>
      <x:c r="E65" s="1"/>
      <x:c r="F65" s="1"/>
      <x:c r="G65" s="1"/>
      <x:c r="H65" s="1"/>
      <x:c r="I65" s="1"/>
      <x:c r="J65" s="1"/>
      <x:c r="K65" s="1"/>
      <x:c r="L65" s="1"/>
    </x:row>
    <x:row r="66">
      <x:c r="A66" s="1"/>
      <x:c r="B66" s="1"/>
      <x:c r="C66" s="1"/>
      <x:c r="D66" s="1"/>
      <x:c r="E66" s="1"/>
      <x:c r="F66" s="1"/>
      <x:c r="G66" s="1"/>
      <x:c r="H66" s="1"/>
      <x:c r="I66" s="1"/>
      <x:c r="J66" s="1"/>
      <x:c r="K66" s="1"/>
      <x:c r="L66" s="1"/>
    </x:row>
    <x:row r="67" ht="25" customHeight="1">
      <x:c r="A67" s="91" t="str">
        <x:v>Ajout au catalogue</x:v>
      </x:c>
      <x:c r="B67" s="92" t="str">
        <x:v>Ajouts</x:v>
      </x:c>
      <x:c r="C67" s="93" t="str">
        <x:v>Total actuel</x:v>
      </x:c>
      <x:c r="D67" s="1"/>
      <x:c r="E67" s="1"/>
      <x:c r="F67" s="1" t="str">
        <x:v>Provenance, preuve et continuité figurent à côté de chaque entrée dans les onglets</x:v>
      </x:c>
      <x:c r="G67" s="1"/>
      <x:c r="H67" s="1"/>
      <x:c r="I67" s="1"/>
      <x:c r="J67" s="1"/>
      <x:c r="K67" s="1"/>
      <x:c r="L67" s="1"/>
    </x:row>
    <x:row r="68" ht="25" customHeight="1">
      <x:c r="A68" s="1" t="str">
        <x:v>Profils et dispositifs</x:v>
      </x:c>
      <x:c r="B68" s="108" t="n">
        <x:f>COUNTA('Bestiaire_medias'!$A$7:$A$121)-0</x:f>
        <x:v>115</x:v>
      </x:c>
      <x:c r="C68" s="1" t="n">
        <x:f>COUNTA('Bestiaire_medias'!$A$7:$A$121)</x:f>
        <x:v>115</x:v>
      </x:c>
      <x:c r="D68" s="1"/>
      <x:c r="E68" s="1"/>
      <x:c r="F68" s="1" t="str">
        <x:v>médias.</x:v>
      </x:c>
      <x:c r="G68" s="1"/>
      <x:c r="H68" s="1"/>
      <x:c r="I68" s="1"/>
      <x:c r="J68" s="1"/>
      <x:c r="K68" s="1"/>
      <x:c r="L68" s="1"/>
    </x:row>
    <x:row r="69" ht="25" customHeight="1">
      <x:c r="A69" s="109" t="str">
        <x:v>Références de lieux</x:v>
      </x:c>
      <x:c r="B69" s="110" t="n">
        <x:f>COUNTA('Lieux_medias'!$A$7:$A$33)-0</x:f>
        <x:v>27</x:v>
      </x:c>
      <x:c r="C69" s="109" t="n">
        <x:f>COUNTA('Lieux_medias'!$A$7:$A$33)</x:f>
        <x:v>27</x:v>
      </x:c>
      <x:c r="D69" s="1"/>
      <x:c r="E69" s="1"/>
      <x:c r="F69" s="1"/>
      <x:c r="G69" s="1"/>
      <x:c r="H69" s="1"/>
      <x:c r="I69" s="1"/>
      <x:c r="J69" s="1"/>
      <x:c r="K69" s="1"/>
      <x:c r="L69" s="1"/>
    </x:row>
    <x:row r="70" ht="25" customHeight="1">
      <x:c r="A70" s="1" t="str">
        <x:v>Affrontements</x:v>
      </x:c>
      <x:c r="B70" s="108" t="n">
        <x:f>COUNTA('Affrontements'!$A$7:$A$33)-12</x:f>
        <x:v>15</x:v>
      </x:c>
      <x:c r="C70" s="1" t="n">
        <x:f>COUNTA('Affrontements'!$A$7:$A$33)</x:f>
        <x:v>27</x:v>
      </x:c>
      <x:c r="D70" s="1"/>
      <x:c r="E70" s="1"/>
      <x:c r="F70" s="1" t="str">
        <x:v>Le bloc précédent conserve les totaux arrêtés lors de l’extension des guerres de</x:v>
      </x:c>
      <x:c r="G70" s="1"/>
      <x:c r="H70" s="1"/>
      <x:c r="I70" s="1"/>
      <x:c r="J70" s="1"/>
      <x:c r="K70" s="1"/>
      <x:c r="L70" s="1"/>
    </x:row>
    <x:row r="71" ht="25" customHeight="1">
      <x:c r="A71" s="109" t="str">
        <x:v>Fiches de cartes</x:v>
      </x:c>
      <x:c r="B71" s="110" t="n">
        <x:f>COUNTA('Cartes_zones'!$A$7:$A$40)-21</x:f>
        <x:v>13</x:v>
      </x:c>
      <x:c r="C71" s="109" t="n">
        <x:f>COUNTA('Cartes_zones'!$A$7:$A$40)</x:f>
        <x:v>34</x:v>
      </x:c>
      <x:c r="D71" s="1"/>
      <x:c r="E71" s="1"/>
      <x:c r="F71" s="1" t="str">
        <x:v>clans.</x:v>
      </x:c>
      <x:c r="G71" s="1"/>
      <x:c r="H71" s="1"/>
      <x:c r="I71" s="1"/>
      <x:c r="J71" s="1"/>
      <x:c r="K71" s="1"/>
      <x:c r="L71" s="1"/>
    </x:row>
    <x:row r="72" ht="25" customHeight="1">
      <x:c r="A72" s="1" t="str">
        <x:v>Groupes catalogués</x:v>
      </x:c>
      <x:c r="B72" s="108" t="n">
        <x:f>COUNTA('Groupes'!$A$7:$A$68)-42</x:f>
        <x:v>20</x:v>
      </x:c>
      <x:c r="C72" s="1" t="n">
        <x:f>COUNTA('Groupes'!$A$7:$A$68)</x:f>
        <x:v>62</x:v>
      </x:c>
      <x:c r="D72" s="1"/>
      <x:c r="E72" s="1"/>
      <x:c r="F72" s="1"/>
      <x:c r="G72" s="1"/>
      <x:c r="H72" s="1"/>
      <x:c r="I72" s="1"/>
      <x:c r="J72" s="1"/>
      <x:c r="K72" s="1"/>
      <x:c r="L72" s="1"/>
    </x:row>
    <x:row r="73" ht="25" customHeight="1">
      <x:c r="A73" s="109" t="str">
        <x:v>Fiches de rencontre</x:v>
      </x:c>
      <x:c r="B73" s="110" t="n">
        <x:f>COUNTA('Boss_et_elites'!$A$7:$A$45)-31</x:f>
        <x:v>8</x:v>
      </x:c>
      <x:c r="C73" s="109" t="n">
        <x:f>COUNTA('Boss_et_elites'!$A$7:$A$45)</x:f>
        <x:v>39</x:v>
      </x:c>
      <x:c r="D73" s="1"/>
      <x:c r="E73" s="1"/>
      <x:c r="F73" s="1" t="str">
        <x:v>Les 126 constats du code restent ceux de l’audit v65.5, arrêté au commit 0f37cc52.</x:v>
      </x:c>
      <x:c r="G73" s="1"/>
      <x:c r="H73" s="1"/>
      <x:c r="I73" s="1"/>
      <x:c r="J73" s="1"/>
      <x:c r="K73" s="1"/>
      <x:c r="L73" s="1"/>
    </x:row>
    <x:row r="74" ht="25" customHeight="1">
      <x:c r="A74" s="1" t="str">
        <x:v>Gabarits d’effectifs</x:v>
      </x:c>
      <x:c r="B74" s="108" t="n">
        <x:f>COUNTA('Effectifs'!$A$7:$A$23)-13</x:f>
        <x:v>4</x:v>
      </x:c>
      <x:c r="C74" s="1" t="n">
        <x:f>COUNTA('Effectifs'!$A$7:$A$23)</x:f>
        <x:v>17</x:v>
      </x:c>
      <x:c r="D74" s="1"/>
      <x:c r="E74" s="1"/>
      <x:c r="F74" s="1"/>
      <x:c r="G74" s="1"/>
      <x:c r="H74" s="1"/>
      <x:c r="I74" s="1"/>
      <x:c r="J74" s="1"/>
      <x:c r="K74" s="1"/>
      <x:c r="L74" s="1"/>
    </x:row>
    <x:row r="75" ht="25" customHeight="1">
      <x:c r="A75" s="109" t="str">
        <x:v>Opérations de fronts</x:v>
      </x:c>
      <x:c r="B75" s="110" t="n">
        <x:f>COUNTA('Fronts'!$A$7:$A$46)-25</x:f>
        <x:v>15</x:v>
      </x:c>
      <x:c r="C75" s="109" t="n">
        <x:f>COUNTA('Fronts'!$A$7:$A$46)</x:f>
        <x:v>40</x:v>
      </x:c>
      <x:c r="D75" s="1"/>
      <x:c r="E75" s="1"/>
      <x:c r="F75" s="1"/>
      <x:c r="G75" s="1"/>
      <x:c r="H75" s="1"/>
      <x:c r="I75" s="1"/>
      <x:c r="J75" s="1"/>
      <x:c r="K75" s="1"/>
      <x:c r="L75" s="1"/>
    </x:row>
    <x:row r="76">
      <x:c r="A76" s="1"/>
      <x:c r="B76" s="1"/>
      <x:c r="C76" s="1"/>
      <x:c r="D76" s="1"/>
      <x:c r="E76" s="1"/>
      <x:c r="F76" s="1"/>
      <x:c r="G76" s="1"/>
      <x:c r="H76" s="1"/>
      <x:c r="I76" s="1"/>
      <x:c r="J76" s="1"/>
      <x:c r="K76" s="1"/>
      <x:c r="L76" s="1"/>
    </x:row>
    <x:row r="77">
      <x:c r="A77" s="1"/>
      <x:c r="B77" s="1"/>
      <x:c r="C77" s="1"/>
      <x:c r="D77" s="1"/>
      <x:c r="E77" s="1"/>
      <x:c r="F77" s="1"/>
      <x:c r="G77" s="1"/>
      <x:c r="H77" s="1"/>
      <x:c r="I77" s="1"/>
      <x:c r="J77" s="1"/>
      <x:c r="K77" s="1"/>
      <x:c r="L77" s="1"/>
    </x:row>
    <x:row r="78">
      <x:c r="A78" s="96" t="str">
        <x:v>Règles de provenance et d’adaptation</x:v>
      </x:c>
      <x:c r="B78" s="1"/>
      <x:c r="C78" s="1"/>
      <x:c r="D78" s="1"/>
      <x:c r="E78" s="1"/>
      <x:c r="F78" s="1"/>
      <x:c r="G78" s="1"/>
      <x:c r="H78" s="1"/>
      <x:c r="I78" s="1"/>
      <x:c r="J78" s="1"/>
      <x:c r="K78" s="1"/>
      <x:c r="L78" s="1"/>
    </x:row>
    <x:row r="80" ht="21" customHeight="1">
      <x:c r="A80" s="1" t="str">
        <x:v>1. Le terme caste est réservé au cas où l’œuvre le justifie : stades, classes de jeu, métiers humains, matériel et individus sont distingués.</x:v>
      </x:c>
      <x:c r="B80" s="1"/>
      <x:c r="C80" s="1"/>
      <x:c r="D80" s="1"/>
      <x:c r="E80" s="1"/>
      <x:c r="F80" s="1"/>
      <x:c r="G80" s="1"/>
      <x:c r="H80" s="1"/>
      <x:c r="I80" s="1"/>
      <x:c r="J80" s="1"/>
      <x:c r="K80" s="1"/>
      <x:c r="L80" s="1"/>
    </x:row>
    <x:row r="82" ht="21" customHeight="1">
      <x:c r="A82" s="1" t="str">
        <x:v>2. Une preuve de nom ou de design, notamment une fiche de figurine officielle, ne valide pas tous les pouvoirs attribués à un personnage.</x:v>
      </x:c>
      <x:c r="B82" s="1"/>
      <x:c r="C82" s="1"/>
      <x:c r="D82" s="1"/>
      <x:c r="E82" s="1"/>
      <x:c r="F82" s="1"/>
      <x:c r="G82" s="1"/>
      <x:c r="H82" s="1"/>
      <x:c r="I82" s="1"/>
      <x:c r="J82" s="1"/>
      <x:c r="K82" s="1"/>
      <x:c r="L82" s="1"/>
    </x:row>
    <x:row r="84" ht="21" customHeight="1">
      <x:c r="A84" s="1" t="str">
        <x:v>3. Un individu unique n’entre jamais dans une réserve de clones ; les noms, apparitions et décès restent persistants.</x:v>
      </x:c>
      <x:c r="B84" s="1"/>
      <x:c r="C84" s="1"/>
      <x:c r="D84" s="1"/>
      <x:c r="E84" s="1"/>
      <x:c r="F84" s="1"/>
      <x:c r="G84" s="1"/>
      <x:c r="H84" s="1"/>
      <x:c r="I84" s="1"/>
      <x:c r="J84" s="1"/>
      <x:c r="K84" s="1"/>
      <x:c r="L84" s="1"/>
    </x:row>
    <x:row r="86" ht="21" customHeight="1">
      <x:c r="A86" s="1" t="str">
        <x:v>4. Présence d’un lieu attestée ; plan, dimensions, fronts, populations et scénarios musou proposés séparément.</x:v>
      </x:c>
      <x:c r="B86" s="1"/>
      <x:c r="C86" s="1"/>
      <x:c r="D86" s="1"/>
      <x:c r="E86" s="1"/>
      <x:c r="F86" s="1"/>
      <x:c r="G86" s="1"/>
      <x:c r="H86" s="1"/>
      <x:c r="I86" s="1"/>
      <x:c r="J86" s="1"/>
      <x:c r="K86" s="1"/>
      <x:c r="L86" s="1"/>
    </x:row>
    <x:row r="88" ht="21" customHeight="1">
      <x:c r="A88" s="1" t="str">
        <x:v>5. Les capacités non sourcées restent à vérifier et les dossiers exclus ne rejoignent pas les listes de spawn.</x:v>
      </x:c>
      <x:c r="B88" s="1"/>
      <x:c r="C88" s="1"/>
      <x:c r="D88" s="1"/>
      <x:c r="E88" s="1"/>
      <x:c r="F88" s="1"/>
      <x:c r="G88" s="1"/>
      <x:c r="H88" s="1"/>
      <x:c r="I88" s="1"/>
      <x:c r="J88" s="1"/>
      <x:c r="K88" s="1"/>
      <x:c r="L88" s="1"/>
    </x:row>
    <x:row r="90" ht="21" customHeight="1">
      <x:c r="A90" s="1" t="str">
        <x:v>6. Les chiffres sont des allocations de conception à profiler. Une reconstitution exige de relever ses effectifs dans l’œuvre.</x:v>
      </x:c>
      <x:c r="B90" s="1"/>
      <x:c r="C90" s="1"/>
      <x:c r="D90" s="1"/>
      <x:c r="E90" s="1"/>
      <x:c r="F90" s="1"/>
      <x:c r="G90" s="1"/>
      <x:c r="H90" s="1"/>
      <x:c r="I90" s="1"/>
      <x:c r="J90" s="1"/>
      <x:c r="K90" s="1"/>
      <x:c r="L90" s="1"/>
    </x:row>
    <x:row r="92" ht="21" customHeight="1">
      <x:c r="A92" s="1" t="str">
        <x:v>7. Les anciens 126 constats du code restent rattachés au même commit v65.5 ; ce catalogue ne constitue pas une nouvelle mesure de la production.</x:v>
      </x:c>
      <x:c r="B92" s="1"/>
      <x:c r="C92" s="1"/>
      <x:c r="D92" s="1"/>
      <x:c r="E92" s="1"/>
      <x:c r="F92" s="1"/>
      <x:c r="G92" s="1"/>
      <x:c r="H92" s="1"/>
      <x:c r="I92" s="1"/>
      <x:c r="J92" s="1"/>
      <x:c r="K92" s="1"/>
      <x:c r="L92" s="1"/>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row r="15" ht="76.5" customHeight="1">
      <x:c r="A15" s="39" t="str">
        <x:v>EFF-09</x:v>
      </x:c>
      <x:c r="B15" s="39" t="str">
        <x:v>Clans rivaux — escarmouche de chasseurs</x:v>
      </x:c>
      <x:c r="C15" s="66" t="n">
        <x:v>16</x:v>
      </x:c>
      <x:c r="D15" s="66" t="n">
        <x:v>8</x:v>
      </x:c>
      <x:c r="E15" s="66" t="n">
        <x:v>1</x:v>
      </x:c>
      <x:c r="F15" s="65" t="n">
        <x:f>IF(COUNT(C15:E15)=3,SUM(C15:E15),"n.a.")</x:f>
        <x:v>25</x:v>
      </x:c>
      <x:c r="G15" s="66" t="n">
        <x:v>32</x:v>
      </x:c>
      <x:c r="H15" s="66" t="n">
        <x:v>8</x:v>
      </x:c>
      <x:c r="I15" s="66" t="n">
        <x:v>16</x:v>
      </x:c>
      <x:c r="J15" s="66" t="n">
        <x:v>4</x:v>
      </x:c>
      <x:c r="K15" s="65" t="n">
        <x:f>IF(COUNT(C15,G15,I15)=3,SUM(C15,G15,I15),"n.a.")</x:f>
        <x:v>64</x:v>
      </x:c>
      <x:c r="L15" s="65" t="n">
        <x:f>IF(COUNT(D15,H15,J15)=3,SUM(D15,H15,J15),"n.a.")</x:f>
        <x:v>20</x:v>
      </x:c>
      <x:c r="M15" s="65" t="n">
        <x:f>IF(COUNT(K15:L15,E15)=3,SUM(K15:L15,E15),"n.a.")</x:f>
        <x:v>85</x:v>
      </x:c>
      <x:c r="N15" s="66" t="n">
        <x:v>3</x:v>
      </x:c>
      <x:c r="O15" s="39" t="str">
        <x:v>Proposition originale : 64 Yautja adverses et 20 alliés PNJ alloués. Cellules spécialisées et effectifs finis ; chefs inclus dans les groupes. Trois fronts partagent 16 ennemis et 8 alliés PNJ actifs au total. Le joueur est séparé. Renforts limités par les réserves et les routes ; aucun chiffre canonique ni performance certifiée.</x:v>
      </x:c>
    </x:row>
    <x:row r="16" ht="76.5" customHeight="1">
      <x:c r="A16" s="39" t="str">
        <x:v>EFF-10</x:v>
      </x:c>
      <x:c r="B16" s="39" t="str">
        <x:v>Clans rivaux — siège exceptionnel</x:v>
      </x:c>
      <x:c r="C16" s="66" t="n">
        <x:v>32</x:v>
      </x:c>
      <x:c r="D16" s="66" t="n">
        <x:v>16</x:v>
      </x:c>
      <x:c r="E16" s="66" t="n">
        <x:v>1</x:v>
      </x:c>
      <x:c r="F16" s="65" t="n">
        <x:f>IF(COUNT(C16:E16)=3,SUM(C16:E16),"n.a.")</x:f>
        <x:v>49</x:v>
      </x:c>
      <x:c r="G16" s="66" t="n">
        <x:v>64</x:v>
      </x:c>
      <x:c r="H16" s="66" t="n">
        <x:v>32</x:v>
      </x:c>
      <x:c r="I16" s="66" t="n">
        <x:v>32</x:v>
      </x:c>
      <x:c r="J16" s="66" t="n">
        <x:v>16</x:v>
      </x:c>
      <x:c r="K16" s="65" t="n">
        <x:f>IF(COUNT(C16,G16,I16)=3,SUM(C16,G16,I16),"n.a.")</x:f>
        <x:v>128</x:v>
      </x:c>
      <x:c r="L16" s="65" t="n">
        <x:f>IF(COUNT(D16,H16,J16)=3,SUM(D16,H16,J16),"n.a.")</x:f>
        <x:v>64</x:v>
      </x:c>
      <x:c r="M16" s="65" t="n">
        <x:f>IF(COUNT(K16:L16,E16)=3,SUM(K16:L16,E16),"n.a.")</x:f>
        <x:v>193</x:v>
      </x:c>
      <x:c r="N16" s="66" t="n">
        <x:v>4</x:v>
      </x:c>
      <x:c r="O16" s="39" t="str">
        <x:v>Guerre de clan originale exceptionnelle : 128 adversaires Yautja et 64 alliés PNJ alloués, dont 32 et 16 proches. Les quatre fronts se répartissent cette même force. Chefs, blessés combattants et équipages ne sont comptés qu’une fois. Civils, appareils et tourelles ont leurs compteurs séparés. À valider après EFF-09.</x:v>
      </x:c>
    </x:row>
    <x:row r="17" ht="76.5" customHeight="1">
      <x:c r="A17" s="39" t="str">
        <x:v>EFF-11</x:v>
      </x:c>
      <x:c r="B17" s="39" t="str">
        <x:v>Humains contemporains — capture et poursuite</x:v>
      </x:c>
      <x:c r="C17" s="66" t="n">
        <x:v>64</x:v>
      </x:c>
      <x:c r="D17" s="66" t="n">
        <x:v>4</x:v>
      </x:c>
      <x:c r="E17" s="66" t="n">
        <x:v>1</x:v>
      </x:c>
      <x:c r="F17" s="65" t="n">
        <x:f>IF(COUNT(C17:E17)=3,SUM(C17:E17),"n.a.")</x:f>
        <x:v>69</x:v>
      </x:c>
      <x:c r="G17" s="66" t="n">
        <x:v>128</x:v>
      </x:c>
      <x:c r="H17" s="66" t="n">
        <x:v>4</x:v>
      </x:c>
      <x:c r="I17" s="66" t="n">
        <x:v>64</x:v>
      </x:c>
      <x:c r="J17" s="66" t="n">
        <x:v>0</x:v>
      </x:c>
      <x:c r="K17" s="65" t="n">
        <x:f>IF(COUNT(C17,G17,I17)=3,SUM(C17,G17,I17),"n.a.")</x:f>
        <x:v>256</x:v>
      </x:c>
      <x:c r="L17" s="65" t="n">
        <x:f>IF(COUNT(D17,H17,J17)=3,SUM(D17,H17,J17),"n.a.")</x:f>
        <x:v>8</x:v>
      </x:c>
      <x:c r="M17" s="65" t="n">
        <x:f>IF(COUNT(K17:L17,E17)=3,SUM(K17:L17,E17),"n.a.")</x:f>
        <x:v>265</x:v>
      </x:c>
      <x:c r="N17" s="66" t="n">
        <x:v>3</x:v>
      </x:c>
      <x:c r="O17" s="39" t="str">
        <x:v>Mission originale contemporaine : 256 humains adverses et 8 Yautja alliés PNJ alloués. Trois fronts partagent les budgets actifs. Les unités viennent de postes, véhicules ou convois identifiés ; chaque transport transfère ses passagers sans duplication. Aucun armement futuriste importé. Civils hors budget combattants et hors objectifs de kills.</x:v>
      </x:c>
    </x:row>
    <x:row r="18" ht="90" customHeight="1">
      <x:c r="A18" s="39" t="str">
        <x:v>EFF-12</x:v>
      </x:c>
      <x:c r="B18" s="39" t="str">
        <x:v>Humains du futur — opération militaire</x:v>
      </x:c>
      <x:c r="C18" s="66" t="n">
        <x:v>128</x:v>
      </x:c>
      <x:c r="D18" s="66" t="n">
        <x:v>12</x:v>
      </x:c>
      <x:c r="E18" s="66" t="n">
        <x:v>1</x:v>
      </x:c>
      <x:c r="F18" s="65" t="n">
        <x:f>IF(COUNT(C18:E18)=3,SUM(C18:E18),"n.a.")</x:f>
        <x:v>141</x:v>
      </x:c>
      <x:c r="G18" s="66" t="n">
        <x:v>384</x:v>
      </x:c>
      <x:c r="H18" s="66" t="n">
        <x:v>12</x:v>
      </x:c>
      <x:c r="I18" s="66" t="n">
        <x:v>256</x:v>
      </x:c>
      <x:c r="J18" s="66" t="n">
        <x:v>8</x:v>
      </x:c>
      <x:c r="K18" s="65" t="n">
        <x:f>IF(COUNT(C18,G18,I18)=3,SUM(C18,G18,I18),"n.a.")</x:f>
        <x:v>768</x:v>
      </x:c>
      <x:c r="L18" s="65" t="n">
        <x:f>IF(COUNT(D18,H18,J18)=3,SUM(D18,H18,J18),"n.a.")</x:f>
        <x:v>32</x:v>
      </x:c>
      <x:c r="M18" s="65" t="n">
        <x:f>IF(COUNT(K18:L18,E18)=3,SUM(K18:L18,E18),"n.a.")</x:f>
        <x:v>801</x:v>
      </x:c>
      <x:c r="N18" s="66" t="n">
        <x:v>4</x:v>
      </x:c>
      <x:c r="O18" s="39" t="str">
        <x:v>Opération originale du futur : 768 adversaires et 32 Yautja alliés PNJ alloués sur quatre fronts. Le scénario précise la faction humaine et les éventuels synthétiques combattants ; aucun androïde ajouté en dehors de l’allocation. Les véhicules et tourelles sont du matériel, leurs équipages sont déjà comptés. Les civils et unités de maintenance restent séparés. Plafonds à profiler, pas capacités acquises.</x:v>
      </x:c>
    </x:row>
    <x:row r="19" ht="90" customHeight="1">
      <x:c r="A19" s="39" t="str">
        <x:v>EFF-13</x:v>
      </x:c>
      <x:c r="B19" s="39" t="str">
        <x:v>Plusieurs camps — rivalité Yautja et force humaine</x:v>
      </x:c>
      <x:c r="C19" s="66" t="n">
        <x:v>96</x:v>
      </x:c>
      <x:c r="D19" s="66" t="n">
        <x:v>12</x:v>
      </x:c>
      <x:c r="E19" s="66" t="n">
        <x:v>1</x:v>
      </x:c>
      <x:c r="F19" s="65" t="n">
        <x:f>IF(COUNT(C19:E19)=3,SUM(C19:E19),"n.a.")</x:f>
        <x:v>109</x:v>
      </x:c>
      <x:c r="G19" s="66" t="n">
        <x:v>192</x:v>
      </x:c>
      <x:c r="H19" s="66" t="n">
        <x:v>12</x:v>
      </x:c>
      <x:c r="I19" s="66" t="n">
        <x:v>96</x:v>
      </x:c>
      <x:c r="J19" s="66" t="n">
        <x:v>8</x:v>
      </x:c>
      <x:c r="K19" s="65" t="n">
        <x:f>IF(COUNT(C19,G19,I19)=3,SUM(C19,G19,I19),"n.a.")</x:f>
        <x:v>384</x:v>
      </x:c>
      <x:c r="L19" s="65" t="n">
        <x:f>IF(COUNT(D19,H19,J19)=3,SUM(D19,H19,J19),"n.a.")</x:f>
        <x:v>32</x:v>
      </x:c>
      <x:c r="M19" s="65" t="n">
        <x:f>IF(COUNT(K19:L19,E19)=3,SUM(K19:L19,E19),"n.a.")</x:f>
        <x:v>417</x:v>
      </x:c>
      <x:c r="N19" s="66" t="n">
        <x:v>4</x:v>
      </x:c>
      <x:c r="O19" s="39" t="str">
        <x:v>384 combattants initialement adverses, répartis entre deux camps indépendants, et 32 alliés PNJ. Chaque scénario ventile actifs/distants/réserves par camp et tous les fronts partagent ces plafonds. Une trêve change les relations sans dupliquer les unités ni créer des renforts. Les chefs sont inclus. Civils et matériel ont des compteurs et limites de représentation distincts. Conflit original à profiler.</x:v>
      </x:c>
    </x:row>
    <x:row r="20" ht="90" customHeight="1">
      <x:c r="A20" s="39" t="str">
        <x:v>EFF-14</x:v>
      </x:c>
      <x:c r="B20" s="39" t="str">
        <x:v>Trois espèces — guerre régionale à quatre fronts</x:v>
      </x:c>
      <x:c r="C20" s="95" t="n">
        <x:v>128</x:v>
      </x:c>
      <x:c r="D20" s="95" t="n">
        <x:v>8</x:v>
      </x:c>
      <x:c r="E20" s="95" t="n">
        <x:v>1</x:v>
      </x:c>
      <x:c r="F20" s="65" t="n">
        <x:f>IF(COUNT(C20:E20)=3,SUM(C20:E20),"n.a.")</x:f>
        <x:v>137</x:v>
      </x:c>
      <x:c r="G20" s="95" t="n">
        <x:v>480</x:v>
      </x:c>
      <x:c r="H20" s="95" t="n">
        <x:v>8</x:v>
      </x:c>
      <x:c r="I20" s="95" t="n">
        <x:v>320</x:v>
      </x:c>
      <x:c r="J20" s="95" t="n">
        <x:v>8</x:v>
      </x:c>
      <x:c r="K20" s="65" t="n">
        <x:f>IF(COUNT(C20,G20,I20)=3,SUM(C20,G20,I20),"n.a.")</x:f>
        <x:v>928</x:v>
      </x:c>
      <x:c r="L20" s="65" t="n">
        <x:f>IF(COUNT(D20,H20,J20)=3,SUM(D20,H20,J20),"n.a.")</x:f>
        <x:v>24</x:v>
      </x:c>
      <x:c r="M20" s="65" t="n">
        <x:f>IF(COUNT(K20:L20,E20)=3,SUM(K20:L20,E20),"n.a.")</x:f>
        <x:v>953</x:v>
      </x:c>
      <x:c r="N20" s="95" t="n">
        <x:v>4</x:v>
      </x:c>
      <x:c r="O20" s="39" t="str">
        <x:v>Cible de conception : Xénomorphes 96 actifs +384 distants +256 en réserve =736 ; force humaine/synthétique 32 +96 +64 =192 ; clan du joueur 8 +8 +8 =24 PNJ et un joueur séparé. Soit 928 adversaires initiaux, jamais tous simulés en détail. Les deux camps adverses ont leurs propres objectifs et relations. Chefs inclus, civils et matériel plafonnés séparément. Aucun chiffre canonique ni performance acquise.</x:v>
      </x:c>
    </x:row>
    <x:row r="21" ht="90" customHeight="1">
      <x:c r="A21" s="39" t="str">
        <x:v>EFF-15</x:v>
      </x:c>
      <x:c r="B21" s="39" t="str">
        <x:v>Infiltration de station — menace localisée</x:v>
      </x:c>
      <x:c r="C21" s="95" t="n">
        <x:v>12</x:v>
      </x:c>
      <x:c r="D21" s="95" t="n">
        <x:v>2</x:v>
      </x:c>
      <x:c r="E21" s="95" t="n">
        <x:v>1</x:v>
      </x:c>
      <x:c r="F21" s="65" t="n">
        <x:f>IF(COUNT(C21:E21)=3,SUM(C21:E21),"n.a.")</x:f>
        <x:v>15</x:v>
      </x:c>
      <x:c r="G21" s="95" t="n">
        <x:v>20</x:v>
      </x:c>
      <x:c r="H21" s="95" t="n">
        <x:v>2</x:v>
      </x:c>
      <x:c r="I21" s="95" t="n">
        <x:v>8</x:v>
      </x:c>
      <x:c r="J21" s="95" t="n">
        <x:v>0</x:v>
      </x:c>
      <x:c r="K21" s="65" t="n">
        <x:f>IF(COUNT(C21,G21,I21)=3,SUM(C21,G21,I21),"n.a.")</x:f>
        <x:v>40</x:v>
      </x:c>
      <x:c r="L21" s="65" t="n">
        <x:f>IF(COUNT(D21,H21,J21)=3,SUM(D21,H21,J21),"n.a.")</x:f>
        <x:v>4</x:v>
      </x:c>
      <x:c r="M21" s="65" t="n">
        <x:f>IF(COUNT(K21:L21,E21)=3,SUM(K21:L21,E21),"n.a.")</x:f>
        <x:v>45</x:v>
      </x:c>
      <x:c r="N21" s="95" t="n">
        <x:v>3</x:v>
      </x:c>
      <x:c r="O21" s="39" t="str">
        <x:v>Cible restreinte : 8 Xénomorphes au total (2 actifs,4 distants,2 réserve) et 32 adversaires humains ou synthétiques selon le preset (10,16,6), plus 4 Yautja alliés (2,2,0). Les robots de maintenance peuvent ignorer les Xénomorphes : présence de trois camps ne veut pas dire hostilité entre toutes les paires. Réserves finies, pas de vagues de milliers dans un théâtre de survie. Effectifs originaux.</x:v>
      </x:c>
    </x:row>
    <x:row r="22" ht="76.5" customHeight="1">
      <x:c r="A22" s="39" t="str">
        <x:v>EFF-16</x:v>
      </x:c>
      <x:c r="B22" s="39" t="str">
        <x:v>Variante humaine optionnelle — trois fronts contre une ruche</x:v>
      </x:c>
      <x:c r="C22" s="95" t="n">
        <x:v>96</x:v>
      </x:c>
      <x:c r="D22" s="95" t="n">
        <x:v>12</x:v>
      </x:c>
      <x:c r="E22" s="95" t="n">
        <x:v>1</x:v>
      </x:c>
      <x:c r="F22" s="65" t="n">
        <x:f>IF(COUNT(C22:E22)=3,SUM(C22:E22),"n.a.")</x:f>
        <x:v>109</x:v>
      </x:c>
      <x:c r="G22" s="95" t="n">
        <x:v>288</x:v>
      </x:c>
      <x:c r="H22" s="95" t="n">
        <x:v>12</x:v>
      </x:c>
      <x:c r="I22" s="95" t="n">
        <x:v>192</x:v>
      </x:c>
      <x:c r="J22" s="95" t="n">
        <x:v>8</x:v>
      </x:c>
      <x:c r="K22" s="65" t="n">
        <x:f>IF(COUNT(C22,G22,I22)=3,SUM(C22,G22,I22),"n.a.")</x:f>
        <x:v>576</x:v>
      </x:c>
      <x:c r="L22" s="65" t="n">
        <x:f>IF(COUNT(D22,H22,J22)=3,SUM(D22,H22,J22),"n.a.")</x:f>
        <x:v>32</x:v>
      </x:c>
      <x:c r="M22" s="65" t="n">
        <x:f>IF(COUNT(K22:L22,E22)=3,SUM(K22:L22,E22),"n.a.")</x:f>
        <x:v>609</x:v>
      </x:c>
      <x:c r="N22" s="95" t="n">
        <x:v>3</x:v>
      </x:c>
      <x:c r="O22" s="39" t="str">
        <x:v>576 Xénomorphes alloués et 32 alliés PNJ humains/synthétiques, plus un joueur humain. Mode secondaire proposé, nécessitant un personnage humain jouable non établi dans l’audit. Les identités synthétiques restent distinctes ; aucune copie de Steel Team. Les effectifs, formations et fronts sont originaux et à profiler.</x:v>
      </x:c>
    </x:row>
    <x:row r="23" ht="63" customHeight="1">
      <x:c r="A23" s="39" t="str">
        <x:v>EFF-17</x:v>
      </x:c>
      <x:c r="B23" s="39" t="str">
        <x:v>Traque de toundra — rencontres de faible densité</x:v>
      </x:c>
      <x:c r="C23" s="95" t="n">
        <x:v>4</x:v>
      </x:c>
      <x:c r="D23" s="95" t="n">
        <x:v>2</x:v>
      </x:c>
      <x:c r="E23" s="95" t="n">
        <x:v>1</x:v>
      </x:c>
      <x:c r="F23" s="65" t="n">
        <x:f>IF(COUNT(C23:E23)=3,SUM(C23:E23),"n.a.")</x:f>
        <x:v>7</x:v>
      </x:c>
      <x:c r="G23" s="95" t="n">
        <x:v>4</x:v>
      </x:c>
      <x:c r="H23" s="95" t="n">
        <x:v>2</x:v>
      </x:c>
      <x:c r="I23" s="95" t="n">
        <x:v>0</x:v>
      </x:c>
      <x:c r="J23" s="95" t="n">
        <x:v>0</x:v>
      </x:c>
      <x:c r="K23" s="65" t="n">
        <x:f>IF(COUNT(C23,G23,I23)=3,SUM(C23,G23,I23),"n.a.")</x:f>
        <x:v>8</x:v>
      </x:c>
      <x:c r="L23" s="65" t="n">
        <x:f>IF(COUNT(D23,H23,J23)=3,SUM(D23,H23,J23),"n.a.")</x:f>
        <x:v>4</x:v>
      </x:c>
      <x:c r="M23" s="65" t="n">
        <x:f>IF(COUNT(K23:L23,E23)=3,SUM(K23:L23,E23),"n.a.")</x:f>
        <x:v>13</x:v>
      </x:c>
      <x:c r="N23" s="95" t="n">
        <x:v>3</x:v>
      </x:c>
      <x:c r="O23" s="39" t="str">
        <x:v>8 adversaires alloués dont une Theta unique et 7 gardes d’avant-poste originaux ;4 Yautja alliés et un joueur. Aucun renfort de réserve. Une trêve avec Theta conserve son identifiant et change la relation, sans créer un combattant supplémentaire. Cible de scénario, pas effectif du comic.</x:v>
      </x:c>
    </x:row>
  </x:sheetData>
  <x:dataValidations count="24">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 type="whole" operator="between" sqref="C15:C19">
      <x:formula1>0</x:formula1>
      <x:formula2>100000</x:formula2>
    </x:dataValidation>
    <x:dataValidation type="whole" operator="between" sqref="D15:D19">
      <x:formula1>0</x:formula1>
      <x:formula2>100000</x:formula2>
    </x:dataValidation>
    <x:dataValidation type="whole" operator="between" sqref="E15:E19">
      <x:formula1>0</x:formula1>
      <x:formula2>100000</x:formula2>
    </x:dataValidation>
    <x:dataValidation type="whole" operator="between" sqref="G15:G19">
      <x:formula1>0</x:formula1>
      <x:formula2>100000</x:formula2>
    </x:dataValidation>
    <x:dataValidation type="whole" operator="between" sqref="H15:H19">
      <x:formula1>0</x:formula1>
      <x:formula2>100000</x:formula2>
    </x:dataValidation>
    <x:dataValidation type="whole" operator="between" sqref="I15:I19">
      <x:formula1>0</x:formula1>
      <x:formula2>100000</x:formula2>
    </x:dataValidation>
    <x:dataValidation type="whole" operator="between" sqref="J15:J19">
      <x:formula1>0</x:formula1>
      <x:formula2>100000</x:formula2>
    </x:dataValidation>
    <x:dataValidation type="whole" operator="between" sqref="N15:N19">
      <x:formula1>1</x:formula1>
      <x:formula2>32</x:formula2>
    </x:dataValidation>
    <x:dataValidation type="whole" operator="between" sqref="C20:C23">
      <x:formula1>0</x:formula1>
      <x:formula2>100000</x:formula2>
    </x:dataValidation>
    <x:dataValidation type="whole" operator="between" sqref="D20:D23">
      <x:formula1>0</x:formula1>
      <x:formula2>100000</x:formula2>
    </x:dataValidation>
    <x:dataValidation type="whole" operator="between" sqref="E20:E23">
      <x:formula1>0</x:formula1>
      <x:formula2>100000</x:formula2>
    </x:dataValidation>
    <x:dataValidation type="whole" operator="between" sqref="G20:G23">
      <x:formula1>0</x:formula1>
      <x:formula2>100000</x:formula2>
    </x:dataValidation>
    <x:dataValidation type="whole" operator="between" sqref="H20:H23">
      <x:formula1>0</x:formula1>
      <x:formula2>100000</x:formula2>
    </x:dataValidation>
    <x:dataValidation type="whole" operator="between" sqref="I20:I23">
      <x:formula1>0</x:formula1>
      <x:formula2>100000</x:formula2>
    </x:dataValidation>
    <x:dataValidation type="whole" operator="between" sqref="J20:J23">
      <x:formula1>0</x:formula1>
      <x:formula2>100000</x:formula2>
    </x:dataValidation>
    <x:dataValidation type="whole" operator="between" sqref="N20:N23">
      <x:formula1>1</x:formula1>
      <x:formula2>32</x:formula2>
    </x:dataValidation>
  </x:dataValidations>
  <x:pageMargins left="0.7" right="0.7" top="0.75" bottom="0.75" header="0.3" footer="0.3"/>
  <x:tableParts count="1">
    <x:tablePart xmlns:r="http://schemas.openxmlformats.org/officeDocument/2006/relationships" r:id="R3ae8aabe4e8848c8"/>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À faire</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À faire</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À faire</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faire</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À faire</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À faire</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À faire</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À faire</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À faire</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À faire</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faire</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À faire</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faire</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faire</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À faire</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À faire</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À faire</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À faire</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faire</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À faire</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À faire</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À faire</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À faire</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faire</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À faire</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À faire</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À faire</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À faire</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À faire</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faire</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À faire</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faire</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À faire</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faire</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À faire</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À faire</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faire</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À faire</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À faire</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À faire</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À faire</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faire</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À faire</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À faire</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À faire</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À faire</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faire</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À faire</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À faire</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faire</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faire</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À faire</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À faire</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À faire</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faire</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À faire</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À faire</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À faire</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À faire</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faire</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À faire</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À faire</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À faire</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À faire</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À faire</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faire</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À faire</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À faire</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À faire</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À faire</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faire</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À faire</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faire</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À faire</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faire</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À faire</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À faire</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À faire</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faire</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faire</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À faire</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À faire</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À faire</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À faire</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À faire</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À faire</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faire</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À faire</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faire</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faire</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faire</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À faire</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À faire</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À faire</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À faire</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À faire</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faire</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À faire</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faire</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À faire</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À faire</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À faire</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À faire</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faire</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faire</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À faire</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À faire</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faire</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faire</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À faire</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À faire</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À faire</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À faire</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À faire</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faire</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À faire</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À faire</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faire</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faire</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À faire</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faire</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À faire</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À faire</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À faire</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À faire</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À faire</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39815ce864d14479"/>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90ba00dc0e784ac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62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x:v>
      </x:c>
      <x:c r="M25" s="9" t="str">
        <x:v>À créer : arme et rôles de base</x:v>
      </x:c>
    </x:row>
    <x:row r="26" ht="24"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row r="37" ht="63" customHeight="1">
      <x:c r="A37" s="40" t="str">
        <x:v>GRP-31</x:v>
      </x:c>
      <x:c r="B37" s="40" t="str">
        <x:v>Yautja — modèle de détachement ; allégeance fixée par chaque opération</x:v>
      </x:c>
      <x:c r="C37" s="40" t="str">
        <x:v>Éclaireurs de relief</x:v>
      </x:c>
      <x:c r="D37" s="40" t="str">
        <x:v>Rôles de scénario originaux utilisables par le clan du joueur ou un clan rival ; aucun rang, caste ou rite canonique ajouté, aucune hostilité déduite de l’espèce.</x:v>
      </x:c>
      <x:c r="E37" s="40" t="str">
        <x:v>4 PNJ : 1 chef de piste, 2 éclaireurs, 1 observateur de couverture</x:v>
      </x:c>
      <x:c r="F37" s="44" t="n">
        <x:v>4</x:v>
      </x:c>
      <x:c r="G37" s="44" t="n">
        <x:v>4</x:v>
      </x:c>
      <x:c r="H37" s="40" t="str">
        <x:v>Quatre combattants PNJ ; joueur exclu ; chef et éventuel boss inclus, jamais ajoutés au quota.</x:v>
      </x:c>
      <x:c r="I37" s="40" t="str">
        <x:v>Chef de groupe inclus dans les quatre ; relais opérationnel propre à cette mission.</x:v>
      </x:c>
      <x:c r="J37" s="40" t="str">
        <x:v>Observer, marquer les accès et rompre le contact ; guider une interception sans affronter seuls une position fortifiée</x:v>
      </x:c>
      <x:c r="K37" s="40" t="str">
        <x:v>Corniche, piste ou débarcadère déjà accessible</x:v>
      </x:c>
      <x:c r="L37" s="40" t="str">
        <x:v>Pas de vision à travers toutes les parois ni détection parfaite du camouflage ; un contact doit être confirmé. Équipements autorisés par le profil du chasseur ; pas de multiplication automatique des armes rares.</x:v>
      </x:c>
      <x:c r="M37" s="40" t="str">
        <x:v>À créer : proposition de groupe spécialisé, à profiler</x:v>
      </x:c>
    </x:row>
    <x:row r="38" ht="63" customHeight="1">
      <x:c r="A38" s="41" t="str">
        <x:v>GRP-32</x:v>
      </x:c>
      <x:c r="B38" s="41" t="str">
        <x:v>Yautja — modèle de détachement ; allégeance fixée par chaque opération</x:v>
      </x:c>
      <x:c r="C38" s="41" t="str">
        <x:v>Intercepteurs de passage</x:v>
      </x:c>
      <x:c r="D38" s="41" t="str">
        <x:v>Rôles de scénario originaux utilisables par le clan du joueur ou un clan rival ; aucun rang, caste ou rite canonique ajouté, aucune hostilité déduite de l’espèce.</x:v>
      </x:c>
      <x:c r="E38" s="41" t="str">
        <x:v>4 PNJ : 1 chef d’interception, 2 combattants de proximité, 1 spécialiste de l’entrave</x:v>
      </x:c>
      <x:c r="F38" s="45" t="n">
        <x:v>4</x:v>
      </x:c>
      <x:c r="G38" s="45" t="n">
        <x:v>4</x:v>
      </x:c>
      <x:c r="H38" s="41" t="str">
        <x:v>Quatre combattants PNJ ; joueur exclu ; chef et éventuel boss inclus, jamais ajoutés au quota.</x:v>
      </x:c>
      <x:c r="I38" s="41" t="str">
        <x:v>Chef de groupe inclus dans les quatre ; relais opérationnel propre à cette mission.</x:v>
      </x:c>
      <x:c r="J38" s="41" t="str">
        <x:v>Contenir une voie, interrompre un mouvement puis se replier vers le passage suivant</x:v>
      </x:c>
      <x:c r="K38" s="41" t="str">
        <x:v>Piste raccordée ou position d’embuscade lisible</x:v>
      </x:c>
      <x:c r="L38" s="41" t="str">
        <x:v>Les entraves sont limitées, télégraphiées et destructibles ; aucune chaîne de contrôle sans issue. Équipements autorisés par le profil du chasseur ; pas de multiplication automatique des armes rares.</x:v>
      </x:c>
      <x:c r="M38" s="41" t="str">
        <x:v>À créer : proposition de groupe spécialisé, à profiler</x:v>
      </x:c>
    </x:row>
    <x:row r="39" ht="63" customHeight="1">
      <x:c r="A39" s="40" t="str">
        <x:v>GRP-33</x:v>
      </x:c>
      <x:c r="B39" s="40" t="str">
        <x:v>Yautja — modèle de détachement ; allégeance fixée par chaque opération</x:v>
      </x:c>
      <x:c r="C39" s="40" t="str">
        <x:v>Gardes de position</x:v>
      </x:c>
      <x:c r="D39" s="40" t="str">
        <x:v>Rôles de scénario originaux utilisables par le clan du joueur ou un clan rival ; aucun rang, caste ou rite canonique ajouté, aucune hostilité déduite de l’espèce.</x:v>
      </x:c>
      <x:c r="E39" s="40" t="str">
        <x:v>4 PNJ : 1 chef de poste, 2 gardes de contact, 1 appui à distance</x:v>
      </x:c>
      <x:c r="F39" s="44" t="n">
        <x:v>4</x:v>
      </x:c>
      <x:c r="G39" s="44" t="n">
        <x:v>4</x:v>
      </x:c>
      <x:c r="H39" s="40" t="str">
        <x:v>Quatre combattants PNJ ; joueur exclu ; chef et éventuel boss inclus, jamais ajoutés au quota.</x:v>
      </x:c>
      <x:c r="I39" s="40" t="str">
        <x:v>Chef de groupe inclus dans les quatre ; relais opérationnel propre à cette mission.</x:v>
      </x:c>
      <x:c r="J39" s="40" t="str">
        <x:v>Défendre un accès, garder un couvert et protéger un départ ; abandonner une position devenue intenable</x:v>
      </x:c>
      <x:c r="K39" s="40" t="str">
        <x:v>Garnison ou abri figurant sur la carte</x:v>
      </x:c>
      <x:c r="L39" s="40" t="str">
        <x:v>Un seul appui spécialisé par groupe ; munitions et couverture ne sont pas infinies. Équipements autorisés par le profil du chasseur ; pas de multiplication automatique des armes rares.</x:v>
      </x:c>
      <x:c r="M39" s="40" t="str">
        <x:v>À créer : proposition de groupe spécialisé, à profiler</x:v>
      </x:c>
    </x:row>
    <x:row r="40" ht="63" customHeight="1">
      <x:c r="A40" s="41" t="str">
        <x:v>GRP-34</x:v>
      </x:c>
      <x:c r="B40" s="41" t="str">
        <x:v>Yautja — modèle de détachement ; allégeance fixée par chaque opération</x:v>
      </x:c>
      <x:c r="C40" s="41" t="str">
        <x:v>Équipe de route et de réparation</x:v>
      </x:c>
      <x:c r="D40" s="41" t="str">
        <x:v>Rôles de scénario originaux utilisables par le clan du joueur ou un clan rival ; aucun rang, caste ou rite canonique ajouté, aucune hostilité déduite de l’espèce.</x:v>
      </x:c>
      <x:c r="E40" s="41" t="str">
        <x:v>4 PNJ : 1 chef technicien, 2 opérateurs, 1 garde de couverture</x:v>
      </x:c>
      <x:c r="F40" s="45" t="n">
        <x:v>4</x:v>
      </x:c>
      <x:c r="G40" s="45" t="n">
        <x:v>4</x:v>
      </x:c>
      <x:c r="H40" s="41" t="str">
        <x:v>Quatre combattants PNJ ; joueur exclu ; chef et éventuel boss inclus, jamais ajoutés au quota.</x:v>
      </x:c>
      <x:c r="I40" s="41" t="str">
        <x:v>Chef de groupe inclus dans les quatre ; relais opérationnel propre à cette mission.</x:v>
      </x:c>
      <x:c r="J40" s="41" t="str">
        <x:v>Déverrouiller, réparer, désactiver un relais ou préparer une voie de départ ; demander protection pendant le travail</x:v>
      </x:c>
      <x:c r="K40" s="41" t="str">
        <x:v>Atelier, dépôt ou véhicule déjà alloué au scénario</x:v>
      </x:c>
      <x:c r="L40" s="41" t="str">
        <x:v>La progression de travail s’arrête sous interruption et conserve son état ; aucun renfort gratuit créé par réparation. Équipements autorisés par le profil du chasseur ; pas de multiplication automatique des armes rares.</x:v>
      </x:c>
      <x:c r="M40" s="41" t="str">
        <x:v>À créer : proposition de groupe spécialisé, à profiler</x:v>
      </x:c>
    </x:row>
    <x:row r="41" ht="63" customHeight="1">
      <x:c r="A41" s="40" t="str">
        <x:v>GRP-35</x:v>
      </x:c>
      <x:c r="B41" s="40" t="str">
        <x:v>Yautja — modèle de détachement ; allégeance fixée par chaque opération</x:v>
      </x:c>
      <x:c r="C41" s="40" t="str">
        <x:v>Escorte de fret et de retrait</x:v>
      </x:c>
      <x:c r="D41" s="40" t="str">
        <x:v>Rôles de scénario originaux utilisables par le clan du joueur ou un clan rival ; aucun rang, caste ou rite canonique ajouté, aucune hostilité déduite de l’espèce.</x:v>
      </x:c>
      <x:c r="E41" s="40" t="str">
        <x:v>4 PNJ : 1 chef d’escorte, 1 pilote ou technicien, 2 gardes</x:v>
      </x:c>
      <x:c r="F41" s="44" t="n">
        <x:v>4</x:v>
      </x:c>
      <x:c r="G41" s="44" t="n">
        <x:v>4</x:v>
      </x:c>
      <x:c r="H41" s="40" t="str">
        <x:v>Quatre combattants PNJ ; joueur exclu ; chef et éventuel boss inclus, jamais ajoutés au quota.</x:v>
      </x:c>
      <x:c r="I41" s="40" t="str">
        <x:v>Chef de groupe inclus dans les quatre ; relais opérationnel propre à cette mission.</x:v>
      </x:c>
      <x:c r="J41" s="40" t="str">
        <x:v>Protéger le fret, déplacer un module et ramener les survivants ; privilégier le retour à la poursuite des cibles</x:v>
      </x:c>
      <x:c r="K41" s="40" t="str">
        <x:v>Quai, convoi ou point de rassemblement nommé</x:v>
      </x:c>
      <x:c r="L41" s="40" t="str">
        <x:v>Pilote inclus dans les quatre ; aucun soldat supplémentaire caché dans le véhicule. Un module de fret n’est pas une unité combattante. Équipements autorisés par le profil du chasseur ; pas de multiplication automatique des armes rares.</x:v>
      </x:c>
      <x:c r="M41" s="40" t="str">
        <x:v>À créer : proposition de groupe spécialisé, à profiler</x:v>
      </x:c>
    </x:row>
    <x:row r="42" ht="63" customHeight="1">
      <x:c r="A42" s="41" t="str">
        <x:v>GRP-36</x:v>
      </x:c>
      <x:c r="B42" s="41" t="str">
        <x:v>Yautja — modèle de détachement ; allégeance fixée par chaque opération</x:v>
      </x:c>
      <x:c r="C42" s="41" t="str">
        <x:v>Détachement de commandement</x:v>
      </x:c>
      <x:c r="D42" s="41" t="str">
        <x:v>Rôles de scénario originaux utilisables par le clan du joueur ou un clan rival ; aucun rang, caste ou rite canonique ajouté, aucune hostilité déduite de l’espèce.</x:v>
      </x:c>
      <x:c r="E42" s="41" t="str">
        <x:v>4 PNJ : 1 commandant, 2 gardes rapprochés, 1 relais d’ordres</x:v>
      </x:c>
      <x:c r="F42" s="45" t="n">
        <x:v>4</x:v>
      </x:c>
      <x:c r="G42" s="45" t="n">
        <x:v>4</x:v>
      </x:c>
      <x:c r="H42" s="41" t="str">
        <x:v>Quatre combattants PNJ ; joueur exclu ; chef et éventuel boss inclus, jamais ajoutés au quota.</x:v>
      </x:c>
      <x:c r="I42" s="41" t="str">
        <x:v>Chef de groupe inclus dans les quatre ; relais opérationnel propre à cette mission.</x:v>
      </x:c>
      <x:c r="J42" s="41" t="str">
        <x:v>Transmettre les priorités, organiser une capture ou un retrait, préserver un canal de liaison</x:v>
      </x:c>
      <x:c r="K42" s="41" t="str">
        <x:v>Poste de commandement ou délégation à accès connu</x:v>
      </x:c>
      <x:c r="L42" s="41" t="str">
        <x:v>Un boss nommé remplace le commandant dans les quatre. Sa défaite perturbe les ordres mais ne tue ni ne supprime les autres groupes. Équipements autorisés par le profil du chasseur ; pas de multiplication automatique des armes rares.</x:v>
      </x:c>
      <x:c r="M42" s="41" t="str">
        <x:v>À créer : proposition de groupe spécialisé, à profiler</x:v>
      </x:c>
    </x:row>
    <x:row r="43" ht="49.5" customHeight="1">
      <x:c r="A43" s="40" t="str">
        <x:v>GRP-37</x:v>
      </x:c>
      <x:c r="B43" s="40" t="str">
        <x:v>Humains — force de capture contemporaine originale</x:v>
      </x:c>
      <x:c r="C43" s="40" t="str">
        <x:v>Équipe de capture et de couverture</x:v>
      </x:c>
      <x:c r="D43" s="40" t="str">
        <x:v>Présent fictif, organisation originale ; aucun équipement futur importé</x:v>
      </x:c>
      <x:c r="E43" s="40" t="str">
        <x:v>8 combattants : 1 chef, 4 fusiliers, 2 spécialistes de capture, 1 opérateur radio armé</x:v>
      </x:c>
      <x:c r="F43" s="44" t="n">
        <x:v>8</x:v>
      </x:c>
      <x:c r="G43" s="44" t="n">
        <x:v>8</x:v>
      </x:c>
      <x:c r="H43" s="40" t="str">
        <x:v>8 combattants PNJ, chef compris ; véhicules, civils et matériel comptés séparément</x:v>
      </x:c>
      <x:c r="I43" s="40" t="str">
        <x:v>Chef d’équipe sous les ordres du commandant BOS-29, qui reste dans la cellule GRP-42 distincte</x:v>
      </x:c>
      <x:c r="J43" s="40" t="str">
        <x:v>Couvrir une approche, préparer un dispositif de capture, protéger le transport puis se replier sous pression ; délais de préparation et rechargement lisibles</x:v>
      </x:c>
      <x:c r="K43" s="40" t="str">
        <x:v>Poste de contrôle ou transport arrivé par une route ouverte ; consommation de réserve</x:v>
      </x:c>
      <x:c r="L43" s="40" t="str">
        <x:v>Dispositifs de capture proposés comme fiction originale ; efficacité à équilibrer, aucune neutralisation garantie du chasseur ni invulnérabilité humaine</x:v>
      </x:c>
      <x:c r="M43" s="40" t="str">
        <x:v>À créer — proposition d’opération contemporaine</x:v>
      </x:c>
    </x:row>
    <x:row r="44" ht="49.5" customHeight="1">
      <x:c r="A44" s="41" t="str">
        <x:v>GRP-38</x:v>
      </x:c>
      <x:c r="B44" s="41" t="str">
        <x:v>Humains — mercenaires de sécurité industrielle</x:v>
      </x:c>
      <x:c r="C44" s="41" t="str">
        <x:v>Détachement de protection du convoi</x:v>
      </x:c>
      <x:c r="D44" s="41" t="str">
        <x:v>Contrat contemporain fictif, société et identité visuelle originales</x:v>
      </x:c>
      <x:c r="E44" s="41" t="str">
        <x:v>8 combattants : 1 chef, 4 fusiliers, 1 appui, 1 sapeur, 1 observateur</x:v>
      </x:c>
      <x:c r="F44" s="45" t="n">
        <x:v>8</x:v>
      </x:c>
      <x:c r="G44" s="45" t="n">
        <x:v>8</x:v>
      </x:c>
      <x:c r="H44" s="41" t="str">
        <x:v>8 combattants PNJ, équipages éventuels inclus dans ces 8 ; matériel non additionné comme soldat</x:v>
      </x:c>
      <x:c r="I44" s="41" t="str">
        <x:v>Chef de détachement relié au poste de sécurité</x:v>
      </x:c>
      <x:c r="J44" s="41" t="str">
        <x:v>Bloquer un axe, escorter un chargement, poser des obstacles puis déplacer la ligne si elle est contournée ; tir et munitions bornés</x:v>
      </x:c>
      <x:c r="K44" s="41" t="str">
        <x:v>Dépôt et convoi de relève identifiés ; pas de création autour de la caméra</x:v>
      </x:c>
      <x:c r="L44" s="41" t="str">
        <x:v>Équipement d’une seule époque ; employés non armés séparés ; tout matériel lourd occupe un budget de matériel distinct</x:v>
      </x:c>
      <x:c r="M44" s="41" t="str">
        <x:v>À créer — groupe industriel original</x:v>
      </x:c>
    </x:row>
    <x:row r="45" ht="63" customHeight="1">
      <x:c r="A45" s="40" t="str">
        <x:v>GRP-39</x:v>
      </x:c>
      <x:c r="B45" s="40" t="str">
        <x:v>Humains — force coloniale militaire hostile</x:v>
      </x:c>
      <x:c r="C45" s="40" t="str">
        <x:v>Section de contre-assaut à la colonie</x:v>
      </x:c>
      <x:c r="D45" s="40" t="str">
        <x:v>Futur Alien/AVP compatible, mission originale ; hostilité à ce clan motivée par l’ordre d’opération, pas attribuée à tous les Marines</x:v>
      </x:c>
      <x:c r="E45" s="40" t="str">
        <x:v>8 combattants : 1 chef, 4 fusiliers, 1 smartgunner, 1 spécialiste de brèche, 1 radio</x:v>
      </x:c>
      <x:c r="F45" s="44" t="n">
        <x:v>8</x:v>
      </x:c>
      <x:c r="G45" s="44" t="n">
        <x:v>8</x:v>
      </x:c>
      <x:c r="H45" s="40" t="str">
        <x:v>8 combattants PNJ ; chef et spécialiste inclus, transport et passagers sans double comptage</x:v>
      </x:c>
      <x:c r="I45" s="40" t="str">
        <x:v>Chef de section ; sous commandement expéditionnaire propre à cette opération</x:v>
      </x:c>
      <x:c r="J45" s="40" t="str">
        <x:v>Tenir des couverts, progresser par bonds, renforcer un axe menacé et sécuriser une route logistique ; les sections poursuivent des ordres locaux après perte du commandement</x:v>
      </x:c>
      <x:c r="K45" s="40" t="str">
        <x:v>Caserne ou transport militaire depuis une réserve finie ; points de débarquement explicités</x:v>
      </x:c>
      <x:c r="L45" s="40" t="str">
        <x:v>Armes et tenues futures de l’incarnation retenue à référencer ; ni réplique de l’escouade nommée d’Aliens ni armure humaine fantasmatique</x:v>
      </x:c>
      <x:c r="M45" s="40" t="str">
        <x:v>À créer — composition de guerre originale</x:v>
      </x:c>
    </x:row>
    <x:row r="46" ht="49.5" customHeight="1">
      <x:c r="A46" s="41" t="str">
        <x:v>GRP-40</x:v>
      </x:c>
      <x:c r="B46" s="41" t="str">
        <x:v>Humains — sûreté orbitale originale</x:v>
      </x:c>
      <x:c r="C46" s="41" t="str">
        <x:v>Équipe de défense des compartiments</x:v>
      </x:c>
      <x:c r="D46" s="41" t="str">
        <x:v>Futur spatial original ; société distincte des entreprises canoniques sauf attribution ultérieure documentée</x:v>
      </x:c>
      <x:c r="E46" s="41" t="str">
        <x:v>8 combattants : 1 chef, 4 fusiliers, 1 protecteur équipé d’un bouclier proposé, 1 technicien armé, 1 observateur</x:v>
      </x:c>
      <x:c r="F46" s="45" t="n">
        <x:v>8</x:v>
      </x:c>
      <x:c r="G46" s="45" t="n">
        <x:v>8</x:v>
      </x:c>
      <x:c r="H46" s="41" t="str">
        <x:v>8 humains combattants PNJ ; aucun synthétique ni tourelle dans ce compteur</x:v>
      </x:c>
      <x:c r="I46" s="41" t="str">
        <x:v>Chef de compartiment et consignes du poste de sûreté</x:v>
      </x:c>
      <x:c r="J46" s="41" t="str">
        <x:v>Fermer un sas, défendre un croisement, sécuriser une brèche et se réaffecter par les coursives accessibles ; évite de tirer à travers un allié</x:v>
      </x:c>
      <x:c r="K46" s="41" t="str">
        <x:v>Module de casernement ou navette amarrée à un quai intact</x:v>
      </x:c>
      <x:c r="L46" s="41" t="str">
        <x:v>Bouclier et protocole de combat sont créations de jeu à tester ; synthétiques de maintenance neutres séparés ; aucune immunité humaine aux armes Yautja</x:v>
      </x:c>
      <x:c r="M46" s="41" t="str">
        <x:v>À créer — sécurité orbitale originale</x:v>
      </x:c>
    </x:row>
    <x:row r="47" ht="49.5" customHeight="1">
      <x:c r="A47" s="40" t="str">
        <x:v>GRP-41</x:v>
      </x:c>
      <x:c r="B47" s="40" t="str">
        <x:v>Humains — cordon militaire de cité coloniale</x:v>
      </x:c>
      <x:c r="C47" s="40" t="str">
        <x:v>Section de barrage et d’interception</x:v>
      </x:c>
      <x:c r="D47" s="40" t="str">
        <x:v>Futur colonial original, équipement et mandat propres à l’opération</x:v>
      </x:c>
      <x:c r="E47" s="40" t="str">
        <x:v>8 combattants : 1 chef, 4 fusiliers, 1 observateur, 1 radio, 1 appui léger</x:v>
      </x:c>
      <x:c r="F47" s="44" t="n">
        <x:v>8</x:v>
      </x:c>
      <x:c r="G47" s="44" t="n">
        <x:v>8</x:v>
      </x:c>
      <x:c r="H47" s="40" t="str">
        <x:v>8 combattants PNJ ; chauffeurs militaires compris si affectés, passagers et matériel suivis une seule fois</x:v>
      </x:c>
      <x:c r="I47" s="40" t="str">
        <x:v>Chef de barrage ; directives de capture ou d’interception définies par la mission</x:v>
      </x:c>
      <x:c r="J47" s="40" t="str">
        <x:v>Contrôler un carrefour, surveiller les hauteurs, laisser passer les civils autorisés et déplacer le barrage si un axe cède</x:v>
      </x:c>
      <x:c r="K47" s="40" t="str">
        <x:v>Dépôt périphérique et route militaire distincte de la file d’évacuation</x:v>
      </x:c>
      <x:c r="L47" s="40" t="str">
        <x:v>Civils et soignants ne deviennent pas ennemis par voisinage ; aucune armée humaine omnisciente ou tir à travers immeubles</x:v>
      </x:c>
      <x:c r="M47" s="40" t="str">
        <x:v>À créer — contrôle urbain original</x:v>
      </x:c>
    </x:row>
    <x:row r="48" ht="63" customHeight="1">
      <x:c r="A48" s="41" t="str">
        <x:v>GRP-42</x:v>
      </x:c>
      <x:c r="B48" s="41" t="str">
        <x:v>Humains — cellule de commandement d’opération</x:v>
      </x:c>
      <x:c r="C48" s="41" t="str">
        <x:v>Poste de commandement protégé</x:v>
      </x:c>
      <x:c r="D48" s="41" t="str">
        <x:v>Un seul profil sélectionné par mission : contemporain pour AFF-06/07 ; futur pour AFF-08/09/10/11/12. Chaque chef appartient à la faction de cette opération.</x:v>
      </x:c>
      <x:c r="E48" s="41" t="str">
        <x:v>8 combattants : 1 commandant, 2 radios armés, 2 gardes, 1 opérateur de contre-surveillance armé, 1 technicien armé, 1 agent de liaison armé</x:v>
      </x:c>
      <x:c r="F48" s="45" t="n">
        <x:v>8</x:v>
      </x:c>
      <x:c r="G48" s="45" t="n">
        <x:v>8</x:v>
      </x:c>
      <x:c r="H48" s="41" t="str">
        <x:v>8 humains combattants PNJ ; le boss-commandant est l’un des huit, jamais une unité ajoutée au budget</x:v>
      </x:c>
      <x:c r="I48" s="41" t="str">
        <x:v>Un commandant unique, remplacé par BOS-29, BOS-30 ou BOS-31 selon l’opération</x:v>
      </x:c>
      <x:c r="J48" s="41" t="str">
        <x:v>Émettre ordres et demandes de renfort, surveiller les liaisons puis évacuer vers un poste de repli réel ; le personnel peut défendre le poste sans bonus de santé arbitraire</x:v>
      </x:c>
      <x:c r="K48" s="41" t="str">
        <x:v>Poste déjà déployé ; ne réapparaît pas après sa neutralisation</x:v>
      </x:c>
      <x:c r="L48" s="41" t="str">
        <x:v>Les armes, radios et protections sont celles du profil de période ; un seul commandant de rencontre compté dans l’effectif de huit</x:v>
      </x:c>
      <x:c r="M48" s="41" t="str">
        <x:v>À créer — archétype de commandement, variantes de période séparées</x:v>
      </x:c>
    </x:row>
    <x:row r="49" ht="76.5" customHeight="1">
      <x:c r="A49" s="70" t="str">
        <x:v>GRP-43</x:v>
      </x:c>
      <x:c r="B49" s="70" t="str">
        <x:v>Xénomorphes — incarnation locale</x:v>
      </x:c>
      <x:c r="C49" s="70" t="str">
        <x:v>Adultes d’infiltration ou de colonie</x:v>
      </x:c>
      <x:c r="D49" s="70" t="str">
        <x:v>Sélection obligatoire : Isolation, Alien: Earth ou arc Marvel ; aucune aptitude de jeu étranger importée</x:v>
      </x:c>
      <x:c r="E49" s="70" t="str">
        <x:v>1 à 8 adultes du même profil local</x:v>
      </x:c>
      <x:c r="F49" s="74" t="n">
        <x:v>1</x:v>
      </x:c>
      <x:c r="G49" s="74" t="n">
        <x:v>8</x:v>
      </x:c>
      <x:c r="H49" s="70" t="str">
        <x:v>Chefs et spécialistes compris dans ce total ; changements de niveau de simulation sans duplication.</x:v>
      </x:c>
      <x:c r="I49" s="70" t="str">
        <x:v>Coordination biologique proposée, sans officier humain</x:v>
      </x:c>
      <x:c r="J49" s="70" t="str">
        <x:v>Contournement par accès compatibles, recherche d’une cible et repli persistant</x:v>
      </x:c>
      <x:c r="K49" s="70" t="str">
        <x:v>Conduits reliés et foyers enregistrés, jamais devant la caméra par téléportation</x:v>
      </x:c>
      <x:c r="L49" s="70" t="str">
        <x:v>Pas de Carrier/Ravager/Queen automatique. Les variantes se choisissent par mission. Profils : XEN-034, XEN-035, XEN-036.
Profils du catalogue : XEN-034 — Xénomorphe de Sevastopol ; XEN-035 — Xénomorphes des récits Marvel retenus ; XEN-036 — Xénomorphe d’Alien: Earth</x:v>
      </x:c>
      <x:c r="M49" s="70" t="str">
        <x:v>Proposition à développer ; source des profils dans Bestiaire_medias</x:v>
      </x:c>
    </x:row>
    <x:row r="50" ht="76.5" customHeight="1">
      <x:c r="A50" s="71" t="str">
        <x:v>GRP-44</x:v>
      </x:c>
      <x:c r="B50" s="71" t="str">
        <x:v>Xénomorphes — Fireteam Elite</x:v>
      </x:c>
      <x:c r="C50" s="71" t="str">
        <x:v>Pression mobile et tir acide</x:v>
      </x:c>
      <x:c r="D50" s="71" t="str">
        <x:v>Preset Fireteam Elite sur LV-895</x:v>
      </x:c>
      <x:c r="E50" s="71" t="str">
        <x:v>8 unités :7 Runners et 1 Spitter</x:v>
      </x:c>
      <x:c r="F50" s="75" t="n">
        <x:v>8</x:v>
      </x:c>
      <x:c r="G50" s="75" t="n">
        <x:v>8</x:v>
      </x:c>
      <x:c r="H50" s="71" t="str">
        <x:v>Chefs et spécialistes compris dans ce total ; changements de niveau de simulation sans duplication.</x:v>
      </x:c>
      <x:c r="I50" s="71" t="str">
        <x:v>Aucun chef militaire inventé</x:v>
      </x:c>
      <x:c r="J50" s="71" t="str">
        <x:v>Fixer l’axe frontal, déplacer le tireur et réallouer les survivants</x:v>
      </x:c>
      <x:c r="K50" s="71" t="str">
        <x:v>Accès de surface et galeries du théâtre</x:v>
      </x:c>
      <x:c r="L50" s="71" t="str">
        <x:v>Composition originale ; Pathogen désactivé dans ce preset tant que son foyer spécifique n’est pas activé. Profils : XEN-006, XEN-012.
Profils du catalogue : XEN-006 — Runner — profils Extinction et Fireteam Elite ; XEN-012 — Spitter de Fireteam Elite</x:v>
      </x:c>
      <x:c r="M50" s="71" t="str">
        <x:v>Proposition à développer ; source des profils dans Bestiaire_medias</x:v>
      </x:c>
    </x:row>
    <x:row r="51" ht="49.5" customHeight="1">
      <x:c r="A51" s="70" t="str">
        <x:v>GRP-45</x:v>
      </x:c>
      <x:c r="B51" s="70" t="str">
        <x:v>Xénomorphes — Dark Descent</x:v>
      </x:c>
      <x:c r="C51" s="70" t="str">
        <x:v>Garde d’un passage de ruche</x:v>
      </x:c>
      <x:c r="D51" s="70" t="str">
        <x:v>Preset Dark Descent / Lethe</x:v>
      </x:c>
      <x:c r="E51" s="70" t="str">
        <x:v>8 unités :1 Praetorian et 7 adultes locaux, sans métamorphose Extinction</x:v>
      </x:c>
      <x:c r="F51" s="74" t="n">
        <x:v>8</x:v>
      </x:c>
      <x:c r="G51" s="74" t="n">
        <x:v>8</x:v>
      </x:c>
      <x:c r="H51" s="70" t="str">
        <x:v>Chefs et spécialistes compris dans ce total ; changements de niveau de simulation sans duplication.</x:v>
      </x:c>
      <x:c r="I51" s="70" t="str">
        <x:v>Elite de défense, pas grade universel</x:v>
      </x:c>
      <x:c r="J51" s="70" t="str">
        <x:v>Tenir une jonction puis reculer vers une seconde ligne si isolée</x:v>
      </x:c>
      <x:c r="K51" s="70" t="str">
        <x:v>Sanctuaire ou conduit large ; réserve finie</x:v>
      </x:c>
      <x:c r="L51" s="70" t="str">
        <x:v>Un seul exemplaire de cette garde dans le pilote Lethe ; détails des adultes à relever dans le jeu. Profils : XEN-008.
Profils du catalogue : XEN-008 — Praetorian</x:v>
      </x:c>
      <x:c r="M51" s="70" t="str">
        <x:v>Proposition à développer ; source des profils dans Bestiaire_medias</x:v>
      </x:c>
    </x:row>
    <x:row r="52" ht="63" customHeight="1">
      <x:c r="A52" s="71" t="str">
        <x:v>GRP-46</x:v>
      </x:c>
      <x:c r="B52" s="71" t="str">
        <x:v>Synthétiques de combat Weyland-Yutani</x:v>
      </x:c>
      <x:c r="C52" s="71" t="str">
        <x:v>Section de sécurité robotique</x:v>
      </x:c>
      <x:c r="D52" s="71" t="str">
        <x:v>Preset Fireteam Elite</x:v>
      </x:c>
      <x:c r="E52" s="71" t="str">
        <x:v>8 synthétiques de combat ; variantes précises à documenter</x:v>
      </x:c>
      <x:c r="F52" s="75" t="n">
        <x:v>8</x:v>
      </x:c>
      <x:c r="G52" s="75" t="n">
        <x:v>8</x:v>
      </x:c>
      <x:c r="H52" s="71" t="str">
        <x:v>Chefs et spécialistes compris dans ce total ; changements de niveau de simulation sans duplication.</x:v>
      </x:c>
      <x:c r="I52" s="71" t="str">
        <x:v>Contrôleur de section inclus, ordre local conservé si radio perdue</x:v>
      </x:c>
      <x:c r="J52" s="71" t="str">
        <x:v>Défendre un transfert et maintenir une ligne de tir</x:v>
      </x:c>
      <x:c r="K52" s="71" t="str">
        <x:v>Installations et dépôt identifiés</x:v>
      </x:c>
      <x:c r="L52" s="71" t="str">
        <x:v>Aucun Working Joe ajouté à cette section ; pas de sous-type Warden/Heavy prétendu confirmé. Profils : HUM-015.
Profils du catalogue : HUM-015 — Synthétiques de combat Weyland-Yutani</x:v>
      </x:c>
      <x:c r="M52" s="71" t="str">
        <x:v>Proposition à développer ; source des profils dans Bestiaire_medias</x:v>
      </x:c>
    </x:row>
    <x:row r="53" ht="117" customHeight="1">
      <x:c r="A53" s="70" t="str">
        <x:v>GRP-47</x:v>
      </x:c>
      <x:c r="B53" s="70" t="str">
        <x:v>Colonial Marines — Fireteam Elite</x:v>
      </x:c>
      <x:c r="C53" s="70" t="str">
        <x:v>Equipe de combat complémentaire</x:v>
      </x:c>
      <x:c r="D53" s="70" t="str">
        <x:v>Preset Fireteam Elite uniquement</x:v>
      </x:c>
      <x:c r="E53" s="70" t="str">
        <x:v>4 Marines : assaut, appui, technique, secours ; kits sélectionnés dans les 7 profils</x:v>
      </x:c>
      <x:c r="F53" s="74" t="n">
        <x:v>4</x:v>
      </x:c>
      <x:c r="G53" s="74" t="n">
        <x:v>4</x:v>
      </x:c>
      <x:c r="H53" s="70" t="str">
        <x:v>Chefs et spécialistes compris dans ce total ; changements de niveau de simulation sans duplication.</x:v>
      </x:c>
      <x:c r="I53" s="70" t="str">
        <x:v>Responsable d’équipe inclus</x:v>
      </x:c>
      <x:c r="J53" s="70" t="str">
        <x:v>Couvrir un déplacement, soigner puis évacuer ; matériel et ressources finis</x:v>
      </x:c>
      <x:c r="K53" s="70" t="str">
        <x:v>Zone d’atterrissage liée à la réserve</x:v>
      </x:c>
      <x:c r="L53" s="70" t="str">
        <x:v>Les classes ne donnent pas automatiquement leurs bonus numériques à une IA musou. Profils : HUM-005, HUM-006, HUM-007, HUM-008, HUM-009, HUM-010, HUM-011.
Profils du catalogue : HUM-005 — Gunner — Fireteam Elite ; HUM-006 — Demolisher — Fireteam Elite ; HUM-007 — Technician — Fireteam Elite ; HUM-008 — Doc — Fireteam Elite ; HUM-009 — Recon — Fireteam Elite ; HUM-010 — Phalanx — Fireteam Elite ; HUM-011 — Lancer — Fireteam Elite</x:v>
      </x:c>
      <x:c r="M53" s="70" t="str">
        <x:v>Proposition à développer ; source des profils dans Bestiaire_medias</x:v>
      </x:c>
    </x:row>
    <x:row r="54" ht="49.5" customHeight="1">
      <x:c r="A54" s="71" t="str">
        <x:v>GRP-48</x:v>
      </x:c>
      <x:c r="B54" s="71" t="str">
        <x:v>Prodigy — équipe tactique</x:v>
      </x:c>
      <x:c r="C54" s="71" t="str">
        <x:v>Protection et récupération</x:v>
      </x:c>
      <x:c r="D54" s="71" t="str">
        <x:v>Alien: Earth, cadre 2120 ; guerre élargie originale</x:v>
      </x:c>
      <x:c r="E54" s="71" t="str">
        <x:v>4 humains :3 gardes et 1 secouriste originaux</x:v>
      </x:c>
      <x:c r="F54" s="75" t="n">
        <x:v>4</x:v>
      </x:c>
      <x:c r="G54" s="75" t="n">
        <x:v>4</x:v>
      </x:c>
      <x:c r="H54" s="71" t="str">
        <x:v>Chefs et spécialistes compris dans ce total ; changements de niveau de simulation sans duplication.</x:v>
      </x:c>
      <x:c r="I54" s="71" t="str">
        <x:v>Chef d’équipe original compris parmi les gardes</x:v>
      </x:c>
      <x:c r="J54" s="71" t="str">
        <x:v>Protéger le cordon et déplacer blessés ou données selon les ordres</x:v>
      </x:c>
      <x:c r="K54" s="71" t="str">
        <x:v>Postes urbains et routes de secours</x:v>
      </x:c>
      <x:c r="L54" s="71" t="str">
        <x:v>Hermit n’est pas cloné dans les groupes ; aucun USCM ni hybride de masse. Profils : HUM-021.
Profils du catalogue : HUM-021 — Soldats tactiques de Prodigy</x:v>
      </x:c>
      <x:c r="M54" s="71" t="str">
        <x:v>Proposition à développer ; source des profils dans Bestiaire_medias</x:v>
      </x:c>
    </x:row>
    <x:row r="55" ht="49.5" customHeight="1">
      <x:c r="A55" s="70" t="str">
        <x:v>GRP-49</x:v>
      </x:c>
      <x:c r="B55" s="70" t="str">
        <x:v>Sécurité corporatiste originale</x:v>
      </x:c>
      <x:c r="C55" s="70" t="str">
        <x:v>Garde de site et transfert de données</x:v>
      </x:c>
      <x:c r="D55" s="70" t="str">
        <x:v>Cadre AVP 2010 ou arc Marvel choisi par l’opération ; gardes armés et organisation entièrement originaux.</x:v>
      </x:c>
      <x:c r="E55" s="70" t="str">
        <x:v>1 à 8 gardes humains originaux ;1 chef remplace un garde si nécessaire</x:v>
      </x:c>
      <x:c r="F55" s="74" t="n">
        <x:v>1</x:v>
      </x:c>
      <x:c r="G55" s="74" t="n">
        <x:v>8</x:v>
      </x:c>
      <x:c r="H55" s="70" t="str">
        <x:v>Chefs et spécialistes compris dans ce total ; changements de niveau de simulation sans duplication.</x:v>
      </x:c>
      <x:c r="I55" s="70" t="str">
        <x:v>Responsable local original</x:v>
      </x:c>
      <x:c r="J55" s="70" t="str">
        <x:v>Garder un sas, couvrir un transfert, se replier sur ordre ou négocier</x:v>
      </x:c>
      <x:c r="K55" s="70" t="str">
        <x:v>Poste de sécurité et route de réserve</x:v>
      </x:c>
      <x:c r="L55" s="70" t="str">
        <x:v>Formation de sécurité originale, sans classe canonique revendiquée. Aucun civil converti en soldat, aucune référence aux administrateurs de Dark Descent.</x:v>
      </x:c>
      <x:c r="M55" s="70" t="str">
        <x:v>Création de gameplay à développer ; cadre de l’œuvre documenté, formation non attestée.</x:v>
      </x:c>
    </x:row>
    <x:row r="56" ht="63" customHeight="1">
      <x:c r="A56" s="71" t="str">
        <x:v>GRP-50</x:v>
      </x:c>
      <x:c r="B56" s="71" t="str">
        <x:v>Working Joes</x:v>
      </x:c>
      <x:c r="C56" s="71" t="str">
        <x:v>Binôme de maintenance</x:v>
      </x:c>
      <x:c r="D56" s="71" t="str">
        <x:v>Alien: Isolation</x:v>
      </x:c>
      <x:c r="E56" s="71" t="str">
        <x:v>2 Working Joes sans armes de Marines</x:v>
      </x:c>
      <x:c r="F56" s="75" t="n">
        <x:v>2</x:v>
      </x:c>
      <x:c r="G56" s="75" t="n">
        <x:v>2</x:v>
      </x:c>
      <x:c r="H56" s="71" t="str">
        <x:v>Chefs et spécialistes compris dans ce total ; changements de niveau de simulation sans duplication.</x:v>
      </x:c>
      <x:c r="I56" s="71" t="str">
        <x:v>Consignes du réseau de la station</x:v>
      </x:c>
      <x:c r="J56" s="71" t="str">
        <x:v>Maintenir une zone et intervenir contre les intrusions selon état du réseau</x:v>
      </x:c>
      <x:c r="K56" s="71" t="str">
        <x:v>Atelier et route de maintenance</x:v>
      </x:c>
      <x:c r="L56" s="71" t="str">
        <x:v>Hostilité aux Xénomorphes désactivée par défaut ; le joueur doit traiter le réseau comme un objectif distinct. Profils : HUM-016.
Profils du catalogue : HUM-016 — Working Joe</x:v>
      </x:c>
      <x:c r="M56" s="71" t="str">
        <x:v>Proposition à développer ; source des profils dans Bestiaire_medias</x:v>
      </x:c>
    </x:row>
    <x:row r="57" ht="49.5" customHeight="1">
      <x:c r="A57" s="70" t="str">
        <x:v>GRP-51</x:v>
      </x:c>
      <x:c r="B57" s="70" t="str">
        <x:v>Clan du joueur — Yautja</x:v>
      </x:c>
      <x:c r="C57" s="70" t="str">
        <x:v>Binôme de reconnaissance</x:v>
      </x:c>
      <x:c r="D57" s="70" t="str">
        <x:v>Chasseurs originaux compatibles avec le scénario ; pas de personnages de film clonés</x:v>
      </x:c>
      <x:c r="E57" s="70" t="str">
        <x:v>2 chasseurs PNJ originaux</x:v>
      </x:c>
      <x:c r="F57" s="74" t="n">
        <x:v>2</x:v>
      </x:c>
      <x:c r="G57" s="74" t="n">
        <x:v>2</x:v>
      </x:c>
      <x:c r="H57" s="70" t="str">
        <x:v>Chefs et spécialistes compris dans ce total ; changements de niveau de simulation sans duplication.</x:v>
      </x:c>
      <x:c r="I57" s="70" t="str">
        <x:v>Un des deux assure la liaison</x:v>
      </x:c>
      <x:c r="J57" s="70" t="str">
        <x:v>Observation, diversion et couverture d’un itinéraire de retour</x:v>
      </x:c>
      <x:c r="K57" s="70" t="str">
        <x:v>Point d’insertion unique et voies verticales parcourables</x:v>
      </x:c>
      <x:c r="L57" s="70" t="str">
        <x:v>Profil Hunter utilisé comme référence de rôle, pas comme loi sociale ni équipement de toute époque. Profils : YAU-009.
Profils du catalogue : YAU-009 — Hunter</x:v>
      </x:c>
      <x:c r="M57" s="70" t="str">
        <x:v>Proposition à développer ; source des profils dans Bestiaire_medias</x:v>
      </x:c>
    </x:row>
    <x:row r="58" ht="49.5" customHeight="1">
      <x:c r="A58" s="71" t="str">
        <x:v>GRP-52</x:v>
      </x:c>
      <x:c r="B58" s="71" t="str">
        <x:v>Survivants de Tobler-9</x:v>
      </x:c>
      <x:c r="C58" s="71" t="str">
        <x:v>Equipe de défense locale</x:v>
      </x:c>
      <x:c r="D58" s="71" t="str">
        <x:v>Arc Marvel 2022 ; composition de guerre originale</x:v>
      </x:c>
      <x:c r="E58" s="71" t="str">
        <x:v>4 combattants volontaires originaux, dont 1 guide</x:v>
      </x:c>
      <x:c r="F58" s="75" t="n">
        <x:v>4</x:v>
      </x:c>
      <x:c r="G58" s="75" t="n">
        <x:v>4</x:v>
      </x:c>
      <x:c r="H58" s="71" t="str">
        <x:v>Chefs et spécialistes compris dans ce total ; changements de niveau de simulation sans duplication.</x:v>
      </x:c>
      <x:c r="I58" s="71" t="str">
        <x:v>Coordinateur local inclus</x:v>
      </x:c>
      <x:c r="J58" s="71" t="str">
        <x:v>Défendre un passage, secourir des civils puis reculer ; pacte révocable avec les synthétiques</x:v>
      </x:c>
      <x:c r="K58" s="71" t="str">
        <x:v>Refuge relié aux routes d’évacuation</x:v>
      </x:c>
      <x:c r="L58" s="71" t="str">
        <x:v>Steel Team n’est pas cette unité. Ses membres nommés sont un événement distinct soumis à un roster vérifié. Profils : HUM-029.
Profils du catalogue : HUM-029 — Survivants humains de Tobler-9</x:v>
      </x:c>
      <x:c r="M58" s="71" t="str">
        <x:v>Proposition à développer ; source des profils dans Bestiaire_medias</x:v>
      </x:c>
    </x:row>
    <x:row r="59" ht="49.5" customHeight="1">
      <x:c r="A59" s="70" t="str">
        <x:v>GRP-53</x:v>
      </x:c>
      <x:c r="B59" s="70" t="str">
        <x:v>Colonial Marines — Lethe</x:v>
      </x:c>
      <x:c r="C59" s="70" t="str">
        <x:v>Section de terrain</x:v>
      </x:c>
      <x:c r="D59" s="70" t="str">
        <x:v>Dark Descent ; missions musou originales</x:v>
      </x:c>
      <x:c r="E59" s="70" t="str">
        <x:v>4 Marines :1 chef et 3 combattants ; spécialisations détaillées à documenter dans Dark Descent</x:v>
      </x:c>
      <x:c r="F59" s="74" t="n">
        <x:v>4</x:v>
      </x:c>
      <x:c r="G59" s="74" t="n">
        <x:v>4</x:v>
      </x:c>
      <x:c r="H59" s="70" t="str">
        <x:v>Chefs et spécialistes compris dans ce total ; changements de niveau de simulation sans duplication.</x:v>
      </x:c>
      <x:c r="I59" s="70" t="str">
        <x:v>Sergent original ; Jonas Harper seulement en variante narrative unique</x:v>
      </x:c>
      <x:c r="J59" s="70" t="str">
        <x:v>Tenir un axe, conserver les blessés et remonter vers l’Otago</x:v>
      </x:c>
      <x:c r="K59" s="70" t="str">
        <x:v>Insertion terrestre ou position déjà tenue</x:v>
      </x:c>
      <x:c r="L59" s="70" t="str">
        <x:v>Pas de transfert automatique des 7 kits Fireteam ni des améliorations Extinction. Profils : HUM-004.
Profils du catalogue : HUM-004 — Sergent des Colonial Marines</x:v>
      </x:c>
      <x:c r="M59" s="70" t="str">
        <x:v>Proposition à développer ; source des profils dans Bestiaire_medias</x:v>
      </x:c>
    </x:row>
    <x:row r="60" ht="49.5" customHeight="1">
      <x:c r="A60" s="71" t="str">
        <x:v>GRP-54</x:v>
      </x:c>
      <x:c r="B60" s="71" t="str">
        <x:v>Xénomorphes — profil AVP</x:v>
      </x:c>
      <x:c r="C60" s="71" t="str">
        <x:v>Cellule adulte d’assaut</x:v>
      </x:c>
      <x:c r="D60" s="71" t="str">
        <x:v>Preset Aliens vs. Predator 2010, incarnation à verrouiller dans le registre</x:v>
      </x:c>
      <x:c r="E60" s="71" t="str">
        <x:v>8 adultes du profil AVP</x:v>
      </x:c>
      <x:c r="F60" s="75" t="n">
        <x:v>8</x:v>
      </x:c>
      <x:c r="G60" s="75" t="n">
        <x:v>8</x:v>
      </x:c>
      <x:c r="H60" s="71" t="str">
        <x:v>Chefs et spécialistes compris dans ce total ; changements de niveau de simulation sans duplication.</x:v>
      </x:c>
      <x:c r="I60" s="71" t="str">
        <x:v>Pression de ruche proposée</x:v>
      </x:c>
      <x:c r="J60" s="71" t="str">
        <x:v>Assaut sur route accessible, contournement et retrait des survivants</x:v>
      </x:c>
      <x:c r="K60" s="71" t="str">
        <x:v>Galeries liées au foyer et réserves localisées</x:v>
      </x:c>
      <x:c r="L60" s="71" t="str">
        <x:v>Pas de mutation Pathogen, de Queen Mother rouge ou d’Offspring dans ce preset. Profils : XEN-005.
Profils du catalogue : XEN-005 — Warrior</x:v>
      </x:c>
      <x:c r="M60" s="71" t="str">
        <x:v>Proposition à développer ; source des profils dans Bestiaire_medias</x:v>
      </x:c>
    </x:row>
    <x:row r="61" ht="76.5" customHeight="1">
      <x:c r="A61" s="70" t="str">
        <x:v>GRP-55</x:v>
      </x:c>
      <x:c r="B61" s="70" t="str">
        <x:v>Humains — sécurité industrielle de Neonopolis, opération originale</x:v>
      </x:c>
      <x:c r="C61" s="70" t="str">
        <x:v>Section de garde, transfert et verrouillage</x:v>
      </x:c>
      <x:c r="D61" s="70" t="str">
        <x:v>AFF-20 uniquement : variante originale de sécurité dans le cadre de Concrete Jungle. Pas des Colonial Marines et pas une armée Weyland-Yutani. Matériel de l’époque du jeu à documenter.</x:v>
      </x:c>
      <x:c r="E61" s="70" t="str">
        <x:v>8 combattants : 1 chef, 4 gardes, 1 opérateur de matériel armé, 1 technicien armé, 1 radio armé</x:v>
      </x:c>
      <x:c r="F61" s="74" t="n">
        <x:v>8</x:v>
      </x:c>
      <x:c r="G61" s="74" t="n">
        <x:v>8</x:v>
      </x:c>
      <x:c r="H61" s="70" t="str">
        <x:v>8 combattants humains PNJ ; chef, conducteur et technicien déjà compris. Les véhicules et tourelles restent du matériel séparé.</x:v>
      </x:c>
      <x:c r="I61" s="70" t="str">
        <x:v>Chef inclus dans les huit. Dans la première section du front A, BOS-36 remplace ce chef ; les autres sections ont des chefs anonymes.</x:v>
      </x:c>
      <x:c r="J61" s="70" t="str">
        <x:v>Garder un couvert, verrouiller un passage relié à l’alimentation, escorter un module puis se replier si le transfert échoue.</x:v>
      </x:c>
      <x:c r="K61" s="70" t="str">
        <x:v>Dépôts et route de fret reliés à une réserve finie ; les arrivées conservent les passagers déjà alloués.</x:v>
      </x:c>
      <x:c r="L61" s="70" t="str">
        <x:v>Fusils, protections et automatismes proposés à contrôler contre le jeu ; pas de smartgun USCM ajouté par défaut, pas de synthétiques cachés ni santé de monstre.</x:v>
      </x:c>
      <x:c r="M61" s="70" t="str">
        <x:v>À créer — groupe original, matériel à référencer</x:v>
      </x:c>
    </x:row>
    <x:row r="62" ht="49.5" customHeight="1">
      <x:c r="A62" s="71" t="str">
        <x:v>GRP-56</x:v>
      </x:c>
      <x:c r="B62" s="71" t="str">
        <x:v>Humains — garde originale de l’avant-poste de toundra</x:v>
      </x:c>
      <x:c r="C62" s="71" t="str">
        <x:v>Petite patrouille d’approche</x:v>
      </x:c>
      <x:c r="D62" s="71" t="str">
        <x:v>AFF-23, fiction alternative autour du lieu de Predator (2022) #2 ; ni présence ni affiliation de ces gardes affirmées par le comic.</x:v>
      </x:c>
      <x:c r="E62" s="71" t="str">
        <x:v>1 à 3 combattants : 1 garde responsable et, selon taille sélectionnée, 1 ou 2 autres gardes ; tous humains biologiques.</x:v>
      </x:c>
      <x:c r="F62" s="75" t="n">
        <x:v>1</x:v>
      </x:c>
      <x:c r="G62" s="75" t="n">
        <x:v>3</x:v>
      </x:c>
      <x:c r="H62" s="71" t="str">
        <x:v>1 à 3 combattants PNJ selon instance ; AFF-23 utilise exactement 7 gardes au total : 1 +2 actifs, 2 +2 distants.</x:v>
      </x:c>
      <x:c r="I62" s="71" t="str">
        <x:v>Responsable local inclus ; ces gardes n’ont aucune autorité sur Theta.</x:v>
      </x:c>
      <x:c r="J62" s="71" t="str">
        <x:v>Vérifier une trace, défendre l’approche et demander identification ; tirer seulement selon une relation hostile explicite et une ligne de vue.</x:v>
      </x:c>
      <x:c r="K62" s="71" t="str">
        <x:v>Sept personnes déjà déployées dans AFF-23 ; aucune réserve et aucun retour après perte ou extraction.</x:v>
      </x:c>
      <x:c r="L62" s="71" t="str">
        <x:v>Sélection 1/2/3 fixée avant départ et persistante ; pas de garde recréé pour compléter un groupe blessé, pas d’uniforme USCM imposé.</x:v>
      </x:c>
      <x:c r="M62" s="71" t="str">
        <x:v>À créer — patrouille de scénario originale</x:v>
      </x:c>
    </x:row>
    <x:row r="63" ht="63" customHeight="1">
      <x:c r="A63" s="70" t="str">
        <x:v>GRP-57</x:v>
      </x:c>
      <x:c r="B63" s="70" t="str">
        <x:v>Humaine — Theta Berwick, relation locale de scénario</x:v>
      </x:c>
      <x:c r="C63" s="70" t="str">
        <x:v>Acteur unique de traque et de décision</x:v>
      </x:c>
      <x:c r="D63" s="70" t="str">
        <x:v>HUM-032 ; Theta confirmée dans Predator (2022) #2. Son opposition à ce joueur et sa trêve éventuelle sont une adaptation alternative originale.</x:v>
      </x:c>
      <x:c r="E63" s="70" t="str">
        <x:v>1 Theta ; aucune escorte ni copie supplémentaire</x:v>
      </x:c>
      <x:c r="F63" s="74" t="n">
        <x:v>1</x:v>
      </x:c>
      <x:c r="G63" s="74" t="n">
        <x:v>1</x:v>
      </x:c>
      <x:c r="H63" s="70" t="str">
        <x:v>1 humaine combattante potentielle dans les 8 ennemis initiaux de EFF-17 ; les 7 autres sont GRP-56. Le statut neutre éventuel n’ajoute pas une neuvième personne.</x:v>
      </x:c>
      <x:c r="I63" s="70" t="str">
        <x:v>Autonomie de Theta : rejoindre l’avant-poste et survivre ; elle ne commande pas les sept gardes inventés.</x:v>
      </x:c>
      <x:c r="J63" s="70" t="str">
        <x:v>Observer, changer de route et combattre si menacée ; accepter uniquement la trêve définie par le scénario. Matériel tiré des pages retenues avant implémentation.</x:v>
      </x:c>
      <x:c r="K63" s="70" t="str">
        <x:v>Unique, active au front A au départ ; son déplacement vers B puis C transfère le même ID.</x:v>
      </x:c>
      <x:c r="L63" s="70" t="str">
        <x:v>Une conversion en neutre change la relation et le bilan des camps, sans spawn ni ajout à la réserve alliée. Mort, secours ou extraction persistants.</x:v>
      </x:c>
      <x:c r="M63" s="70" t="str">
        <x:v>À créer — adaptation de l’individu à une mission alternative</x:v>
      </x:c>
    </x:row>
    <x:row r="64" ht="157.5" customHeight="1">
      <x:c r="A64" s="71" t="str">
        <x:v>GRP-58</x:v>
      </x:c>
      <x:c r="B64" s="71" t="str">
        <x:v>Xénomorphes — ruche de LV-742</x:v>
      </x:c>
      <x:c r="C64" s="71" t="str">
        <x:v>Cellule mobile de ruche</x:v>
      </x:c>
      <x:c r="D64" s="71" t="str">
        <x:v>Profils Extinction uniquement : ne pas utiliser les règles Fireteam Elite des mêmes noms. Formation de huit originale.
Profil : Extinction</x:v>
      </x:c>
      <x:c r="E64" s="71" t="str">
        <x:v>8 organismes combattants : 4 Warriors, 2 Runners, 1 Drone et 1 Facehugger ; le leader tactique de simulation est un Warrior déjà compté, sans nouvelle caste créée.</x:v>
      </x:c>
      <x:c r="F64" s="75" t="n">
        <x:v>8</x:v>
      </x:c>
      <x:c r="G64" s="75" t="n">
        <x:v>8</x:v>
      </x:c>
      <x:c r="H64" s="71" t="str">
        <x:v>Huit combattants PNJ ; les œufs décoratifs ou inactifs sont des objets séparés et ne créent pas de population supplémentaire.</x:v>
      </x:c>
      <x:c r="I64" s="71" t="str">
        <x:v>Rattachement à un nœud de ruche et priorité locale ; pas d’officier humanoïde ni ordre vocal inventé comme canon.</x:v>
      </x:c>
      <x:c r="J64" s="71" t="str">
        <x:v>Attaquer les isolés, contourner les armes lourdes et converger vers un objectif de ruche ; le Facehugger recherche un hôte compatible plutôt que de suivre une attaque de mêlée générique.</x:v>
      </x:c>
      <x:c r="K64" s="71" t="str">
        <x:v>Conduits ou rassemblements de la ruche cartographiés ; réserves finies, origine persistante des créatures.</x:v>
      </x:c>
      <x:c r="L64" s="71" t="str">
        <x:v>La population d’hôtes nécessaire aux profils Extinction doit être documentée pour la mission. Aucun Neomorph, Offspring, Grid, Alpha ou organisme Pathogen injecté. Parasites et adultes comptent tous dans EFF-14.
Profils du catalogue : XEN-005 — Warrior ; XEN-006 — Runner — profils Extinction et Fireteam Elite ; XEN-004 — Drone — profils Extinction et Fireteam Elite ; XEN-002 — Facehugger
X-S01 — Aliens versus Predator: Extinction — manuel officiel PS2
https://gamingalexandria.com/ps2/Aliens%20Versus%20Predator%20Extinction/Aliens%20Versus%20Predator%20Extinction%20-%20Manual.pdf</x:v>
      </x:c>
      <x:c r="M64" s="71" t="str">
        <x:v>À créer — cellule originale avec identités médiatiques vérifiées</x:v>
      </x:c>
    </x:row>
    <x:row r="65" ht="157.5" customHeight="1">
      <x:c r="A65" s="70" t="str">
        <x:v>GRP-59</x:v>
      </x:c>
      <x:c r="B65" s="70" t="str">
        <x:v>Xénomorphes — garde de la ruche de LV-742</x:v>
      </x:c>
      <x:c r="C65" s="70" t="str">
        <x:v>Garde d’un conduit ou du centre reproducteur</x:v>
      </x:c>
      <x:c r="D65" s="70" t="str">
        <x:v>Profils Extinction ; formation et répartition originales. Une seule instance précise comporte la reine de scénario.
Profil : Extinction</x:v>
      </x:c>
      <x:c r="E65" s="70" t="str">
        <x:v>8 combattants en profil garde : 4 Warriors, 2 Drones, 2 Praetorians. Instance C-QUEEN uniquement : 4 Warriors, 2 Drones, 1 Praetorian et 1 reine BOS-39, qui remplace le second Praetorian.</x:v>
      </x:c>
      <x:c r="F65" s="74" t="n">
        <x:v>8</x:v>
      </x:c>
      <x:c r="G65" s="74" t="n">
        <x:v>8</x:v>
      </x:c>
      <x:c r="H65" s="70" t="str">
        <x:v>Huit PNJ par cellule ; BOS-39 compris dans une seule cellule identifiée C-QUEEN.</x:v>
      </x:c>
      <x:c r="I65" s="70" t="str">
        <x:v>Défense locale de la ruche ; la reine unique est un membre de C-QUEEN et non un neuvième acteur.</x:v>
      </x:c>
      <x:c r="J65" s="70" t="str">
        <x:v>Protéger les accès, couvrir les éclosions déjà budgétées et reculer vers une chambre encore reliée. Intercepter les attaquants qui approchent la reine, sans téléportation entre les fronts.</x:v>
      </x:c>
      <x:c r="K65" s="70" t="str">
        <x:v>Chambres et conduits connus. La garde C-QUEEN commence distante sur C et est matérialisée avec les mêmes IDs lorsque le joueur approche.</x:v>
      </x:c>
      <x:c r="L65" s="70" t="str">
        <x:v>Le remplacement reine est interdit à toute autre instance. Pas d’Empress volante, de King Prime ni de Predalien Titan. Perdre la reine change les réserves disponibles mais ne détruit pas les gardes à distance.
Profils du catalogue : XEN-005 — Warrior ; XEN-004 — Drone — profils Extinction et Fireteam Elite ; XEN-008 — Praetorian ; XEN-007 — Reine Xénomorphe
X-S01 — Aliens versus Predator: Extinction — manuel officiel PS2
https://gamingalexandria.com/ps2/Aliens%20Versus%20Predator%20Extinction/Aliens%20Versus%20Predator%20Extinction%20-%20Manual.pdf</x:v>
      </x:c>
      <x:c r="M65" s="70" t="str">
        <x:v>À créer — garde originale ; reine unique à intégrer</x:v>
      </x:c>
    </x:row>
    <x:row r="66" ht="198" customHeight="1">
      <x:c r="A66" s="71" t="str">
        <x:v>GRP-60</x:v>
      </x:c>
      <x:c r="B66" s="71" t="str">
        <x:v>Humains et soutien synthétique — Colonial Marines d’Extinction</x:v>
      </x:c>
      <x:c r="C66" s="71" t="str">
        <x:v>Section de ligne et de soutien technique</x:v>
      </x:c>
      <x:c r="D66" s="71" t="str">
        <x:v>Roster Extinction ; deux formations originales de huit, sans transfert de classes Fireteam Elite ou Dark Descent.
Profil : Extinction</x:v>
      </x:c>
      <x:c r="E66" s="71" t="str">
        <x:v>Profil H-LIGNE : 3 Infantry, 1 Smartgunner, 1 Flamethrower, 1 Medic, 1 CommTech, 1 Synthetic = 8. Profil H-APPUI : 1 Infantry, 1 Smartgunner, 1 Sniper, 1 SADAR, 1 Exosuit avec son pilote, 1 Medic, 1 CommTech, 1 Synthetic = 8.</x:v>
      </x:c>
      <x:c r="F66" s="75" t="n">
        <x:v>8</x:v>
      </x:c>
      <x:c r="G66" s="75" t="n">
        <x:v>8</x:v>
      </x:c>
      <x:c r="H66" s="71" t="str">
        <x:v>Huit combattants du camp humain par section ; combattant synthétique, commandement et pilote compris. Pas de passager dupliqué au sol.</x:v>
      </x:c>
      <x:c r="I66" s="71" t="str">
        <x:v>Un CommTech inclus transmet les ordres et demandes de renfort. Le CommTech A-COMMAND dirige cette opération ; fonction originale, sans création de grade canonique.</x:v>
      </x:c>
      <x:c r="J66" s="71" t="str">
        <x:v>Tenir les angles, réparer les installations atteignables, préserver la ligne de ravitaillement et évacuer les blessés ; les spécialistes continuent leurs tâches sans caméra.</x:v>
      </x:c>
      <x:c r="K66" s="71" t="str">
        <x:v>Balise humaine de A et position secondaire B ; chaque arrivée consomme la réserve correspondante. Retrait possible quand les routes et la liaison sont perdues.</x:v>
      </x:c>
      <x:c r="L66" s="71" t="str">
        <x:v>Exosuit et pilote constituent une seule unité combattante, pas un bonus hors quota. Synthetic est un combattant du camp humain. Les Sentry Guns sont du matériel distinct avec cap explicite ; aucun tir à travers un obstacle opaque.
Profils du catalogue : HUM-001 — Infantry — AVP: Extinction ; HUM-002 — Smartgunner — profil humain dédié ; HUM-003 — Flamethrower — opérateur lance-flammes ; HUM-036 — Sniper — Extinction ; HUM-037 — Medic — Extinction ; HUM-038 — CommTech — Extinction ; HUM-039 — Synthetic — Extinction ; HUM-040 — Exosuit — Extinction ; HUM-041 — SADAR — Extinction
X-S01 — Aliens versus Predator: Extinction — manuel officiel PS2
https://gamingalexandria.com/ps2/Aliens%20Versus%20Predator%20Extinction/Aliens%20Versus%20Predator%20Extinction%20-%20Manual.pdf</x:v>
      </x:c>
      <x:c r="M66" s="71" t="str">
        <x:v>À créer — formations originales à partir des unités d’Extinction</x:v>
      </x:c>
    </x:row>
    <x:row r="67" ht="171" customHeight="1">
      <x:c r="A67" s="70" t="str">
        <x:v>GRP-61</x:v>
      </x:c>
      <x:c r="B67" s="70" t="str">
        <x:v>Yautja — clan du joueur dans le cadre Extinction</x:v>
      </x:c>
      <x:c r="C67" s="70" t="str">
        <x:v>Détachement de chasse ou de couverture</x:v>
      </x:c>
      <x:c r="D67" s="70" t="str">
        <x:v>Unités Extinction ; aucune fonction de ce détachement n’est présentée comme caste sociale universelle. Le clan et son mandat sont originaux.
Profil : Extinction</x:v>
      </x:c>
      <x:c r="E67" s="70" t="str">
        <x:v>Profil Y-CHASSE : 1 Hunter, 1 Brawler, 1 Spear Master, 1 Stalker = 4. Profil Y-APPUI : 1 Disc Master, 1 Vanguard, 1 Hydra, 1 Blazer = 4. Le chef de simulation est un membre existant de la cellule.</x:v>
      </x:c>
      <x:c r="F67" s="74" t="n">
        <x:v>4</x:v>
      </x:c>
      <x:c r="G67" s="74" t="n">
        <x:v>4</x:v>
      </x:c>
      <x:c r="H67" s="70" t="str">
        <x:v>Quatre Yautja PNJ ; chefs inclus, un joueur séparé dans EFF-14.</x:v>
      </x:c>
      <x:c r="I67" s="70" t="str">
        <x:v>Ordres du joueur relayés par un membre désigné ; abandon ou repli local si la route de liaison est coupée.</x:v>
      </x:c>
      <x:c r="J67" s="70" t="str">
        <x:v>Y-CHASSE reconnaît, contourne et récupère les objectifs ; Y-APPUI couvre un passage dégagé et se retire si les angles de tir deviennent dangereux. Les quatre rôles gardent leur équipement propre.</x:v>
      </x:c>
      <x:c r="K67" s="70" t="str">
        <x:v>Sanctuaire de D et route de rappel tracée ; deux détachements de réserve au maximum pour toute l’opération.</x:v>
      </x:c>
      <x:c r="L67" s="70" t="str">
        <x:v>Le joueur est séparé des quatre. Les Predguns sont des matériels indépendants à cap limité, sans personnel supplémentaire gratuit. Aucun transfert des pouvoirs de Feral, Ultimate ou d’un héros nommé de film.
Profils du catalogue : YAU-029 — Brawler ; YAU-030 — Hunter — Extinction ; YAU-031 — Spear Master ; YAU-032 — Stalker — Extinction ; YAU-033 — Disc Master ; YAU-034 — Vanguard ; YAU-035 — Hydra ; YAU-036 — Blazer
X-S01 — Aliens versus Predator: Extinction — manuel officiel PS2
https://gamingalexandria.com/ps2/Aliens%20Versus%20Predator%20Extinction/Aliens%20Versus%20Predator%20Extinction%20-%20Manual.pdf</x:v>
      </x:c>
      <x:c r="M67" s="70" t="str">
        <x:v>À créer — formation originale de spécialistes à profiler</x:v>
      </x:c>
    </x:row>
    <x:row r="68" ht="63" customHeight="1">
      <x:c r="A68" s="71" t="str">
        <x:v>GRP-62</x:v>
      </x:c>
      <x:c r="B68" s="71" t="str">
        <x:v>Xénomorphes — Dark Descent</x:v>
      </x:c>
      <x:c r="C68" s="71" t="str">
        <x:v>Cellule adulte de ruche</x:v>
      </x:c>
      <x:c r="D68" s="71" t="str">
        <x:v>Dark Descent ; paramètres et silhouette propres au jeu</x:v>
      </x:c>
      <x:c r="E68" s="71" t="str">
        <x:v>8 adultes locaux</x:v>
      </x:c>
      <x:c r="F68" s="75" t="n">
        <x:v>8</x:v>
      </x:c>
      <x:c r="G68" s="75" t="n">
        <x:v>8</x:v>
      </x:c>
      <x:c r="H68" s="71" t="str">
        <x:v>Chefs et spécialistes compris dans ce total ; changements de niveau de simulation sans duplication.</x:v>
      </x:c>
      <x:c r="I68" s="71" t="str">
        <x:v>Pression biologique de ruche proposée</x:v>
      </x:c>
      <x:c r="J68" s="71" t="str">
        <x:v>Assaut, contournement et repli par les galeries du théâtre</x:v>
      </x:c>
      <x:c r="K68" s="71" t="str">
        <x:v>Routes de ruche liées aux réserves finies</x:v>
      </x:c>
      <x:c r="L68" s="71" t="str">
        <x:v>Aucune aptitude de Fireteam ou de métamorphose Extinction importée. Profils : XEN-037.
Profils du catalogue : XEN-037 — Xénomorphes adultes de Dark Descent</x:v>
      </x:c>
      <x:c r="M68" s="71" t="str">
        <x:v>Proposition à développer ; source des profils dans Bestiaire_medias</x:v>
      </x:c>
    </x:row>
  </x:sheetData>
  <x:pageMargins left="0.7" right="0.7" top="0.75" bottom="0.75" header="0.3" footer="0.3"/>
  <x:tableParts count="1">
    <x:tablePart xmlns:r="http://schemas.openxmlformats.org/officeDocument/2006/relationships" r:id="R308bd54505be4246"/>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40 lignes</x:v>
      </x:c>
      <x:c r="B5" s="3" t="str">
        <x:v>Scénarios détaillés : Affrontements</x:v>
      </x:c>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row r="20" ht="130.5" customHeight="1">
      <x:c r="A20" s="41" t="str">
        <x:v>FR-14</x:v>
      </x:c>
      <x:c r="B20" s="41" t="str">
        <x:v>Raid des archives retenues</x:v>
      </x:c>
      <x:c r="C20" s="41" t="str">
        <x:v>A — Ouvrir le dépôt et extraire le registre des routes.</x:v>
      </x:c>
      <x:c r="D20" s="41" t="str">
        <x:v>B — Brouiller ou capturer le relais avant l’alerte générale.</x:v>
      </x:c>
      <x:c r="E20" s="41" t="str">
        <x:v>C — Garder un quai de sortie et une voie de retour.</x:v>
      </x:c>
      <x:c r="F20" s="41" t="str">
        <x:v>Sans objet : cette opération possède exactement trois fronts.</x:v>
      </x:c>
      <x:c r="G20" s="41" t="str">
        <x:v>Sans objet : aucun cinquième front dans cette opération.</x:v>
      </x:c>
      <x:c r="H20" s="41" t="str">
        <x:v>Les gardes cherchent le registre, le relais progresse vers l’alerte et l’équipe de quai prépare un départ même hors caméra. Les réserves quittent un quai identifié.</x:v>
      </x:c>
      <x:c r="I20" s="41" t="str">
        <x:v>Raid silencieux et extraction précoce, ou prise durable du relais pour obtenir plus de renseignements.</x:v>
      </x:c>
      <x:c r="J20" s="41" t="str">
        <x:v>Relais ignoré : patrouilles distantes convergent. Quai perdu : la sortie se déplace vers la corniche, avec un délai annoncé. Les archives intactes permettent d’identifier un convoi dans l’opération suivante.</x:v>
      </x:c>
      <x:c r="K20" s="41" t="str">
        <x:v>Registre sécurisé et détachement revenu par une sortie praticable ; capture du commandant facultative.</x:v>
      </x:c>
      <x:c r="L20"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LD-14
Gabarit : EFF-09
Fronts simultanés prévus : 3</x:v>
      </x:c>
      <x:c r="M20" s="41" t="str">
        <x:v>P1</x:v>
      </x:c>
    </x:row>
    <x:row r="21" ht="130.5" customHeight="1">
      <x:c r="A21" s="40" t="str">
        <x:v>FR-15</x:v>
      </x:c>
      <x:c r="B21" s="40" t="str">
        <x:v>Défense des Quatre Accès</x:v>
      </x:c>
      <x:c r="C21" s="40" t="str">
        <x:v>A — Contenir la brèche de l’enceinte et préserver les accès de défense.</x:v>
      </x:c>
      <x:c r="D21" s="40" t="str">
        <x:v>B — Maintenir l’énergie et les réparations de la forge sans transformer celle-ci en objectif de massacres.</x:v>
      </x:c>
      <x:c r="E21" s="40" t="str">
        <x:v>C — Escorter les équipages et la réserve mobile jusqu’au port.</x:v>
      </x:c>
      <x:c r="F21" s="40" t="str">
        <x:v>D — Couper la route de ravitaillement de la commandante de siège et préserver son propre retrait.</x:v>
      </x:c>
      <x:c r="G21" s="40" t="str">
        <x:v>Sans objet : aucun cinquième front dans cette opération.</x:v>
      </x:c>
      <x:c r="H21" s="40" t="str">
        <x:v>Quatre axes progressent séparément : brèche, réparations, évacuation et chaîne d’ordres. Les assiégeants peuvent préférer la saisie du port à une bataille dans les quartiers.</x:v>
      </x:c>
      <x:c r="I21" s="40" t="str">
        <x:v>Contre-attaque sur le commandement rival, ou défense mobile qui concède l’enceinte mais conserve le port et les archives.</x:v>
      </x:c>
      <x:c r="J21" s="40" t="str">
        <x:v>Forge perdue : réparations suspendues. Port menacé : fenêtre d’évacuation se réduit. Commandement rival privé de ravitaillement : assaut ralentit puis retraite possible ; aucun soldat ne disparaît.</x:v>
      </x:c>
      <x:c r="K21" s="40" t="str">
        <x:v>Conserver ou évacuer les archives et les défenseurs, puis imposer une cessation de l’assaut ou un départ viable.</x:v>
      </x:c>
      <x:c r="L21" s="40" t="str">
        <x:v>Scénario original de conflit entre deux clans Yautja inventés ; aucune guerre, coutume, hiérarchie ou règle de duel n’est présentée comme canonique ou universelle. Budget EFF-10, 4 fronts persistants. Un chef remplace un membre de son escouade ; joueur exclu des PNJ. Aucun renfort illimité.
Carte : LD-12
Gabarit : EFF-10
Fronts simultanés prévus : 4</x:v>
      </x:c>
      <x:c r="M21" s="40" t="str">
        <x:v>P1</x:v>
      </x:c>
    </x:row>
    <x:row r="22" ht="130.5" customHeight="1">
      <x:c r="A22" s="41" t="str">
        <x:v>FR-16</x:v>
      </x:c>
      <x:c r="B22" s="41" t="str">
        <x:v>Interception du Convoi gris</x:v>
      </x:c>
      <x:c r="C22" s="41" t="str">
        <x:v>A — Suivre et immobiliser les deux modules de fret sans détruire leur contenu.</x:v>
      </x:c>
      <x:c r="D22" s="41" t="str">
        <x:v>B — Saisir le prochain passage pour choisir où se produit l’interception.</x:v>
      </x:c>
      <x:c r="E22" s="41" t="str">
        <x:v>C — Préserver le terminus de récupération et empêcher la fuite par la piste latérale.</x:v>
      </x:c>
      <x:c r="F22" s="41" t="str">
        <x:v>Sans objet : cette opération possède exactement trois fronts.</x:v>
      </x:c>
      <x:c r="G22" s="41" t="str">
        <x:v>Sans objet : aucun cinquième front dans cette opération.</x:v>
      </x:c>
      <x:c r="H22" s="41" t="str">
        <x:v>Le convoi avance, les gardes changent de route et les escouades d’interception manœuvrent hors écran. Un module immobilisé reste sur place avec son état.</x:v>
      </x:c>
      <x:c r="I22" s="41" t="str">
        <x:v>Prendre de l’avance par les terrasses ou ralentir le convoi au prix d’une alerte plus rapide.</x:v>
      </x:c>
      <x:c r="J22" s="41" t="str">
        <x:v>Passage ignoré : détour plus long pour le joueur. Sortie perdue : un module peut s’échapper et réduit le butin, sans annuler la capture de l’autre.</x:v>
      </x:c>
      <x:c r="K22" s="41" t="str">
        <x:v>Au moins un module récupéré intact et corridor de retour sécurisé ; récupérer les deux constitue l’objectif secondaire.</x:v>
      </x:c>
      <x:c r="L22"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LD-15
Gabarit : EFF-09
Fronts simultanés prévus : 3</x:v>
      </x:c>
      <x:c r="M22" s="41" t="str">
        <x:v>P1</x:v>
      </x:c>
    </x:row>
    <x:row r="23" ht="130.5" customHeight="1">
      <x:c r="A23" s="40" t="str">
        <x:v>FR-17</x:v>
      </x:c>
      <x:c r="B23" s="40" t="str">
        <x:v>Frontière des Deux Balises</x:v>
      </x:c>
      <x:c r="C23" s="40" t="str">
        <x:v>A — Identifier et repousser une intrusion au passage officiel.</x:v>
      </x:c>
      <x:c r="D23" s="40" t="str">
        <x:v>B — Sécuriser le ravitaillement et vérifier l’origine d’une attaque contestée.</x:v>
      </x:c>
      <x:c r="E23" s="40" t="str">
        <x:v>C — Maintenir le relais qui transmet retrait, identification ou trêve locale.</x:v>
      </x:c>
      <x:c r="F23" s="40" t="str">
        <x:v>Sans objet : cette opération possède exactement trois fronts.</x:v>
      </x:c>
      <x:c r="G23" s="40" t="str">
        <x:v>Sans objet : aucun cinquième front dans cette opération.</x:v>
      </x:c>
      <x:c r="H23" s="40" t="str">
        <x:v>Chaque patrouille poursuit sa mission et peut se retirer. La tension dépend des intrusions, preuves et tirs observés ; elle continue d’évoluer hors caméra.</x:v>
      </x:c>
      <x:c r="I23" s="40" t="str">
        <x:v>Bloquer l’accès par la force, escorter un passage négocié ou récupérer une preuve avant d’ouvrir le feu.</x:v>
      </x:c>
      <x:c r="J23" s="40" t="str">
        <x:v>Relais perdu : ordres de cessez-le-feu retardés. Tir non justifié : escalade locale et arrivée d’une réserve existante. Preuve récupérée : retrait négocié possible sur deux cols.</x:v>
      </x:c>
      <x:c r="K23" s="40" t="str">
        <x:v>Deux passages sécurisés et un accord de frontière ou une évacuation ordonnée, sans obligation de vaincre un boss.</x:v>
      </x:c>
      <x:c r="L23" s="40"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LD-16
Gabarit : EFF-09
Fronts simultanés prévus : 3</x:v>
      </x:c>
      <x:c r="M23" s="40" t="str">
        <x:v>P1</x:v>
      </x:c>
    </x:row>
    <x:row r="24" ht="130.5" customHeight="1">
      <x:c r="A24" s="41" t="str">
        <x:v>FR-18</x:v>
      </x:c>
      <x:c r="B24" s="41" t="str">
        <x:v>Accord sous les Arches silencieuses</x:v>
      </x:c>
      <x:c r="C24" s="41" t="str">
        <x:v>A — Affronter ou convaincre la porte-parole selon les règles acceptées pour cette rencontre.</x:v>
      </x:c>
      <x:c r="D24" s="41" t="str">
        <x:v>B — Faire retirer les équipes de fret et récupérer les blessés pendant l’échange.</x:v>
      </x:c>
      <x:c r="E24" s="41" t="str">
        <x:v>C — Obtenir la réception de l’ordre de cessation par les gardes qui contestent l’accord.</x:v>
      </x:c>
      <x:c r="F24" s="41" t="str">
        <x:v>Sans objet : cette opération possède exactement trois fronts.</x:v>
      </x:c>
      <x:c r="G24" s="41" t="str">
        <x:v>Sans objet : aucun cinquième front dans cette opération.</x:v>
      </x:c>
      <x:c r="H24" s="41" t="str">
        <x:v>Le duel ne gèle pas le monde. Retrait, soin et contestation continuent ; les deux camps peuvent émettre un arrêt si les conditions négociées sont violées.</x:v>
      </x:c>
      <x:c r="I24" s="41" t="str">
        <x:v>Accepter le duel, négocier une concession matérielle, ou quitter l’arène pour rétablir un relais menacé.</x:v>
      </x:c>
      <x:c r="J24" s="41" t="str">
        <x:v>Victoire ou concession : ordre de cessation proposé, puis exécuté seulement après réception. Relais bloqué : une escouade continue l’interception. Rupture du duel : fenêtre de sortie annoncée et reprise limitée des hostilités.</x:v>
      </x:c>
      <x:c r="K24" s="41" t="str">
        <x:v>Accord ou repli validé sur les trois fronts, avec unités retirées réellement et statut de la porte-parole conservé.</x:v>
      </x:c>
      <x:c r="L24"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LD-17
Gabarit : EFF-09
Fronts simultanés prévus : 3</x:v>
      </x:c>
      <x:c r="M24" s="41" t="str">
        <x:v>P1</x:v>
      </x:c>
    </x:row>
    <x:row r="25" ht="49.5" customHeight="1">
      <x:c r="A25" s="40" t="str">
        <x:v>FR-19</x:v>
      </x:c>
      <x:c r="B25" s="40" t="str">
        <x:v>Port de récupération : reprendre le matériel du clan</x:v>
      </x:c>
      <x:c r="C25" s="40" t="str">
        <x:v>Ouvrir le hangar où le matériel capturé est regroupé</x:v>
      </x:c>
      <x:c r="D25" s="40" t="str">
        <x:v>Couper le relais de surveillance et empêcher une mise en alerte générale</x:v>
      </x:c>
      <x:c r="E25" s="40" t="str">
        <x:v>Intercepter le transfert et maintenir le quai d’extraction</x:v>
      </x:c>
      <x:c r="F25" s="40" t="str">
        <x:v>Sans objet : opération limitée à trois fronts</x:v>
      </x:c>
      <x:c r="G25" s="40" t="str">
        <x:v>Sans objet : opération limitée à trois fronts</x:v>
      </x:c>
      <x:c r="H25" s="40" t="str">
        <x:v>Le convoi suit son horaire ; les gardes reçoivent des ordres depuis le poste et l’équipe d’extraction peut être repoussée hors caméra</x:v>
      </x:c>
      <x:c r="I25" s="40" t="str">
        <x:v>Neutraliser la surveillance avant assaut ou couper immédiatement le transfert</x:v>
      </x:c>
      <x:c r="J25" s="40" t="str">
        <x:v>Le matériel part vers un autre hangar, les renforts changent de route ou le quai devient inaccessible</x:v>
      </x:c>
      <x:c r="K25" s="40" t="str">
        <x:v>Matériel identifié récupéré et chasseur extrait par une voie encore ouverte ; neutraliser le commandant seul ne termine pas la mission</x:v>
      </x:c>
      <x:c r="L25" s="40" t="str">
        <x:v>AFF-06 ; LD-18 ; EFF-11 : 256 ennemis humains et 8 alliés Yautja PNJ alloués, plus 1 joueur ; opération contemporaine originale</x:v>
      </x:c>
      <x:c r="M25" s="40" t="str">
        <x:v>P1</x:v>
      </x:c>
    </x:row>
    <x:row r="26" ht="49.5" customHeight="1">
      <x:c r="A26" s="41" t="str">
        <x:v>FR-20</x:v>
      </x:c>
      <x:c r="B26" s="41" t="str">
        <x:v>Bassin industriel : interrompre la livraison d’un trophée technologique</x:v>
      </x:c>
      <x:c r="C26" s="41" t="str">
        <x:v>Saisir la halle où le chargement est préparé</x:v>
      </x:c>
      <x:c r="D26" s="41" t="str">
        <x:v>Intercepter le convoi ferroviaire ou routier avant sortie du site</x:v>
      </x:c>
      <x:c r="E26" s="41" t="str">
        <x:v>Désorganiser le poste de sécurité et préserver la sortie de maintenance</x:v>
      </x:c>
      <x:c r="F26" s="41" t="str">
        <x:v>Sans objet : opération limitée à trois fronts</x:v>
      </x:c>
      <x:c r="G26" s="41" t="str">
        <x:v>Sans objet : opération limitée à trois fronts</x:v>
      </x:c>
      <x:c r="H26" s="41" t="str">
        <x:v>Les mercenaires escortent la livraison, déplacent leurs barrages et défendent la logistique sans attendre le joueur</x:v>
      </x:c>
      <x:c r="I26" s="41" t="str">
        <x:v>Prendre les documents de destination ou détruire le dispositif de transfert avant départ</x:v>
      </x:c>
      <x:c r="J26" s="41" t="str">
        <x:v>La livraison change de destination, la sortie est verrouillée ou des gardes se redéploient depuis un dépôt encore actif</x:v>
      </x:c>
      <x:c r="K26" s="41" t="str">
        <x:v>Chargement récupéré ou rendu inutilisable selon objectif choisi avant départ, puis extraction ; bilan de sortie et survivants enregistré</x:v>
      </x:c>
      <x:c r="L26" s="41" t="str">
        <x:v>AFF-07 ; LD-19 ; EFF-11 ; entreprise et mercenaires contemporains originaux, aucune arme future</x:v>
      </x:c>
      <x:c r="M26" s="41" t="str">
        <x:v>P1</x:v>
      </x:c>
    </x:row>
    <x:row r="27" ht="49.5" customHeight="1">
      <x:c r="A27" s="40" t="str">
        <x:v>FR-21</x:v>
      </x:c>
      <x:c r="B27" s="40" t="str">
        <x:v>Colonie en conflit : reprendre une installation occupée</x:v>
      </x:c>
      <x:c r="C27" s="40" t="str">
        <x:v>Prendre le poste de coordination de la force militaire hostile</x:v>
      </x:c>
      <x:c r="D27" s="40" t="str">
        <x:v>Couper la route de ravitaillement et les armes d’appui</x:v>
      </x:c>
      <x:c r="E27" s="40" t="str">
        <x:v>Récupérer l’objectif du clan dans les ateliers et tenir la liaison</x:v>
      </x:c>
      <x:c r="F27" s="40" t="str">
        <x:v>Protéger l’aire d’extraction contre une contre-attaque de réserve</x:v>
      </x:c>
      <x:c r="G27" s="40" t="str">
        <x:v>Sans objet : opération limitée à quatre fronts</x:v>
      </x:c>
      <x:c r="H27" s="40" t="str">
        <x:v>Les sections humaines renforcent l’axe le plus menacé ; logistique, détachement allié et extraction évoluent même hors caméra</x:v>
      </x:c>
      <x:c r="I27" s="40" t="str">
        <x:v>Réduire la capacité de contre-attaque avant la récupération ou agir vite puis défendre la retraite</x:v>
      </x:c>
      <x:c r="J27" s="40" t="str">
        <x:v>Les réserves arrivent par les routes ouvertes ; perte de liaison force un détour et rend l’extraction plus coûteuse</x:v>
      </x:c>
      <x:c r="K27" s="40" t="str">
        <x:v>Objectif du clan récupéré et extraction assurée ; la colonie conserve son état, ses civils et ses voies techniques après le combat</x:v>
      </x:c>
      <x:c r="L27" s="40" t="str">
        <x:v>AFF-08 ; réutilise LD-11 ; EFF-12 : 768 ennemis humains et 32 alliés Yautja PNJ alloués, plus 1 joueur. Variante originale sans ruche active par défaut.</x:v>
      </x:c>
      <x:c r="M27" s="40" t="str">
        <x:v>P1</x:v>
      </x:c>
    </x:row>
    <x:row r="28" ht="49.5" customHeight="1">
      <x:c r="A28" s="41" t="str">
        <x:v>FR-22</x:v>
      </x:c>
      <x:c r="B28" s="41" t="str">
        <x:v>Chantier orbital : libérer la navette saisie</x:v>
      </x:c>
      <x:c r="C28" s="41" t="str">
        <x:v>Traverser les compartiments de sûreté jusqu’au contrôle d’amarrage</x:v>
      </x:c>
      <x:c r="D28" s="41" t="str">
        <x:v>Couper les interceptions et rétablir une alimentation exploitable</x:v>
      </x:c>
      <x:c r="E28" s="41" t="str">
        <x:v>Récupérer les données du clan sans perdre le sas de retour</x:v>
      </x:c>
      <x:c r="F28" s="41" t="str">
        <x:v>Tenir le quai de départ pendant la préparation de la navette</x:v>
      </x:c>
      <x:c r="G28" s="41" t="str">
        <x:v>Sans objet : opération limitée à quatre fronts</x:v>
      </x:c>
      <x:c r="H28" s="41" t="str">
        <x:v>La sûreté déplace ses équipes par les sas ouverts ; les navettes de renfort amarrent réellement ; le départ et les pannes ont une horloge commune</x:v>
      </x:c>
      <x:c r="I28" s="41" t="str">
        <x:v>Ouvrir un raccourci sous gravité dégradée ou préserver le circuit d’air et sécuriser une route plus longue</x:v>
      </x:c>
      <x:c r="J28" s="41" t="str">
        <x:v>Le quai est recapturé, un sas ferme ou l’interception retarde le départ ; aucune équipe ne se téléporte à travers un compartiment isolé</x:v>
      </x:c>
      <x:c r="K28" s="41" t="str">
        <x:v>Navette libérée, données ou matériel requis récupérés et décollage accompli ; le chef de sûreté est un obstacle, pas une condition suffisante de victoire</x:v>
      </x:c>
      <x:c r="L28" s="41" t="str">
        <x:v>AFF-09 ; LD-20 ; EFF-12 ; station et sûreté humaines originales du futur, sans Offspring, Rogue ni ruche par défaut</x:v>
      </x:c>
      <x:c r="M28" s="41" t="str">
        <x:v>P1</x:v>
      </x:c>
    </x:row>
    <x:row r="29" ht="63" customHeight="1">
      <x:c r="A29" s="40" t="str">
        <x:v>FR-23</x:v>
      </x:c>
      <x:c r="B29" s="40" t="str">
        <x:v>Cité-port : extraire un captif sans perdre la sortie</x:v>
      </x:c>
      <x:c r="C29" s="40" t="str">
        <x:v>Contourner ou ouvrir le cordon de confinement du centre médical</x:v>
      </x:c>
      <x:c r="D29" s="40" t="str">
        <x:v>Désorganiser le poste d’interception militaire</x:v>
      </x:c>
      <x:c r="E29" s="40" t="str">
        <x:v>Préparer un transfert vers le terminal et défendre le véhicule ou passage</x:v>
      </x:c>
      <x:c r="F29" s="40" t="str">
        <x:v>Maintenir le couloir partagé avec l’évacuation civile</x:v>
      </x:c>
      <x:c r="G29" s="40" t="str">
        <x:v>Sans objet : opération limitée à quatre fronts</x:v>
      </x:c>
      <x:c r="H29" s="40" t="str">
        <x:v>Le captif peut être transféré ; les militaires déplacent leurs barrages et les civils gagnent leurs refuges hors caméra</x:v>
      </x:c>
      <x:c r="I29" s="40" t="str">
        <x:v>Reprendre immédiatement le captif ou sécuriser d’abord le couloir de sortie</x:v>
      </x:c>
      <x:c r="J29" s="40" t="str">
        <x:v>Le transfert change de route, le terminal se ferme ou le trajet civil devient dangereux ; chaque conséquence est annoncée et persistante</x:v>
      </x:c>
      <x:c r="K29" s="40" t="str">
        <x:v>Captif non combattant extrait avec le joueur et objectif militaire résolu ; le bilan des civils est enregistré séparément du score de combat</x:v>
      </x:c>
      <x:c r="L29" s="40" t="str">
        <x:v>AFF-10 ; LD-21 ; EFF-12 ; campagne future originale, militaires hostiles par mandat explicite et civils neutres ; le captif ne rejoint pas automatiquement les 32 alliés combattants</x:v>
      </x:c>
      <x:c r="M29" s="40" t="str">
        <x:v>P2</x:v>
      </x:c>
    </x:row>
    <x:row r="30" ht="76.5" customHeight="1">
      <x:c r="A30" s="41" t="str">
        <x:v>FR-24</x:v>
      </x:c>
      <x:c r="B30" s="41" t="str">
        <x:v>Convergence sur une colonie : deux adversaires indépendants</x:v>
      </x:c>
      <x:c r="C30" s="41" t="str">
        <x:v>Sécuriser le quai contre la cellule Yautja rivale et garder un accès d’extraction</x:v>
      </x:c>
      <x:c r="D30" s="41" t="str">
        <x:v>Interrompre le transfert humain de l’équipement volé sans détruire la colonie habitée</x:v>
      </x:c>
      <x:c r="E30" s="41" t="str">
        <x:v>Couper le nœud radio qui coordonne les renforts humains</x:v>
      </x:c>
      <x:c r="F30" s="41" t="str">
        <x:v>Faire passer trois groupes de huit civils par le corridor civil protégé</x:v>
      </x:c>
      <x:c r="G30" s="41" t="str">
        <x:v>Sans objet : quatre fronts pour cette opération</x:v>
      </x:c>
      <x:c r="H30" s="41" t="str">
        <x:v>Le clan rival tente de saisir le même équipement ; les humains défendent le transfert et ouvrent le feu sur les deux clans selon leurs contacts. Chaque camp consomme sa propre réserve et peut se battre contre l’autre hors de la caméra.</x:v>
      </x:c>
      <x:c r="I30" s="41" t="str">
        <x:v>Accélérer la récupération, secourir le corridor civil ou négocier une neutralité temporaire avec une cellule rivale</x:v>
      </x:c>
      <x:c r="J30" s="41" t="str">
        <x:v>Un quai perdu ferme une sortie ; la radio intacte permet une réaffectation des unités humaines ; un corridor abandonné bloque une extraction civile, sans conversion des civils en ennemis.</x:v>
      </x:c>
      <x:c r="K30" s="41" t="str">
        <x:v>Équipement récupéré et joueur extrait par une route tenue. Douze à vingt-trois civils évacués donnent une victoire partielle, vingt-quatre le meilleur bilan ; moins de douze donnent un repli non victorieux et un échec du secours.</x:v>
      </x:c>
      <x:c r="L30" s="41" t="str">
        <x:v>Carte LD-11 ; EFF-13. Rivaux : 16 actifs +16 distants +16 réserve =48. Humains : 80 +176 +80 =336. Alliés : 12 +12 +8 =32. Groupes rivaux de 4 et humains de 8. Les 24 civils sont séparés, dont 8 actifs au plus. Cadre futur original, aucune scène officielle revendiquée.</x:v>
      </x:c>
      <x:c r="M30" s="41" t="str">
        <x:v>P1</x:v>
      </x:c>
    </x:row>
    <x:row r="31" ht="76.5" customHeight="1">
      <x:c r="A31" s="40" t="str">
        <x:v>FR-25</x:v>
      </x:c>
      <x:c r="B31" s="40" t="str">
        <x:v>Citadelle sous double pression : guerre de clans et raid humain</x:v>
      </x:c>
      <x:c r="C31" s="40" t="str">
        <x:v>Repousser le débarquement humain au port sans sacrifier la route des transports du clan</x:v>
      </x:c>
      <x:c r="D31" s="40" t="str">
        <x:v>Empêcher le clan rival de prendre les archives et les accès supérieurs</x:v>
      </x:c>
      <x:c r="E31" s="40" t="str">
        <x:v>Rétablir le relais qui permet des ordres cohérents et un cessez-le-feu local éventuel</x:v>
      </x:c>
      <x:c r="F31" s="40" t="str">
        <x:v>Évacuer douze membres non combattants du clan depuis les ateliers vers un abri</x:v>
      </x:c>
      <x:c r="G31" s="40" t="str">
        <x:v>Sans objet : quatre fronts pour cette opération</x:v>
      </x:c>
      <x:c r="H31" s="40" t="str">
        <x:v>Les humains poursuivent un objectif de récupération technologique et les rivaux un objectif territorial. La perte d’une route logistique modifie leurs possibilités de renfort. Un accord local suspend un engagement mais ne transforme pas toute une faction en alliée.</x:v>
      </x:c>
      <x:c r="I31" s="40" t="str">
        <x:v>Conserver tous les secteurs ou céder une zone pour isoler un adversaire et garantir l’évacuation</x:v>
      </x:c>
      <x:c r="J31" s="40" t="str">
        <x:v>Port perdu : réserve alliée retardée. Archives perdues : objectif de récupération déclenché. Relais perdu : ordres limités à portée locale. Ateliers abandonnés : évacuation interrompue et pertes persistantes.</x:v>
      </x:c>
      <x:c r="K31" s="40" t="str">
        <x:v>Abri et route de sortie conservés, relais repris et les deux objectifs ennemis empêchés ou récupérés. Une retraite du joueur avec les survivants constitue une issue distincte de victoire.</x:v>
      </x:c>
      <x:c r="L31" s="40" t="str">
        <x:v>Carte LD-12 ; EFF-13. Rivaux : 24 actifs +48 distants +24 réserve =96. Humains : 72 +144 +72 =288. Alliés : 12 +12 +8 =32. Douze non-combattants séparés, six actifs au plus. Incursion future et citadelle entièrement originales ; aucun rite ou conflit présenté comme fait canonique.</x:v>
      </x:c>
      <x:c r="M31" s="40" t="str">
        <x:v>P2</x:v>
      </x:c>
    </x:row>
    <x:row r="32" ht="63" customHeight="1">
      <x:c r="A32" s="71" t="str">
        <x:v>FR-26</x:v>
      </x:c>
      <x:c r="B32" s="71" t="str">
        <x:v>Sevastopol — ouvrir une issue sans réveiller toute la station</x:v>
      </x:c>
      <x:c r="C32" s="71" t="str">
        <x:v>Ouvrir le sas de sortie</x:v>
      </x:c>
      <x:c r="D32" s="71" t="str">
        <x:v>Isoler les commandes des Working Joes</x:v>
      </x:c>
      <x:c r="E32" s="71" t="str">
        <x:v>Conduire les rescapés par le transit</x:v>
      </x:c>
      <x:c r="F32" s="71" t="str">
        <x:v>Sans objet : trois fronts dans cette opération</x:v>
      </x:c>
      <x:c r="G32" s="71" t="str">
        <x:v>Sans objet</x:v>
      </x:c>
      <x:c r="H32" s="71" t="str">
        <x:v>Les Joes maintiennent leurs consignes tandis que les adultes se déplacent entre conduits ; une alarme influence les trajets sans recréer les unités.</x:v>
      </x:c>
      <x:c r="I32" s="71" t="str">
        <x:v>Couper le réseau ou accélérer les secours au prix d’une route plus exposée</x:v>
      </x:c>
      <x:c r="J32" s="71" t="str">
        <x:v>Réseau intact : route de maintenance surveillée. Sas perdu : détour plus long. Survivants bloqués : objectif de secours incomplet.</x:v>
      </x:c>
      <x:c r="K32" s="71" t="str">
        <x:v>Extraire le joueur, conserver un sas praticable et évacuer au moins 4 des 8 civils ; huit donnent le meilleur bilan.</x:v>
      </x:c>
      <x:c r="L32" s="71" t="str">
        <x:v>LD-22 ; EFF-15 ; 40 adversaires et 4 alliés PNJ alloués, joueur séparé. Interdire les armes de Marines aux Joes ; huit adultes au total constituent cette variante originale, sans nombre canonique revendiqué.</x:v>
      </x:c>
      <x:c r="M32" s="71" t="str">
        <x:v>P1</x:v>
      </x:c>
    </x:row>
    <x:row r="33" ht="63" customHeight="1">
      <x:c r="A33" s="70" t="str">
        <x:v>FR-27</x:v>
      </x:c>
      <x:c r="B33" s="70" t="str">
        <x:v>Lethe — briser la pression sur le corridor d’évacuation</x:v>
      </x:c>
      <x:c r="C33" s="70" t="str">
        <x:v>Maintenir le corridor civil</x:v>
      </x:c>
      <x:c r="D33" s="70" t="str">
        <x:v>Couper deux voies de réserve de la ruche</x:v>
      </x:c>
      <x:c r="E33" s="70" t="str">
        <x:v>Dégager le passage protégé par le Praetorian</x:v>
      </x:c>
      <x:c r="F33" s="70" t="str">
        <x:v>Sans objet : trois fronts dans cette opération</x:v>
      </x:c>
      <x:c r="G33" s="70" t="str">
        <x:v>Sans objet</x:v>
      </x:c>
      <x:c r="H33" s="70" t="str">
        <x:v>La ruche réaffecte les adultes aux voies encore ouvertes ; les alliés tiennent ou abandonnent un poste selon leur force restante.</x:v>
      </x:c>
      <x:c r="I33" s="70" t="str">
        <x:v>Réduire les renforts ou dégager immédiatement les civils</x:v>
      </x:c>
      <x:c r="J33" s="70" t="str">
        <x:v>Une voie non coupée augmente la pression via des unités déjà en réserve ; le corridor peut tomber hors caméra, déplaçant l’extraction.</x:v>
      </x:c>
      <x:c r="K33" s="70" t="str">
        <x:v>Fermer les deux voies, ouvrir le passage et extraire 16 des 24 civils ;24 donnent le meilleur bilan.</x:v>
      </x:c>
      <x:c r="L33" s="70" t="str">
        <x:v>LD-23 ; EFF-03 ; 1000 adversaires et 48 alliés PNJ alloués, joueur séparé. Population de guerre originale. Sélectionner GRP-62 et les paramètres Dark Descent ; documenter leurs attaques avant reconstitution.</x:v>
      </x:c>
      <x:c r="M33" s="70" t="str">
        <x:v>P1</x:v>
      </x:c>
    </x:row>
    <x:row r="34" ht="63" customHeight="1">
      <x:c r="A34" s="71" t="str">
        <x:v>FR-28</x:v>
      </x:c>
      <x:c r="B34" s="71" t="str">
        <x:v>Freya Prospect — trois armées pour un même complexe</x:v>
      </x:c>
      <x:c r="C34" s="71" t="str">
        <x:v>Tenir l’extraction du clan</x:v>
      </x:c>
      <x:c r="D34" s="71" t="str">
        <x:v>Interrompre le transfert humain</x:v>
      </x:c>
      <x:c r="E34" s="71" t="str">
        <x:v>Fermer la voie d’invasion de la ruche</x:v>
      </x:c>
      <x:c r="F34" s="71" t="str">
        <x:v>Protéger le relais et la route de repli</x:v>
      </x:c>
      <x:c r="G34" s="71" t="str">
        <x:v>Sans objet</x:v>
      </x:c>
      <x:c r="H34" s="71" t="str">
        <x:v>La sécurité protège son transfert, la ruche ouvre des accès, le clan récupère son objectif ; humains et Xénomorphes peuvent faire basculer un secteur sans le joueur.</x:v>
      </x:c>
      <x:c r="I34" s="71" t="str">
        <x:v>Saboter le transfert ou fermer d’abord la route de ruche</x:v>
      </x:c>
      <x:c r="J34" s="71" t="str">
        <x:v>Le camp qui garde son axe engage une réserve finie ; un transfert quitté réellement sort du théâtre, un tunnel fermé impose un détour.</x:v>
      </x:c>
      <x:c r="K34" s="71" t="str">
        <x:v>Récupérer l’objectif, tenir une route d’extraction et empêcher la sortie du convoi adverse.</x:v>
      </x:c>
      <x:c r="L34" s="71" t="str">
        <x:v>LD-24 ; EFF-14 ; 928 adversaires et 24 alliés PNJ alloués, joueur séparé. Deux camps adverses séparés, aucune alliance automatique. Pas de variantes Pathogen ni de classes Fireteam.</x:v>
      </x:c>
      <x:c r="M34" s="71" t="str">
        <x:v>P1</x:v>
      </x:c>
    </x:row>
    <x:row r="35" ht="63" customHeight="1">
      <x:c r="A35" s="70" t="str">
        <x:v>FR-29</x:v>
      </x:c>
      <x:c r="B35" s="70" t="str">
        <x:v>LV-895 — prendre le relais entre ruines et complexe</x:v>
      </x:c>
      <x:c r="C35" s="70" t="str">
        <x:v>Prendre le relais et identifier le module de données</x:v>
      </x:c>
      <x:c r="D35" s="70" t="str">
        <x:v>Intercepter le transfert de ce même module</x:v>
      </x:c>
      <x:c r="E35" s="70" t="str">
        <x:v>Déloger le Spitter qui ferme la passe</x:v>
      </x:c>
      <x:c r="F35" s="70" t="str">
        <x:v>Garder l’itinéraire d’extraction</x:v>
      </x:c>
      <x:c r="G35" s="70" t="str">
        <x:v>Sans objet</x:v>
      </x:c>
      <x:c r="H35" s="70" t="str">
        <x:v>Les synthétiques défendent le transfert et les Xénomorphes progressent par leurs galeries ; leur combat indépendant peut couper la route choisie par le joueur.</x:v>
      </x:c>
      <x:c r="I35" s="70" t="str">
        <x:v>Prendre le relais pour désorganiser la défense ou sauver l’extraction menacée</x:v>
      </x:c>
      <x:c r="J35" s="70" t="str">
        <x:v>Relais perdu : coordination locale seulement et module déplacé sur le convoi. Passe libérée : route de secours ouverte. Convoi quittant réellement le théâtre avec le module : échec de récupération.</x:v>
      </x:c>
      <x:c r="K35" s="70" t="str">
        <x:v>Récupérer le même module de données au relais ou sur le convoi intercepté, puis extraire le joueur et le module par une route tenue.</x:v>
      </x:c>
      <x:c r="L35" s="70" t="str">
        <x:v>LD-25 ; EFF-14 ; 928 adversaires et 24 alliés PNJ alloués, joueur séparé. Preset standard : Pathogen Runner/Blight/Brute/Queen désactivés. Un scénario Pathogen exige une variante explicite et un foyer distinct.</x:v>
      </x:c>
      <x:c r="M35" s="70" t="str">
        <x:v>P1</x:v>
      </x:c>
    </x:row>
    <x:row r="36" ht="63" customHeight="1">
      <x:c r="A36" s="71" t="str">
        <x:v>FR-30</x:v>
      </x:c>
      <x:c r="B36" s="71" t="str">
        <x:v>Prodigy City — récupérer, contenir et évacuer</x:v>
      </x:c>
      <x:c r="C36" s="71" t="str">
        <x:v>Sécuriser la route civile</x:v>
      </x:c>
      <x:c r="D36" s="71" t="str">
        <x:v>Isoler un secteur de l’épave</x:v>
      </x:c>
      <x:c r="E36" s="71" t="str">
        <x:v>Intercepter les données convoitées</x:v>
      </x:c>
      <x:c r="F36" s="71" t="str">
        <x:v>Préserver le départ du clan</x:v>
      </x:c>
      <x:c r="G36" s="71" t="str">
        <x:v>Sans objet</x:v>
      </x:c>
      <x:c r="H36" s="71" t="str">
        <x:v>Prodigy poursuit ses opérations de récupération pendant que les adultes déplacent leur pression et que les secours suivent une route réelle.</x:v>
      </x:c>
      <x:c r="I36" s="71" t="str">
        <x:v>Saisir les données ou ouvrir d’abord la route des civils</x:v>
      </x:c>
      <x:c r="J36" s="71" t="str">
        <x:v>Cordon perdu : le convoi change de route. Epave laissée ouverte : les réserves présentes se déplacent vers la ville. Secours retardé : bilan civil dégradé.</x:v>
      </x:c>
      <x:c r="K36" s="71" t="str">
        <x:v>Fermer le secteur dangereux, extraire les données et sauver au moins 24 des 40 civils ;40 donnent le meilleur bilan.</x:v>
      </x:c>
      <x:c r="L36" s="71" t="str">
        <x:v>LD-26 ; EFF-14 ; 928 adversaires et 24 alliés PNJ alloués, joueur séparé. Ne pas inclure les autres espèces du Maginot dans le quota Xénomorphe. Aucun clone de Wendy ni arsenal USCM ajouté.</x:v>
      </x:c>
      <x:c r="M36" s="71" t="str">
        <x:v>P2</x:v>
      </x:c>
    </x:row>
    <x:row r="37" ht="63" customHeight="1">
      <x:c r="A37" s="70" t="str">
        <x:v>FR-31</x:v>
      </x:c>
      <x:c r="B37" s="70" t="str">
        <x:v>Tobler-9 — garder le refuge ouvert</x:v>
      </x:c>
      <x:c r="C37" s="70" t="str">
        <x:v>Tenir le passage du refuge</x:v>
      </x:c>
      <x:c r="D37" s="70" t="str">
        <x:v>Relancer l’accès technique</x:v>
      </x:c>
      <x:c r="E37" s="70" t="str">
        <x:v>Couper la voie d’arrivée vers l’extraction</x:v>
      </x:c>
      <x:c r="F37" s="70" t="str">
        <x:v>Sans objet : trois fronts dans cette opération</x:v>
      </x:c>
      <x:c r="G37" s="70" t="str">
        <x:v>Sans objet</x:v>
      </x:c>
      <x:c r="H37" s="70" t="str">
        <x:v>Les rescapés avancent seulement par un chemin sûr ; la ruche réalloue ses forces vers les passages restés ouverts.</x:v>
      </x:c>
      <x:c r="I37" s="70" t="str">
        <x:v>Raccourci dangereux ou remise en route du trajet de secours</x:v>
      </x:c>
      <x:c r="J37" s="70" t="str">
        <x:v>Accès technique rétabli : raccourci utilisable par toutes les factions compatibles. Refuge perdu : extraction déplacée et ressources limitées.</x:v>
      </x:c>
      <x:c r="K37" s="70" t="str">
        <x:v>Maintenir un abri, fermer une voie de ruche et évacuer au moins 16 des 24 civils.</x:v>
      </x:c>
      <x:c r="L37" s="70" t="str">
        <x:v>LD-27 ; EFF-03 ; 1000 adversaires et 48 alliés PNJ alloués, joueur séparé. Pas d’ICARUS ou de variante non documentée dans le spawn ; le pacte ne convertit pas les civils en troupes.</x:v>
      </x:c>
      <x:c r="M37" s="70" t="str">
        <x:v>P1</x:v>
      </x:c>
    </x:row>
    <x:row r="38" ht="63" customHeight="1">
      <x:c r="A38" s="71" t="str">
        <x:v>FR-32</x:v>
      </x:c>
      <x:c r="B38" s="71" t="str">
        <x:v>Epsilon — ouvrir le quai avant le transfert</x:v>
      </x:c>
      <x:c r="C38" s="71" t="str">
        <x:v>Empêcher la sortie du transfert</x:v>
      </x:c>
      <x:c r="D38" s="71" t="str">
        <x:v>Rouvrir le sas de secours</x:v>
      </x:c>
      <x:c r="E38" s="71" t="str">
        <x:v>Tenir le quai d’extraction</x:v>
      </x:c>
      <x:c r="F38" s="71" t="str">
        <x:v>Sans objet : trois fronts dans cette opération</x:v>
      </x:c>
      <x:c r="G38" s="71" t="str">
        <x:v>Sans objet</x:v>
      </x:c>
      <x:c r="H38" s="71" t="str">
        <x:v>La sécurité arme un départ, les adultes utilisent les accès techniques et les alliés doivent garder une voie de repli réelle.</x:v>
      </x:c>
      <x:c r="I38" s="71" t="str">
        <x:v>Détour technique ou interception directe sous le feu</x:v>
      </x:c>
      <x:c r="J38" s="71" t="str">
        <x:v>Transfert laissé seul : départ possible. Sas bloqué : civils retardés. Quai perdu : seconde sortie à rouvrir.</x:v>
      </x:c>
      <x:c r="K38" s="71" t="str">
        <x:v>Récupérer l’objectif et extraire le joueur avec au moins 4 des 8 rescapés.</x:v>
      </x:c>
      <x:c r="L38" s="71" t="str">
        <x:v>LD-28 ; EFF-15 ; 40 adversaires et 4 alliés PNJ alloués, joueur séparé. Contrairement au preset Sevastopol, la force humaine est ici une garde originale armée et ses relations avec les adultes sont hostiles.</x:v>
      </x:c>
      <x:c r="M38" s="71" t="str">
        <x:v>P1</x:v>
      </x:c>
    </x:row>
    <x:row r="39" ht="63" customHeight="1">
      <x:c r="A39" s="70" t="str">
        <x:v>FR-33</x:v>
      </x:c>
      <x:c r="B39" s="70" t="str">
        <x:v>Neonopolis : interrompre le circuit du matériel dérobé</x:v>
      </x:c>
      <x:c r="C39" s="70" t="str">
        <x:v>Prendre le dépôt et sécuriser le module avant son départ.</x:v>
      </x:c>
      <x:c r="D39" s="70" t="str">
        <x:v>Copier les registres de transfert et couper le suivi du fret.</x:v>
      </x:c>
      <x:c r="E39" s="70" t="str">
        <x:v>Bloquer la route du convoi sans bloquer l’évacuation civile.</x:v>
      </x:c>
      <x:c r="F39" s="70" t="str">
        <x:v>Contrôler la sous-station et garantir une voie d’extraction.</x:v>
      </x:c>
      <x:c r="G39" s="70" t="str">
        <x:v>Sans objet</x:v>
      </x:c>
      <x:c r="H39" s="70" t="str">
        <x:v>Voss organise le transfert, les gardes réparant un accès peuvent rouvrir une route et les ouvriers rejoignent leurs refuges sans attendre la caméra.</x:v>
      </x:c>
      <x:c r="I39" s="70" t="str">
        <x:v>Prendre le dépôt immédiatement ou réduire d’abord les moyens de poursuite ; affecter un groupe au convoi pendant la copie des données.</x:v>
      </x:c>
      <x:c r="J39" s="70" t="str">
        <x:v>B perdu : convoi redirigé et gardes avertis. C libre : module en mouvement. D pris : certaines portes/tourelles changent d’état mais la réserve humaine demeure physique.</x:v>
      </x:c>
      <x:c r="K39" s="70" t="str">
        <x:v>Module et registres récupérés, sortie praticable et joueur extrait ; bilan civil compté séparément.</x:v>
      </x:c>
      <x:c r="L39" s="70" t="str">
        <x:v>LD-29 ; EFF-12 ; 128/384/256 ennemis humains et 12/12/8 alliés Yautja, plus 1 joueur. Quatre fronts. 48 civils hors combat, 16 actifs au plus. Guerre d’ampleur originale, pas effectif du jeu.</x:v>
      </x:c>
      <x:c r="M39" s="70" t="str">
        <x:v>P1</x:v>
      </x:c>
    </x:row>
    <x:row r="40" ht="49.5" customHeight="1">
      <x:c r="A40" s="71" t="str">
        <x:v>FR-34</x:v>
      </x:c>
      <x:c r="B40" s="71" t="str">
        <x:v>Genna : reprendre une balise avant son transport</x:v>
      </x:c>
      <x:c r="C40" s="71" t="str">
        <x:v>Sécuriser une approche haute ou basse et empêcher le rabattement du clan rival.</x:v>
      </x:c>
      <x:c r="D40" s="71" t="str">
        <x:v>Atteindre la balise et interrompre l’ordre de transfert de Vorrek.</x:v>
      </x:c>
      <x:c r="E40" s="71" t="str">
        <x:v>Conserver le camp de départ et une route physique pour le module.</x:v>
      </x:c>
      <x:c r="F40" s="71" t="str">
        <x:v>Sans objet : trois fronts pour cette opération</x:v>
      </x:c>
      <x:c r="G40" s="71" t="str">
        <x:v>Sans objet</x:v>
      </x:c>
      <x:c r="H40" s="71" t="str">
        <x:v>Les éclaireurs rivaux observent réellement les voies ; B prépare un transfert vers C et chaque groupe ne change de tâche qu’après ordre reçu.</x:v>
      </x:c>
      <x:c r="I40" s="71" t="str">
        <x:v>Assaut direct du plateau ou interception du transfert ; céder un passage peut protéger le départ.</x:v>
      </x:c>
      <x:c r="J40" s="71" t="str">
        <x:v>A abandonné : interception ennemie mieux informée. B perdu : balise part vers C. C perdu : nécessité de reprendre le camp avant de sortir.</x:v>
      </x:c>
      <x:c r="K40" s="71" t="str">
        <x:v>Balise récupérée et joueur extrait ; aucun objectif de tuer tous les rivaux.</x:v>
      </x:c>
      <x:c r="L40" s="71" t="str">
        <x:v>LD-30 ; EFF-09 ; ennemis Y 16/32/16 et alliés Y 8/8/4, plus 1 joueur ; trois fronts. Aucun combattant de faune ni personnage nommé du film dans ce preset.</x:v>
      </x:c>
      <x:c r="M40" s="71" t="str">
        <x:v>P2</x:v>
      </x:c>
    </x:row>
    <x:row r="41" ht="63" customHeight="1">
      <x:c r="A41" s="70" t="str">
        <x:v>FR-35</x:v>
      </x:c>
      <x:c r="B41" s="70" t="str">
        <x:v>Réserve alternative : ouvrir le corridor des captifs</x:v>
      </x:c>
      <x:c r="C41" s="70" t="str">
        <x:v>Libérer et mettre à couvert deux groupes de huit captifs.</x:v>
      </x:c>
      <x:c r="D41" s="70" t="str">
        <x:v>Protéger le troisième groupe de huit et la route vers l’abri.</x:v>
      </x:c>
      <x:c r="E41" s="70" t="str">
        <x:v>Couper le verrouillage de Narek puis sécuriser le départ.</x:v>
      </x:c>
      <x:c r="F41" s="70" t="str">
        <x:v>Sans objet : trois fronts pour cette opération</x:v>
      </x:c>
      <x:c r="G41" s="70" t="str">
        <x:v>Sans objet</x:v>
      </x:c>
      <x:c r="H41" s="70" t="str">
        <x:v>Les gardes exécutent un transfert annoncé si le chemin existe ; les captifs suivent une escorte vers un abri, même loin du joueur ; les défenseurs occupent les passages encore utiles.</x:v>
      </x:c>
      <x:c r="I41" s="70" t="str">
        <x:v>Secourir les captifs les plus exposés ou prendre la commande avant leur transfert ; répartir les escortes sans vider l’extraction.</x:v>
      </x:c>
      <x:c r="J41" s="70" t="str">
        <x:v>A perdu : captifs déplacés, pas supprimés. B perdu : route de secours coupée. C intact : nouveaux ordres de verrouillage ou transfert limités aux groupes disponibles.</x:v>
      </x:c>
      <x:c r="K41" s="70" t="str">
        <x:v>Au moins 16 captifs sur 24 et joueur extraits : victoire de secours ; 24 : meilleur bilan ; moins de 16 : repli non victorieux.</x:v>
      </x:c>
      <x:c r="L41" s="70" t="str">
        <x:v>LD-31 ; EFF-09 ; 64 Yautja rivaux et 20 alliés PNJ alloués, plus 1 joueur. 24 humains captifs neutres, au plus 8 actifs, exclus du quota combattants. Gardien et bataille originaux.</x:v>
      </x:c>
      <x:c r="M41" s="70" t="str">
        <x:v>P2</x:v>
      </x:c>
    </x:row>
    <x:row r="42" ht="76.5" customHeight="1">
      <x:c r="A42" s="71" t="str">
        <x:v>FR-36</x:v>
      </x:c>
      <x:c r="B42" s="71" t="str">
        <x:v>Toundra : récupération sous surveillance de Theta</x:v>
      </x:c>
      <x:c r="C42" s="71" t="str">
        <x:v>Retrouver une balise Yautja ajoutée près de l’épave, sans présumer que Theta consent à cette approche.</x:v>
      </x:c>
      <x:c r="D42" s="71" t="str">
        <x:v>Reconnaître la route d’abri et déjouer les deux gardes actifs pendant la progression autonome de Theta.</x:v>
      </x:c>
      <x:c r="E42" s="71" t="str">
        <x:v>Établir une liaison d’identification avec l’avant-poste pour sortir ou négocier.</x:v>
      </x:c>
      <x:c r="F42" s="71" t="str">
        <x:v>Sans objet : trois fronts pour cette opération</x:v>
      </x:c>
      <x:c r="G42" s="71" t="str">
        <x:v>Sans objet</x:v>
      </x:c>
      <x:c r="H42" s="71" t="str">
        <x:v>Theta avance vers l’avant-poste à sa propre initiative ; les gardes réagissent aux contacts transmis et les alliés explorent C sans suivre automatiquement le joueur.</x:v>
      </x:c>
      <x:c r="I42" s="71" t="str">
        <x:v>Récupération discrète, fuite sous poursuite ou trêve locale ; aider Theta coûte du temps mais peut désamorcer l’affrontement.</x:v>
      </x:c>
      <x:c r="J42" s="71" t="str">
        <x:v>A tardif : Theta change de secteur. B non reconnu : retour plus long. C hostile : sortie surveillée ; identification valide ouvre seulement une trêve locale.</x:v>
      </x:c>
      <x:c r="K42" s="71" t="str">
        <x:v>Balise récupérée, joueur extrait et statut de Theta enregistré ; aucune mise à mort de Theta exigée.</x:v>
      </x:c>
      <x:c r="L42" s="71" t="str">
        <x:v>LD-32 ; EFF-17 créé par root : 4 ennemis actifs +4 distants, 0 réserve ; 2 alliés actifs +2 distants, 0 réserve ; 1 joueur ; 3 fronts. Ennemis initiaux = Theta unique +7 gardes originaux. Quatre civils hors combat, deux actifs au plus.</x:v>
      </x:c>
      <x:c r="M42" s="71" t="str">
        <x:v>P2</x:v>
      </x:c>
    </x:row>
    <x:row r="43" ht="63" customHeight="1">
      <x:c r="A43" s="70" t="str">
        <x:v>FR-37</x:v>
      </x:c>
      <x:c r="B43" s="70" t="str">
        <x:v>Lune des Spinners — secourir l’habitat</x:v>
      </x:c>
      <x:c r="C43" s="70" t="str">
        <x:v>Protéger les habitants</x:v>
      </x:c>
      <x:c r="D43" s="70" t="str">
        <x:v>Rétablir la route du chantier</x:v>
      </x:c>
      <x:c r="E43" s="70" t="str">
        <x:v>Couper l’accès de ruche à l’embarquement</x:v>
      </x:c>
      <x:c r="F43" s="70" t="str">
        <x:v>Sans objet : trois fronts dans cette opération</x:v>
      </x:c>
      <x:c r="G43" s="70" t="str">
        <x:v>Sans objet</x:v>
      </x:c>
      <x:c r="H43" s="70" t="str">
        <x:v>Le convoi civil garde son trajet et son horaire ; les alliés tiennent les voies que le joueur leur a confiées.</x:v>
      </x:c>
      <x:c r="I43" s="70" t="str">
        <x:v>Rétablir le passage industriel ou protéger immédiatement le convoi</x:v>
      </x:c>
      <x:c r="J43" s="70" t="str">
        <x:v>Chantier fermé : secours plus lent. Passage de ruche ouvert : pression déplacée vers l’embarquement. Habitants laissés seuls : pertes persistantes.</x:v>
      </x:c>
      <x:c r="K43" s="70" t="str">
        <x:v>Evacuer 24 des 36 civils et extraire le joueur ;36 donnent le meilleur bilan.</x:v>
      </x:c>
      <x:c r="L43" s="70" t="str">
        <x:v>LD-33 ; EFF-03 ; 1000 adversaires et 48 alliés PNJ alloués, joueur séparé. Aucun arsenal de Marines attribué aux habitants. La colonie ajoutée doit montrer habitat et ressources capables d’expliquer les routes.</x:v>
      </x:c>
      <x:c r="M43" s="70" t="str">
        <x:v>P2</x:v>
      </x:c>
    </x:row>
    <x:row r="44" ht="63" customHeight="1">
      <x:c r="A44" s="71" t="str">
        <x:v>FR-38</x:v>
      </x:c>
      <x:c r="B44" s="71" t="str">
        <x:v>Lethe — variante Colonial Marines contre la ruche</x:v>
      </x:c>
      <x:c r="C44" s="71" t="str">
        <x:v>Ouvrir la route de retour</x:v>
      </x:c>
      <x:c r="D44" s="71" t="str">
        <x:v>Protéger le relais</x:v>
      </x:c>
      <x:c r="E44" s="71" t="str">
        <x:v>Dégager le passage de ruche</x:v>
      </x:c>
      <x:c r="F44" s="71" t="str">
        <x:v>Sans objet : trois fronts dans cette opération</x:v>
      </x:c>
      <x:c r="G44" s="71" t="str">
        <x:v>Sans objet</x:v>
      </x:c>
      <x:c r="H44" s="71" t="str">
        <x:v>Chaque section agit sous ses ordres avec munitions et blessés suivis ; le front éloigné évolue même sans caméra.</x:v>
      </x:c>
      <x:c r="I44" s="71" t="str">
        <x:v>Conserver les forces ou risquer une percée pour accélérer les secours</x:v>
      </x:c>
      <x:c r="J44" s="71" t="str">
        <x:v>Relais perdu : ordres limités localement. Section abandonnée : repli ou pertes, pas téléportation vers le joueur.</x:v>
      </x:c>
      <x:c r="K44" s="71" t="str">
        <x:v>Rétablir la route, tenir le relais et extraire au moins 8 alliés PNJ survivants.</x:v>
      </x:c>
      <x:c r="L44" s="71" t="str">
        <x:v>LD-23 ; EFF-16 ; 576 adversaires et 32 alliés PNJ alloués, joueur séparé. Contrôleur humain, caméra et arsenal jouables à ajouter avant recette ; ne pas présenter ce mode comme déjà compatible.</x:v>
      </x:c>
      <x:c r="M44" s="71" t="str">
        <x:v>P2</x:v>
      </x:c>
    </x:row>
    <x:row r="45" ht="49.5" customHeight="1">
      <x:c r="A45" s="70" t="str">
        <x:v>FR-39</x:v>
      </x:c>
      <x:c r="B45" s="70" t="str">
        <x:v>Tobler-9 — variante défense des survivants</x:v>
      </x:c>
      <x:c r="C45" s="70" t="str">
        <x:v>Tenir le refuge</x:v>
      </x:c>
      <x:c r="D45" s="70" t="str">
        <x:v>Rétablir la voie technique</x:v>
      </x:c>
      <x:c r="E45" s="70" t="str">
        <x:v>Repousser la pression sur l’extraction</x:v>
      </x:c>
      <x:c r="F45" s="70" t="str">
        <x:v>Sans objet : trois fronts dans cette opération</x:v>
      </x:c>
      <x:c r="G45" s="70" t="str">
        <x:v>Sans objet</x:v>
      </x:c>
      <x:c r="H45" s="70" t="str">
        <x:v>Les équipes conservent leur position et les conditions du pacte ; l’arrivée d’une aide ne duplique pas les réserves.</x:v>
      </x:c>
      <x:c r="I45" s="70" t="str">
        <x:v>Soutenir le refuge ou ouvrir un trajet de fuite plus court</x:v>
      </x:c>
      <x:c r="J45" s="70" t="str">
        <x:v>Refuge compromis : regroupement vers un abri réellement existant. Pacte rompu : accès négocié fermé, sans apparition magique d’ennemis.</x:v>
      </x:c>
      <x:c r="K45" s="70" t="str">
        <x:v>Maintenir un refuge accessible, ouvrir l’extraction et sauver 16 des 24 civils.</x:v>
      </x:c>
      <x:c r="L45" s="70" t="str">
        <x:v>LD-27 ; EFF-16 ; 576 adversaires et 32 alliés PNJ alloués, joueur séparé. Joueur humain à développer ; profil Xénomorphe local XEN-035, pas mutations de Fireteam.</x:v>
      </x:c>
      <x:c r="M45" s="70" t="str">
        <x:v>P2</x:v>
      </x:c>
    </x:row>
    <x:row r="46" ht="198" customHeight="1">
      <x:c r="A46" s="71" t="str">
        <x:v>FR-40</x:v>
      </x:c>
      <x:c r="B46" s="71" t="str">
        <x:v>LV-742 — couper les renforts pendant que trois camps se disputent la vallée</x:v>
      </x:c>
      <x:c r="C46" s="71" t="str">
        <x:v>A — Atmos et zone d’atterrissage : les Marines réparent leurs installations et cherchent à sécuriser les accès ; le joueur coupe leur liaison sans transformer tous les humains en alliés.</x:v>
      </x:c>
      <x:c r="D46" s="71" t="str">
        <x:v>B — Col des convois : Xénomorphes, Marines et petites équipes Yautja se disputent les routes. Tenir un passage détourne effectivement les renforts vers une route plus longue.</x:v>
      </x:c>
      <x:c r="E46" s="71" t="str">
        <x:v>C — Ruche des failles : les groupes de garde couvrent les nurseries ; neutraliser les conduits puis la reine limite la disponibilité des réserves biologiques.</x:v>
      </x:c>
      <x:c r="F46" s="71" t="str">
        <x:v>D — Sanctuaire et extraction : préserver le point de repli du clan, faire parvenir les équipes restantes et protéger la récupération de données prises aux deux adversaires.</x:v>
      </x:c>
      <x:c r="G46" s="71" t="str">
        <x:v>Sans objet : exactement quatre fronts dans EFF-14.</x:v>
      </x:c>
      <x:c r="H46" s="71" t="str">
        <x:v>A finance et appelle des renforts humains bornés ; B change leurs temps de trajet ; C alimente les attaques de ruche ; D permet les rotations Yautja et la sortie. Chaque camp cible selon objectif, menace, visibilité et relation, pas selon une priorité globale contre le seul joueur.</x:v>
      </x:c>
      <x:c r="I46" s="71" t="str">
        <x:v>Saboter A pour réduire les renforts humains, sécuriser B pour accéder rapidement à C, ou sauver D avant qu’une rupture de liaison n’isole les alliés. Un contact humain peut accepter un retrait local, sans alliance générale imposée.</x:v>
      </x:c>
      <x:c r="J46" s="71" t="str">
        <x:v>A perdu : balise active et réserve humaine disponible. B perdu : deux fronts subissent un délai de renfort accru. C intact : les conduits gardent leurs réserves. D compromis : extraction déplacée vers un repli annoncé et plus lent. La mort de la reine n’efface pas les adultes déjà engagés.</x:v>
      </x:c>
      <x:c r="K46" s="71" t="str">
        <x:v>Neutraliser ou faire retirer le détachement de commandement humain de A, couper les conduits désignés et la reine de C, puis extraire le joueur et les survivants via D ou son repli. Le contrôle de B facilite la victoire sans être un objectif de couleur permanent obligatoire.</x:v>
      </x:c>
      <x:c r="L46" s="71" t="str">
        <x:v>Carte LD-34 ; EFF-14 : Xénomorphes 96 actifs + 384 distants + 256 réserve = 736 ; camp humain 32 + 96 + 64 = 192 ; alliés Yautja 8 + 8 + 8 = 24 ; un joueur. Quatre fronts se partagent ces quantités. Un boss-reine unique est inclus. Les matériels possèdent des limites distinctes. Tous ces nombres sont des cibles de conception à profiler.
Carte : LD-34
Gabarit : EFF-14
Fronts simultanés prévus : 4
X-S01 — Aliens versus Predator: Extinction — manuel officiel PS2
https://gamingalexandria.com/ps2/Aliens%20Versus%20Predator%20Extinction/Aliens%20Versus%20Predator%20Extinction%20-%20Manual.pdf</x:v>
      </x:c>
      <x:c r="M46" s="71" t="str">
        <x:v>P1</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conditionalFormatting sqref="M20:M31">
    <x:cfRule type="cellIs" dxfId="28" priority="4" operator="equal">
      <x:formula>"P0"</x:formula>
    </x:cfRule>
    <x:cfRule type="cellIs" dxfId="29" priority="5" operator="equal">
      <x:formula>"P1"</x:formula>
    </x:cfRule>
    <x:cfRule type="cellIs" dxfId="30" priority="6" operator="equal">
      <x:formula>"P2"</x:formula>
    </x:cfRule>
  </x:conditionalFormatting>
  <x:conditionalFormatting sqref="M32:M46">
    <x:cfRule type="cellIs" dxfId="40" priority="7" operator="equal">
      <x:formula>"P0"</x:formula>
    </x:cfRule>
    <x:cfRule type="cellIs" dxfId="41" priority="8" operator="equal">
      <x:formula>"P1"</x:formula>
    </x:cfRule>
    <x:cfRule type="cellIs" dxfId="42" priority="9" operator="equal">
      <x:formula>"P2"</x:formula>
    </x:cfRule>
  </x:conditionalFormatting>
  <x:dataValidations count="3">
    <x:dataValidation type="list" sqref="M7:M19">
      <x:formula1>"P0,P1,P2,P3"</x:formula1>
    </x:dataValidation>
    <x:dataValidation type="list" sqref="M20:M31">
      <x:formula1>"P0,P1,P2,P3"</x:formula1>
    </x:dataValidation>
    <x:dataValidation type="list" sqref="M32:M46">
      <x:formula1>"P0,P1,P2,P3"</x:formula1>
    </x:dataValidation>
  </x:dataValidations>
  <x:pageMargins left="0.7" right="0.7" top="0.75" bottom="0.75" header="0.3" footer="0.3"/>
  <x:tableParts count="1">
    <x:tablePart xmlns:r="http://schemas.openxmlformats.org/officeDocument/2006/relationships" r:id="R30eaea90c73f4250"/>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34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row r="20" ht="90" customHeight="1">
      <x:c r="A20" s="41" t="str">
        <x:v>LD-14</x:v>
      </x:c>
      <x:c r="B20" s="41" t="str">
        <x:v>Anneau des Trois Docks — raid de clan</x:v>
      </x:c>
      <x:c r="C20" s="41" t="str">
        <x:v>Nouvelle proposition de carte ; intégration au jeu à réaliser</x:v>
      </x:c>
      <x:c r="D20" s="41" t="str">
        <x:v>Scénario original de conflit entre deux clans Yautja inventés ; aucune guerre, coutume, hiérarchie ou règle de duel n’est présentée comme canonique ou universelle.</x:v>
      </x:c>
      <x:c r="E20" s="45" t="n">
        <x:v>1200</x:v>
      </x:c>
      <x:c r="F20" s="45" t="n">
        <x:v>1400</x:v>
      </x:c>
      <x:c r="G20" s="45" t="n">
        <x:v>10</x:v>
      </x:c>
      <x:c r="H20" s="45" t="n">
        <x:v>3</x:v>
      </x:c>
      <x:c r="I20" s="41" t="str">
        <x:v>Dépôt 180 × 240 u ; relais 90 × 140 u ; cale sèche 120 × 200 u ; corniches de 12–24 u ; passerelles de 8–12 u, avec refuges de croisement.</x:v>
      </x:c>
      <x:c r="J20" s="41" t="str">
        <x:v>Trois îlots reliés en boucle : dépôt A, relais B et départ C. Une passerelle basse et une corniche donnent deux entrées au dépôt ; la voie de fret est distincte du retour discret. La destruction d’un pont laisse une seconde route.</x:v>
      </x:c>
      <x:c r="K20" s="41" t="str">
        <x:v>Dépôt des archives saisies, antenne inclinée, coque en réparation, trois balises de marée, plate-forme de départ.</x:v>
      </x:c>
      <x:c r="L20" s="41" t="str">
        <x:v>Changer la ronde et l’îlot d’accostage ; conserver les routes, les accès et les abris. Les marées peuvent fermer une voie basse avec avertissement, jamais toutes les sorties.</x:v>
      </x:c>
      <x:c r="M20" s="41" t="str">
        <x:v>Cible : 45–90 s de trajet réel entre objectifs voisins, obstacles compris. Les objectifs éloignés se délèguent ; leurs délais de secours sont calculés depuis le chemin praticable.</x:v>
      </x:c>
      <x:c r="N20" s="41" t="str">
        <x:v>Référence de prototype : 14 u/s à recalibrer sur le chasseur lent et les détours. Les unités de jeu ne sont pas des mètres.</x:v>
      </x:c>
      <x:c r="O20" s="41" t="str">
        <x:v>Boîte englobante de conception, à profiler ; surface jouable partielle. Terrain, échelle et architecture sont des propositions originales.</x:v>
      </x:c>
      <x:c r="P20" s="41" t="str">
        <x:v>Trois fronts restent connectés. Une escouade de quatre peut se croiser sur les passages prévus. Les réserves arrivent par un quai contrôlé ; ni apparition dans le dépôt ni combat sous un plancher sans accès.
Opération liée : FR-14
Gabarit lié : EFF-09</x:v>
      </x:c>
      <x:c r="Q20" s="41" t="str">
        <x:v>P2</x:v>
      </x:c>
    </x:row>
    <x:row r="21" ht="90" customHeight="1">
      <x:c r="A21" s="40" t="str">
        <x:v>LD-15</x:v>
      </x:c>
      <x:c r="B21" s="40" t="str">
        <x:v>Ravines du Convoi gris — poursuite et interception</x:v>
      </x:c>
      <x:c r="C21" s="40" t="str">
        <x:v>Nouvelle proposition de carte ; intégration au jeu à réaliser</x:v>
      </x:c>
      <x:c r="D21" s="40" t="str">
        <x:v>Scénario original de conflit entre deux clans Yautja inventés ; aucune guerre, coutume, hiérarchie ou règle de duel n’est présentée comme canonique ou universelle.</x:v>
      </x:c>
      <x:c r="E21" s="44" t="n">
        <x:v>900</x:v>
      </x:c>
      <x:c r="F21" s="44" t="n">
        <x:v>2300</x:v>
      </x:c>
      <x:c r="G21" s="44" t="n">
        <x:v>11</x:v>
      </x:c>
      <x:c r="H21" s="44" t="n">
        <x:v>3</x:v>
      </x:c>
      <x:c r="I21" s="40" t="str">
        <x:v>Route de fret de 18–30 u ; gorge 100 × 260 u ; deux terrasses 160 × 240 u ; pont 16 × 90 u ; terminus 220 × 300 u ; dénivelés proposés de 6–18 u avec accès visibles.</x:v>
      </x:c>
      <x:c r="J21" s="40" t="str">
        <x:v>Ruban longitudinal avec deux raccourcis latéraux et trois portes de choix. A suit les modules de fret, B commande le prochain passage, C contrôle la sortie et le retour. Les fronts se déplacent par segments sans effacer les groupes précédents.</x:v>
      </x:c>
      <x:c r="K21" s="40" t="str">
        <x:v>Deux modules de fret, arche fendue, pont à verrou mécanique, belvédère de piste, terminus à deux sorties.</x:v>
      </x:c>
      <x:c r="L21" s="40" t="str">
        <x:v>Choisir la branche de convoi et un éboulement annoncé. Un éboulement ouvre un détour praticable ; aucune perte de cargaison par tirage aléatoire sans contre-action.</x:v>
      </x:c>
      <x:c r="M21" s="40" t="str">
        <x:v>Cible : 45–90 s de trajet réel entre objectifs voisins, obstacles compris. Les objectifs éloignés se délèguent ; leurs délais de secours sont calculés depuis le chemin praticable.</x:v>
      </x:c>
      <x:c r="N21" s="40" t="str">
        <x:v>Référence de prototype : 14 u/s à recalibrer sur le chasseur lent et les détours. Les unités de jeu ne sont pas des mètres.</x:v>
      </x:c>
      <x:c r="O21" s="40" t="str">
        <x:v>Boîte englobante de conception, à profiler ; surface jouable partielle. Terrain, échelle et architecture sont des propositions originales.</x:v>
      </x:c>
      <x:c r="P21" s="40" t="str">
        <x:v>Les raccourcis permettent d’intercepter le convoi avec le chasseur lent. Les pilotes font partie des escouades comptées ; les modules ne génèrent pas de combattants supplémentaires. Aucune zone de transition ne téléporte le convoi.
Opération liée : FR-16
Gabarit lié : EFF-09</x:v>
      </x:c>
      <x:c r="Q21" s="40" t="str">
        <x:v>P2</x:v>
      </x:c>
    </x:row>
    <x:row r="22" ht="76.5" customHeight="1">
      <x:c r="A22" s="41" t="str">
        <x:v>LD-16</x:v>
      </x:c>
      <x:c r="B22" s="41" t="str">
        <x:v>Col des Deux Balises — crise de frontière</x:v>
      </x:c>
      <x:c r="C22" s="41" t="str">
        <x:v>Nouvelle proposition de carte ; intégration au jeu à réaliser</x:v>
      </x:c>
      <x:c r="D22" s="41" t="str">
        <x:v>Scénario original de conflit entre deux clans Yautja inventés ; aucune guerre, coutume, hiérarchie ou règle de duel n’est présentée comme canonique ou universelle.</x:v>
      </x:c>
      <x:c r="E22" s="45" t="n">
        <x:v>1700</x:v>
      </x:c>
      <x:c r="F22" s="45" t="n">
        <x:v>1300</x:v>
      </x:c>
      <x:c r="G22" s="45" t="n">
        <x:v>12</x:v>
      </x:c>
      <x:c r="H22" s="45" t="n">
        <x:v>3</x:v>
      </x:c>
      <x:c r="I22" s="41" t="str">
        <x:v>Trois cols de 20–45 u ; plateau 240 × 320 u ; point de ravitaillement 120 × 180 u ; gué 18 × 100 u ; deux refuges 90 × 130 u ; dénivelés proposés de 4–16 u.</x:v>
      </x:c>
      <x:c r="J22" s="41" t="str">
        <x:v>Trois passages frontaliers reliés par deux chemins transversaux. A est le passage officiel, B la route de ravitaillement contestée, C le relais d’identification. Une ligne de frontière visible distingue observation, intrusion et attaque.</x:v>
      </x:c>
      <x:c r="K22" s="41" t="str">
        <x:v>Deux balises rivales, cairn brisé, réserve scellée, refuge de montagne, poste d’identification.</x:v>
      </x:c>
      <x:c r="L22" s="41" t="str">
        <x:v>Patrouilles, brouillard et direction d’arrivée changent. Frontière, droits de passage propres à cette mission et signaux visuels restent fixes.</x:v>
      </x:c>
      <x:c r="M22" s="41" t="str">
        <x:v>Cible : 45–90 s de trajet réel entre objectifs voisins, obstacles compris. Les objectifs éloignés se délèguent ; leurs délais de secours sont calculés depuis le chemin praticable.</x:v>
      </x:c>
      <x:c r="N22" s="41" t="str">
        <x:v>Référence de prototype : 14 u/s à recalibrer sur le chasseur lent et les détours. Les unités de jeu ne sont pas des mètres.</x:v>
      </x:c>
      <x:c r="O22" s="41" t="str">
        <x:v>Boîte englobante de conception, à profiler ; surface jouable partielle. Terrain, échelle et architecture sont des propositions originales.</x:v>
      </x:c>
      <x:c r="P22" s="41" t="str">
        <x:v>Toute incursion est détectable avant les hostilités. Les patrouilles peuvent se retirer sans entrer dans un autre combat forcé ; le joueur peut atteindre le relais avant une escalade annoncée.
Opération liée : FR-17
Gabarit lié : EFF-09</x:v>
      </x:c>
      <x:c r="Q22" s="41" t="str">
        <x:v>P2</x:v>
      </x:c>
    </x:row>
    <x:row r="23" ht="76.5" customHeight="1">
      <x:c r="A23" s="40" t="str">
        <x:v>LD-17</x:v>
      </x:c>
      <x:c r="B23" s="40" t="str">
        <x:v>Plateau des Arches silencieuses — accord sous tension</x:v>
      </x:c>
      <x:c r="C23" s="40" t="str">
        <x:v>Nouvelle proposition de carte ; intégration au jeu à réaliser</x:v>
      </x:c>
      <x:c r="D23" s="40" t="str">
        <x:v>Scénario original de conflit entre deux clans Yautja inventés ; aucune guerre, coutume, hiérarchie ou règle de duel n’est présentée comme canonique ou universelle.</x:v>
      </x:c>
      <x:c r="E23" s="44" t="n">
        <x:v>1000</x:v>
      </x:c>
      <x:c r="F23" s="44" t="n">
        <x:v>1200</x:v>
      </x:c>
      <x:c r="G23" s="44" t="n">
        <x:v>9</x:v>
      </x:c>
      <x:c r="H23" s="44" t="n">
        <x:v>3</x:v>
      </x:c>
      <x:c r="I23" s="40" t="str">
        <x:v>Espace de duel 140 × 180 u ; observatoire 90 × 140 u ; corridor de retrait 24–40 u ; aire de récupération 160 × 220 u ; trois arches naturelles et des abris périphériques.</x:v>
      </x:c>
      <x:c r="J23" s="40" t="str">
        <x:v>Boucle à trois pôles : duel A, retrait B, relais d’ordres C. Deux passages quittent l’espace de duel. Le joueur peut refuser ou interrompre le duel et rejoindre le relais, avec un coût stratégique explicite.</x:v>
      </x:c>
      <x:c r="K23" s="40" t="str">
        <x:v>Arche centrale, marques temporaires des deux délégations, deux signaux d’accord, rampe de départ, poste des gardes dissidents.</x:v>
      </x:c>
      <x:c r="L23" s="40" t="str">
        <x:v>Placer la délégation et les guetteurs sur des accès symétriques. Les règles d’arrêt du duel sont négociées pour cette opération ; la géométrie ne change pas pendant l’échange.</x:v>
      </x:c>
      <x:c r="M23" s="40" t="str">
        <x:v>Cible : 45–90 s de trajet réel entre objectifs voisins, obstacles compris. Les objectifs éloignés se délèguent ; leurs délais de secours sont calculés depuis le chemin praticable.</x:v>
      </x:c>
      <x:c r="N23" s="40" t="str">
        <x:v>Référence de prototype : 14 u/s à recalibrer sur le chasseur lent et les détours. Les unités de jeu ne sont pas des mètres.</x:v>
      </x:c>
      <x:c r="O23" s="40" t="str">
        <x:v>Boîte englobante de conception, à profiler ; surface jouable partielle. Terrain, échelle et architecture sont des propositions originales.</x:v>
      </x:c>
      <x:c r="P23" s="40" t="str">
        <x:v>Aucun verrou de caméra ne suspend B ou C. La victoire du duel n’efface aucune unité : l’ordre de retrait doit circuler. Les sorties restent utilisables en cas de rupture de l’accord.
Opération liée : FR-18
Gabarit lié : EFF-09</x:v>
      </x:c>
      <x:c r="Q23" s="40" t="str">
        <x:v>P2</x:v>
      </x:c>
    </x:row>
    <x:row r="24" ht="49.5" customHeight="1">
      <x:c r="A24" s="41" t="str">
        <x:v>LD-18</x:v>
      </x:c>
      <x:c r="B24" s="41" t="str">
        <x:v>Port de récupération — entrepôts, quais et zone de capture</x:v>
      </x:c>
      <x:c r="C24" s="41" t="str">
        <x:v>Nouvelle carte proposée ; aucune implémentation revendiquée par cet ajout d’audit</x:v>
      </x:c>
      <x:c r="D24" s="41" t="str">
        <x:v>Conflit contemporain original de Yautja contre une force humaine de capture ; ni reconstitution de Predator 2 ni site Stargazer canonique</x:v>
      </x:c>
      <x:c r="E24" s="45" t="n">
        <x:v>1200</x:v>
      </x:c>
      <x:c r="F24" s="45" t="n">
        <x:v>1600</x:v>
      </x:c>
      <x:c r="G24" s="45" t="n">
        <x:v>12</x:v>
      </x:c>
      <x:c r="H24" s="45" t="n">
        <x:v>3</x:v>
      </x:c>
      <x:c r="I24" s="41" t="str">
        <x:v>Quai180×320u ; entrepôt100×180u ; allée12–24u ; grue et passerelles ; cour de contrôle120×180u</x:v>
      </x:c>
      <x:c r="J24" s="41" t="str">
        <x:v>Trois axes reliés par routes de service ; passage bas pour les humains, passerelles pour chasseurs et voie de convoi. Les conteneurs laissent deux approches par objectif.</x:v>
      </x:c>
      <x:c r="K24" s="41" t="str">
        <x:v>Navire immobilisé, hangar scellé, poste radio, transformateur, grille douanière, quai d’extraction</x:v>
      </x:c>
      <x:c r="L24" s="41" t="str">
        <x:v>Position du convoi, équipes de patrouille et projecteurs variables ; les bâtiments, sas et quais gardent leur position</x:v>
      </x:c>
      <x:c r="M24" s="41" t="str">
        <x:v>Cible : 30–75 s entre objectifs voisins hors combat ; interruption de la route principale laisse un détour ou impose une délégation annoncée</x:v>
      </x:c>
      <x:c r="N24" s="41" t="str">
        <x:v>Référence de conception : 14 u/s à calibrer en jeu selon profil de chasseur, collisions, détours et verticalité</x:v>
      </x:c>
      <x:c r="O24" s="41" t="str">
        <x:v>Boîte englobante originale en unités de jeu ; plusieurs niveaux et zones non accessibles. Aucune dimension physique ni topographie de film revendiquée</x:v>
      </x:c>
      <x:c r="P24" s="41" t="str">
        <x:v>Routes de renfort et d’extraction praticables ; équipements contemporains ; plateformes et volumes visibles concordent avec les accès</x:v>
      </x:c>
      <x:c r="Q24" s="41" t="str">
        <x:v>P1</x:v>
      </x:c>
    </x:row>
    <x:row r="25" ht="49.5" customHeight="1">
      <x:c r="A25" s="40" t="str">
        <x:v>LD-19</x:v>
      </x:c>
      <x:c r="B25" s="40" t="str">
        <x:v>Bassin industriel sous contrat — usine, voies ferrées et dépôts</x:v>
      </x:c>
      <x:c r="C25" s="40" t="str">
        <x:v>Nouvelle carte proposée ; aucune implémentation revendiquée par cet ajout d’audit</x:v>
      </x:c>
      <x:c r="D25" s="40" t="str">
        <x:v>Époque contemporaine fictive ; société et mercenaires originaux, sans armes USCM ni technologie de station spatiale</x:v>
      </x:c>
      <x:c r="E25" s="44" t="n">
        <x:v>1400</x:v>
      </x:c>
      <x:c r="F25" s="44" t="n">
        <x:v>1900</x:v>
      </x:c>
      <x:c r="G25" s="44" t="n">
        <x:v>14</x:v>
      </x:c>
      <x:c r="H25" s="44" t="n">
        <x:v>3</x:v>
      </x:c>
      <x:c r="I25" s="40" t="str">
        <x:v>Atelier180×260u ; cour ferroviaire220×400u ; dépôt100×180u ; galerie12–22u ; poste de commande80×120u</x:v>
      </x:c>
      <x:c r="J25" s="40" t="str">
        <x:v>Production, dépôt et gare forment trois secteurs de combat liés par une boucle de desserte. Une ligne électrique et un réseau radio relient leurs défenses sans les rendre indestructibles.</x:v>
      </x:c>
      <x:c r="K25" s="40" t="str">
        <x:v>Halle d’assemblage, train de fret, centrale de service, silo d’archives, pont roulant, sortie de maintenance</x:v>
      </x:c>
      <x:c r="L25" s="40" t="str">
        <x:v>Horaires du convoi, accès condamnés et positions de surveillance changent ; logique industrielle et liaisons de transport persistent</x:v>
      </x:c>
      <x:c r="M25" s="40" t="str">
        <x:v>Cible : 35–80 s entre objectifs voisins ; les grands axes favorisent un transport identifié, les galeries offrent un détour plus sûr et plus lent</x:v>
      </x:c>
      <x:c r="N25" s="40" t="str">
        <x:v>Référence : 14 u/s ; temps mesuré sur les routes réellement accessibles, sans conversion automatique en mètres</x:v>
      </x:c>
      <x:c r="O25" s="40" t="str">
        <x:v>Enveloppe de théâtre original en unités de jeu ; surface jouable partielle et niveaux d’ateliers. Les tailles sont des propositions à profiler</x:v>
      </x:c>
      <x:c r="P25" s="40" t="str">
        <x:v>Aucun convoyeur décoratif utilisé comme route sans collision ; véhicules dans leur gabarit ; arrêt de l’énergie modifie réellement projecteurs et portails</x:v>
      </x:c>
      <x:c r="Q25" s="40" t="str">
        <x:v>P1</x:v>
      </x:c>
    </x:row>
    <x:row r="26" ht="49.5" customHeight="1">
      <x:c r="A26" s="41" t="str">
        <x:v>LD-20</x:v>
      </x:c>
      <x:c r="B26" s="41" t="str">
        <x:v>Chantier orbital — anneau de service, modules et quais d’embarquement</x:v>
      </x:c>
      <x:c r="C26" s="41" t="str">
        <x:v>Nouvelle carte proposée ; aucune implémentation revendiquée par cet ajout d’audit</x:v>
      </x:c>
      <x:c r="D26" s="41" t="str">
        <x:v>Futur spatial original inspiré du périmètre Alien/Predator ; station, société et plan inventés, distincts de Renaissance et du Nostromo</x:v>
      </x:c>
      <x:c r="E26" s="45" t="n">
        <x:v>1000</x:v>
      </x:c>
      <x:c r="F26" s="45" t="n">
        <x:v>1800</x:v>
      </x:c>
      <x:c r="G26" s="45" t="n">
        <x:v>14</x:v>
      </x:c>
      <x:c r="H26" s="45" t="n">
        <x:v>4</x:v>
      </x:c>
      <x:c r="I26" s="41" t="str">
        <x:v>Baie180×300u ; atelier80×150u ; coursive10–18u ; sas20×35u ; noyau de service100×180u ; plusieurs ponts</x:v>
      </x:c>
      <x:c r="J26" s="41" t="str">
        <x:v>Deux anneaux de circulation relient quatre fronts ; ascenseurs de service, sas et conduits ont des connexions persistantes. Pression et gravité sont des états par compartiment.</x:v>
      </x:c>
      <x:c r="K26" s="41" t="str">
        <x:v>Navette immobilisée, contrôle d’amarrage, relais énergétique, coffre de données, quai de départ, refuge de personnel</x:v>
      </x:c>
      <x:c r="L26" s="41" t="str">
        <x:v>Pannes, itinéraires d’embarquement et arrivée des transports militaires ; la disposition des compartiments et leur pression restent traçables</x:v>
      </x:c>
      <x:c r="M26" s="41" t="str">
        <x:v>Cible : 30–70 s entre objectifs voisins, sas compris ; les délais de fermeture sont annoncés et préservent une autre liaison ou un protocole de secours</x:v>
      </x:c>
      <x:c r="N26" s="41" t="str">
        <x:v>Référence au sol : 14 u/s à calibrer ; changements de gravité documentés séparément, sans bonus implicite dans les temps de trajet</x:v>
      </x:c>
      <x:c r="O26" s="41" t="str">
        <x:v>Boîte englobante des modules en unités de jeu, répartis sur plusieurs ponts ; aucun plan ni volume canonique prétendu</x:v>
      </x:c>
      <x:c r="P26" s="41" t="str">
        <x:v>Pas d’APC dans les coursives ; humains, chasseurs et matériel possèdent des routes de taille adaptée. Une décompression ne traverse pas un sas fermé sans règle physique explicite.</x:v>
      </x:c>
      <x:c r="Q26" s="41" t="str">
        <x:v>P1</x:v>
      </x:c>
    </x:row>
    <x:row r="27" ht="49.5" customHeight="1">
      <x:c r="A27" s="40" t="str">
        <x:v>LD-21</x:v>
      </x:c>
      <x:c r="B27" s="40" t="str">
        <x:v>Cité-port en évacuation — quartiers, centre médical et terminal</x:v>
      </x:c>
      <x:c r="C27" s="40" t="str">
        <x:v>Nouvelle carte proposée ; aucune implémentation revendiquée par cet ajout d’audit</x:v>
      </x:c>
      <x:c r="D27" s="40" t="str">
        <x:v>Ville coloniale future originale ; conflit Yautja contre un cordon militaire humain, avec civils neutres et sans alliance automatique</x:v>
      </x:c>
      <x:c r="E27" s="44" t="n">
        <x:v>1800</x:v>
      </x:c>
      <x:c r="F27" s="44" t="n">
        <x:v>2400</x:v>
      </x:c>
      <x:c r="G27" s="44" t="n">
        <x:v>18</x:v>
      </x:c>
      <x:c r="H27" s="44" t="n">
        <x:v>4</x:v>
      </x:c>
      <x:c r="I27" s="40" t="str">
        <x:v>Quartier180×260u ; boulevard25–45u ; centre médical100×180u ; terminal250×400u ; passerelles et cours de service</x:v>
      </x:c>
      <x:c r="J27" s="40" t="str">
        <x:v>Quatre axes entre zone de confinement, commandement, évacuation et terminal. Les routes militaires et civiles se croisent en points contrôlables ; toits et sous-sols offrent des détours cohérents.</x:v>
      </x:c>
      <x:c r="K27" s="40" t="str">
        <x:v>Centre médical, poste de commandement, dépôt logistique, pont urbain, refuges civils, terminal d’embarquement</x:v>
      </x:c>
      <x:c r="L27" s="40" t="str">
        <x:v>Ordre d’évacuation, itinéraire de convoi et barrages ; mêmes immeubles et accès entre phases, aucun quartier téléporté</x:v>
      </x:c>
      <x:c r="M27" s="40" t="str">
        <x:v>Cible : 40–90 s entre objectifs voisins ; les fronts éloignés nécessitent affectation d’alliés ou transports, avec délais de secours calibrés</x:v>
      </x:c>
      <x:c r="N27" s="40" t="str">
        <x:v>Référence : 14 u/s à vérifier avec le profil lent et les routes encombrées ; convoyage et marche civile possèdent leurs propres vitesses</x:v>
      </x:c>
      <x:c r="O27" s="40" t="str">
        <x:v>Enveloppe de ville originale en unités de jeu ; seuls les quartiers utiles sont parcourables. Pas de mètres ni de copie d’une ville filmique revendiqués</x:v>
      </x:c>
      <x:c r="P27" s="40" t="str">
        <x:v>Les civils conservent une route crédible vers leurs refuges ; destructions, barrages et trafic modifient les parcours sans effacer les habitants</x:v>
      </x:c>
      <x:c r="Q27" s="40" t="str">
        <x:v>P2</x:v>
      </x:c>
    </x:row>
    <x:row r="28" ht="63" customHeight="1">
      <x:c r="A28" s="71" t="str">
        <x:v>LD-22</x:v>
      </x:c>
      <x:c r="B28" s="71" t="str">
        <x:v>Sevastopol — réseaux publics et techniques</x:v>
      </x:c>
      <x:c r="C28" s="71" t="str">
        <x:v>Nouvelle carte proposée ; aucune implémentation certifiée</x:v>
      </x:c>
      <x:c r="D28" s="71" t="str">
        <x:v>Alien: Isolation ; insertion Yautja entièrement originale Lieu sourcé : H-L01 ; X-L05.</x:v>
      </x:c>
      <x:c r="E28" s="75" t="n">
        <x:v>800</x:v>
      </x:c>
      <x:c r="F28" s="75" t="n">
        <x:v>1200</x:v>
      </x:c>
      <x:c r="G28" s="75" t="n">
        <x:v>12</x:v>
      </x:c>
      <x:c r="H28" s="75" t="n">
        <x:v>3</x:v>
      </x:c>
      <x:c r="I28" s="71" t="str">
        <x:v>Hall 80×120 u ; maintenance 8–14 u ; atelier 60×100 u ; sas 25×45 u</x:v>
      </x:c>
      <x:c r="J28" s="71" t="str">
        <x:v>Deux boucles piétonnes et un réseau de maintenance ; entrées distinctes pour humains et Xénomorphes, passages Yautja ajoutés visibles</x:v>
      </x:c>
      <x:c r="K28" s="71" t="str">
        <x:v>Relais, atelier, transit, refuge, accès d’extraction</x:v>
      </x:c>
      <x:c r="L28" s="71" t="str">
        <x:v>Etat des alarmes et accès ; même station, pas de salles déplacées aléatoirement</x:v>
      </x:c>
      <x:c r="M28" s="71" t="str">
        <x:v>Cible 40–90 s entre objectifs voisins, mesurée sur routes réelles ; axes éloignés couverts par alliés ou transport.</x:v>
      </x:c>
      <x:c r="N28" s="71" t="str">
        <x:v>Référence 14 u/s à calibrer ; marche humaine, secours et gabarits lourds distincts.</x:v>
      </x:c>
      <x:c r="O28" s="71" t="str">
        <x:v>Enveloppe en unités de jeu, pas des mètres. Extensions, géométrie et dimensions originales ; pas un relevé exact de l’œuvre.</x:v>
      </x:c>
      <x:c r="P28" s="71" t="str">
        <x:v>Maintenir faible densité et menace persistante ; deux Xénomorphes détaillés au plus selon EFF-15. Vérifier portes, navigation par gabarit et état identique en revenant sur zone.
Lieux documentés : H-L01 — Sevastopol ; X-L05 — Sevastopol</x:v>
      </x:c>
      <x:c r="Q28" s="71" t="str">
        <x:v>P1</x:v>
      </x:c>
    </x:row>
    <x:row r="29" ht="76.5" customHeight="1">
      <x:c r="A29" s="70" t="str">
        <x:v>LD-23</x:v>
      </x:c>
      <x:c r="B29" s="70" t="str">
        <x:v>Lethe — colonie, usine et accès de ruche</x:v>
      </x:c>
      <x:c r="C29" s="70" t="str">
        <x:v>Nouvelle carte proposée ; aucune implémentation certifiée</x:v>
      </x:c>
      <x:c r="D29" s="70" t="str">
        <x:v>Dark Descent ; opération étendue et présence Yautja originales Lieu sourcé : H-L02 ; X-L04.</x:v>
      </x:c>
      <x:c r="E29" s="74" t="n">
        <x:v>1800</x:v>
      </x:c>
      <x:c r="F29" s="74" t="n">
        <x:v>2400</x:v>
      </x:c>
      <x:c r="G29" s="74" t="n">
        <x:v>18</x:v>
      </x:c>
      <x:c r="H29" s="74" t="n">
        <x:v>4</x:v>
      </x:c>
      <x:c r="I29" s="70" t="str">
        <x:v>Colonie 180×260 u ; usine 300×420 u ; galerie 15–30 u ; zone de poser 220×350 u</x:v>
      </x:c>
      <x:c r="J29" s="70" t="str">
        <x:v>Axes vers colonie, alimentation et ruche ; une route de retour reste récupérable ; l’Otago est une base liée, pas une pièce du même bâtiment</x:v>
      </x:c>
      <x:c r="K29" s="70" t="str">
        <x:v>Portail industriel, relais, habitat, piste, tunnels</x:v>
      </x:c>
      <x:c r="L29" s="70" t="str">
        <x:v>Barrages et foyers changent selon pertes ; géographie, habitants et destructions persistent</x:v>
      </x:c>
      <x:c r="M29" s="70" t="str">
        <x:v>Cible 40–90 s entre objectifs voisins, mesurée sur routes réelles ; axes éloignés couverts par alliés ou transport.</x:v>
      </x:c>
      <x:c r="N29" s="70" t="str">
        <x:v>Référence 14 u/s à calibrer ; marche humaine, secours et gabarits lourds distincts.</x:v>
      </x:c>
      <x:c r="O29" s="70" t="str">
        <x:v>Enveloppe en unités de jeu, pas des mètres. Extensions, géométrie et dimensions originales ; pas un relevé exact de l’œuvre.</x:v>
      </x:c>
      <x:c r="P29" s="70" t="str">
        <x:v>Pioneer Station reste un site distinct ; les variantes humaine et Yautja ne partagent pas le même joueur par accident. Vérifier portes, navigation par gabarit et état identique en revenant sur zone.
Lieux documentés : H-L02 — Lethe ; X-L04 — Lethe — colonie et liaison Pioneer</x:v>
      </x:c>
      <x:c r="Q29" s="70" t="str">
        <x:v>P1</x:v>
      </x:c>
    </x:row>
    <x:row r="30" ht="63" customHeight="1">
      <x:c r="A30" s="71" t="str">
        <x:v>LD-24</x:v>
      </x:c>
      <x:c r="B30" s="71" t="str">
        <x:v>Freya Prospect — complexe, ruines et extraction</x:v>
      </x:c>
      <x:c r="C30" s="71" t="str">
        <x:v>Nouvelle carte proposée ; aucune implémentation certifiée</x:v>
      </x:c>
      <x:c r="D30" s="71" t="str">
        <x:v>Aliens vs. Predator 2010 ; guerre musou originale dans ce cadre Lieu sourcé : Y-L02.</x:v>
      </x:c>
      <x:c r="E30" s="75" t="n">
        <x:v>2000</x:v>
      </x:c>
      <x:c r="F30" s="75" t="n">
        <x:v>2600</x:v>
      </x:c>
      <x:c r="G30" s="75" t="n">
        <x:v>20</x:v>
      </x:c>
      <x:c r="H30" s="75" t="n">
        <x:v>4</x:v>
      </x:c>
      <x:c r="I30" s="71" t="str">
        <x:v>Complexe 220×350 u ; jungle 300×500 u ; ruines 180×260 u ; galeries 12–30 u</x:v>
      </x:c>
      <x:c r="J30" s="71" t="str">
        <x:v>Trois réseaux reliés : logistique humaine au sol, accès de ruche et routes hautes Yautja ; deux accès par objectif majeur</x:v>
      </x:c>
      <x:c r="K30" s="71" t="str">
        <x:v>Complexe Weyland-Yutani, ruines, relais et piste proposés</x:v>
      </x:c>
      <x:c r="L30" s="71" t="str">
        <x:v>Routes de renfort et contrôle des postes ; repères et lieux ne changent pas de place</x:v>
      </x:c>
      <x:c r="M30" s="71" t="str">
        <x:v>Cible 40–90 s entre objectifs voisins, mesurée sur routes réelles ; axes éloignés couverts par alliés ou transport.</x:v>
      </x:c>
      <x:c r="N30" s="71" t="str">
        <x:v>Référence 14 u/s à calibrer ; marche humaine, secours et gabarits lourds distincts.</x:v>
      </x:c>
      <x:c r="O30" s="71" t="str">
        <x:v>Enveloppe en unités de jeu, pas des mètres. Extensions, géométrie et dimensions originales ; pas un relevé exact de l’œuvre.</x:v>
      </x:c>
      <x:c r="P30" s="71" t="str">
        <x:v>Les trois camps se battent hors caméra ; aucun équipement Fireteam ou Pathogen ajouté par hasard. Vérifier portes, navigation par gabarit et état identique en revenant sur zone.
Lieux documentés : Y-L02 — Freya Prospect et environs</x:v>
      </x:c>
      <x:c r="Q30" s="71" t="str">
        <x:v>P1</x:v>
      </x:c>
    </x:row>
    <x:row r="31" ht="76.5" customHeight="1">
      <x:c r="A31" s="70" t="str">
        <x:v>LD-25</x:v>
      </x:c>
      <x:c r="B31" s="70" t="str">
        <x:v>LV-895 — périphérie industrielle et ruines</x:v>
      </x:c>
      <x:c r="C31" s="70" t="str">
        <x:v>Nouvelle carte proposée ; aucune implémentation certifiée</x:v>
      </x:c>
      <x:c r="D31" s="70" t="str">
        <x:v>Fireteam Elite ; campagne alternative Yautja, preset standard hors Pathogen Lieu sourcé : X-L03.</x:v>
      </x:c>
      <x:c r="E31" s="74" t="n">
        <x:v>2200</x:v>
      </x:c>
      <x:c r="F31" s="74" t="n">
        <x:v>2800</x:v>
      </x:c>
      <x:c r="G31" s="74" t="n">
        <x:v>20</x:v>
      </x:c>
      <x:c r="H31" s="74" t="n">
        <x:v>4</x:v>
      </x:c>
      <x:c r="I31" s="70" t="str">
        <x:v>Cour 250×400 u ; ruine 180×250 u ; galerie 15–25 u ; terrain ouvert 350×550 u</x:v>
      </x:c>
      <x:c r="J31" s="70" t="str">
        <x:v>Boucle extérieure, accès industriels et parcours des ruines ; routes synthétiques distinctes des galeries Xénomorphes</x:v>
      </x:c>
      <x:c r="K31" s="70" t="str">
        <x:v>Relais de commande, ruines, sas logistique et extraction proposés</x:v>
      </x:c>
      <x:c r="L31" s="70" t="str">
        <x:v>Alarme et contrôle des routes ; la variante Pathogen demande un profil séparé</x:v>
      </x:c>
      <x:c r="M31" s="70" t="str">
        <x:v>Cible 40–90 s entre objectifs voisins, mesurée sur routes réelles ; axes éloignés couverts par alliés ou transport.</x:v>
      </x:c>
      <x:c r="N31" s="70" t="str">
        <x:v>Référence 14 u/s à calibrer ; marche humaine, secours et gabarits lourds distincts.</x:v>
      </x:c>
      <x:c r="O31" s="70" t="str">
        <x:v>Enveloppe en unités de jeu, pas des mètres. Extensions, géométrie et dimensions originales ; pas un relevé exact de l’œuvre.</x:v>
      </x:c>
      <x:c r="P31" s="70" t="str">
        <x:v>Le foyer Pathogen reste absent de cette opération standard ; ne pas mélanger chaque mutation dans les vagues. Vérifier portes, navigation par gabarit et état identique en revenant sur zone.
Lieux documentés : X-L03 — LV-895 — ruines des Engineers et foyer Pathogen</x:v>
      </x:c>
      <x:c r="Q31" s="70" t="str">
        <x:v>P1</x:v>
      </x:c>
    </x:row>
    <x:row r="32" ht="76.5" customHeight="1">
      <x:c r="A32" s="71" t="str">
        <x:v>LD-26</x:v>
      </x:c>
      <x:c r="B32" s="71" t="str">
        <x:v>Prodigy City — cordon autour du Maginot</x:v>
      </x:c>
      <x:c r="C32" s="71" t="str">
        <x:v>Nouvelle carte proposée ; aucune implémentation certifiée</x:v>
      </x:c>
      <x:c r="D32" s="71" t="str">
        <x:v>Alien: Earth ; variante de guerre et intrusion Yautja originales Lieu sourcé : H-L05 ; X-L08.</x:v>
      </x:c>
      <x:c r="E32" s="75" t="n">
        <x:v>1600</x:v>
      </x:c>
      <x:c r="F32" s="75" t="n">
        <x:v>2000</x:v>
      </x:c>
      <x:c r="G32" s="75" t="n">
        <x:v>16</x:v>
      </x:c>
      <x:c r="H32" s="75" t="n">
        <x:v>4</x:v>
      </x:c>
      <x:c r="I32" s="71" t="str">
        <x:v>Epave 120×300 u ; place 180×240 u ; rue 18–30 u ; service 10–20 u</x:v>
      </x:c>
      <x:c r="J32" s="71" t="str">
        <x:v>Cordon urbain, épave compartimentée et axe de secours ; chemins civils et routes tactiques séparés puis recoupés à des points contrôlables</x:v>
      </x:c>
      <x:c r="K32" s="71" t="str">
        <x:v>Epave, poste de secours, relais, accès de laboratoire proposés</x:v>
      </x:c>
      <x:c r="L32" s="71" t="str">
        <x:v>Horaires d’extraction, portes, incendies et ordres corporatistes ; population persistante</x:v>
      </x:c>
      <x:c r="M32" s="71" t="str">
        <x:v>Cible 40–90 s entre objectifs voisins, mesurée sur routes réelles ; axes éloignés couverts par alliés ou transport.</x:v>
      </x:c>
      <x:c r="N32" s="71" t="str">
        <x:v>Référence 14 u/s à calibrer ; marche humaine, secours et gabarits lourds distincts.</x:v>
      </x:c>
      <x:c r="O32" s="71" t="str">
        <x:v>Enveloppe en unités de jeu, pas des mètres. Extensions, géométrie et dimensions originales ; pas un relevé exact de l’œuvre.</x:v>
      </x:c>
      <x:c r="P32" s="71" t="str">
        <x:v>Conserver le cadre 2120 ; aucune escouade de Wendy, aucun bataillon USCM ; autres organismes gérés individuellement. Vérifier portes, navigation par gabarit et état identique en revenant sur zone.
Lieux documentés : H-L05 — Prodigy City et épave de l’USCSS Maginot ; X-L08 — USCSS Maginot — confinement des spécimens</x:v>
      </x:c>
      <x:c r="Q32" s="71" t="str">
        <x:v>P2</x:v>
      </x:c>
    </x:row>
    <x:row r="33" ht="63" customHeight="1">
      <x:c r="A33" s="70" t="str">
        <x:v>LD-27</x:v>
      </x:c>
      <x:c r="B33" s="70" t="str">
        <x:v>Tobler-9 — avant-poste, refuge et sous-sol</x:v>
      </x:c>
      <x:c r="C33" s="70" t="str">
        <x:v>Nouvelle carte proposée ; aucune implémentation certifiée</x:v>
      </x:c>
      <x:c r="D33" s="70" t="str">
        <x:v>Alien Marvel 2022 ; intervention Yautja et grands effectifs originaux Lieu sourcé : H-L06.</x:v>
      </x:c>
      <x:c r="E33" s="74" t="n">
        <x:v>1800</x:v>
      </x:c>
      <x:c r="F33" s="74" t="n">
        <x:v>2400</x:v>
      </x:c>
      <x:c r="G33" s="74" t="n">
        <x:v>18</x:v>
      </x:c>
      <x:c r="H33" s="74" t="n">
        <x:v>3</x:v>
      </x:c>
      <x:c r="I33" s="70" t="str">
        <x:v>Refuge 120×180 u ; installation 240×350 u ; tunnel 15–35 u ; nid 180×280 u</x:v>
      </x:c>
      <x:c r="J33" s="70" t="str">
        <x:v>Deux chemins de secours, un accès industriel et réseau souterrain ; le refuge reste une vraie destination depuis tous les secteurs</x:v>
      </x:c>
      <x:c r="K33" s="70" t="str">
        <x:v>Avant-poste, filtre d’air, ascenseur et refuge proposés</x:v>
      </x:c>
      <x:c r="L33" s="70" t="str">
        <x:v>Etat du pacte, accès techniques et pression de ruche</x:v>
      </x:c>
      <x:c r="M33" s="70" t="str">
        <x:v>Cible 40–90 s entre objectifs voisins, mesurée sur routes réelles ; axes éloignés couverts par alliés ou transport.</x:v>
      </x:c>
      <x:c r="N33" s="70" t="str">
        <x:v>Référence 14 u/s à calibrer ; marche humaine, secours et gabarits lourds distincts.</x:v>
      </x:c>
      <x:c r="O33" s="70" t="str">
        <x:v>Enveloppe en unités de jeu, pas des mètres. Extensions, géométrie et dimensions originales ; pas un relevé exact de l’œuvre.</x:v>
      </x:c>
      <x:c r="P33" s="70" t="str">
        <x:v>Séparer survivants, synthétiques et Xénomorphes ; aucun membre nommé Steel Team cloné ou ressuscité. Vérifier portes, navigation par gabarit et état identique en revenant sur zone.
Lieux documentés : H-L06 — Tobler-9</x:v>
      </x:c>
      <x:c r="Q33" s="70" t="str">
        <x:v>P1</x:v>
      </x:c>
    </x:row>
    <x:row r="34" ht="76.5" customHeight="1">
      <x:c r="A34" s="71" t="str">
        <x:v>LD-28</x:v>
      </x:c>
      <x:c r="B34" s="71" t="str">
        <x:v>Station Epsilon — sas, laboratoires et quai</x:v>
      </x:c>
      <x:c r="C34" s="71" t="str">
        <x:v>Nouvelle carte proposée ; aucune implémentation certifiée</x:v>
      </x:c>
      <x:c r="D34" s="71" t="str">
        <x:v>Alien Marvel 2021 ; récupération Yautja originale Lieu sourcé : H-L07.</x:v>
      </x:c>
      <x:c r="E34" s="75" t="n">
        <x:v>900</x:v>
      </x:c>
      <x:c r="F34" s="75" t="n">
        <x:v>1400</x:v>
      </x:c>
      <x:c r="G34" s="75" t="n">
        <x:v>12</x:v>
      </x:c>
      <x:c r="H34" s="75" t="n">
        <x:v>3</x:v>
      </x:c>
      <x:c r="I34" s="71" t="str">
        <x:v>Quai 160×240 u ; labo 70×120 u ; sas 20×40 u ; couloir 8–16 u</x:v>
      </x:c>
      <x:c r="J34" s="71" t="str">
        <x:v>Boucles de sécurité, services et extraction ; transferts visibles entre secteurs, lignes de tir interrompues par sas</x:v>
      </x:c>
      <x:c r="K34" s="71" t="str">
        <x:v>Contrôle, laboratoire, refuge et quai proposés</x:v>
      </x:c>
      <x:c r="L34" s="71" t="str">
        <x:v>Alimentation et verrouillage persistants ; matériel et humains ne se téléportent pas entre postes</x:v>
      </x:c>
      <x:c r="M34" s="71" t="str">
        <x:v>Cible 40–90 s entre objectifs voisins, mesurée sur routes réelles ; axes éloignés couverts par alliés ou transport.</x:v>
      </x:c>
      <x:c r="N34" s="71" t="str">
        <x:v>Référence 14 u/s à calibrer ; marche humaine, secours et gabarits lourds distincts.</x:v>
      </x:c>
      <x:c r="O34" s="71" t="str">
        <x:v>Enveloppe en unités de jeu, pas des mètres. Extensions, géométrie et dimensions originales ; pas un relevé exact de l’œuvre.</x:v>
      </x:c>
      <x:c r="P34" s="71" t="str">
        <x:v>Utiliser le budget localisé EFF-15 ; huit adultes alloués au maximum dans cette variante, sans prétendre au nombre du comic. Vérifier portes, navigation par gabarit et état identique en revenant sur zone.
Lieux documentés : H-L07 — Station Epsilon</x:v>
      </x:c>
      <x:c r="Q34" s="71" t="str">
        <x:v>P1</x:v>
      </x:c>
    </x:row>
    <x:row r="35" ht="103.5" customHeight="1">
      <x:c r="A35" s="70" t="str">
        <x:v>LD-29</x:v>
      </x:c>
      <x:c r="B35" s="70" t="str">
        <x:v>Neonopolis — récupération technologique dans les quartiers industriels</x:v>
      </x:c>
      <x:c r="C35" s="70" t="str">
        <x:v>Nouvelle carte proposée ; aucune implémentation ni nouvelle mesure du code revendiquée</x:v>
      </x:c>
      <x:c r="D35" s="70" t="str">
        <x:v>Lieu média Y-L03 ; Concrete Jungle (2005). NECA confirme Neonopolis et la récupération technologique de Scarface : https://store.necaonline.com/blogs/behind-the-scenes/closer-look-video-game-appearance-ultimate-scarface-predator . Scénario et personnages additionnels originaux, non reconstitution du déroulement de l’œuvre. Effectifs, objectifs, groupes et dimensions sont des propositions de jeu.</x:v>
      </x:c>
      <x:c r="E35" s="74" t="n">
        <x:v>2400</x:v>
      </x:c>
      <x:c r="F35" s="74" t="n">
        <x:v>3000</x:v>
      </x:c>
      <x:c r="G35" s="74" t="n">
        <x:v>20</x:v>
      </x:c>
      <x:c r="H35" s="74" t="n">
        <x:v>4</x:v>
      </x:c>
      <x:c r="I35" s="70" t="str">
        <x:v>Quartiers de 180–360 u ; cours industrielles de 120–240 u ; rues de 20–40 u ; passages de service de 8–16 u ; accès aux toits conditionnés par les bâtiments.</x:v>
      </x:c>
      <x:c r="J35" s="70" t="str">
        <x:v>Quatre axes reliés : dépôt technologique A, registre des transferts B, gare logistique C et poste électrique/sortie D. Routes piétonnes, itinéraire de convoi et parcours de toiture se rencontrent à des points de contrôle destructibles.</x:v>
      </x:c>
      <x:c r="K35" s="70" t="str">
        <x:v>Dépôt sous surveillance, centre de données, gare de fret, sous-station, accès aux toits et refuges civils — disposition originale.</x:v>
      </x:c>
      <x:c r="L35" s="70" t="str">
        <x:v>Voie de convoi et portes initialement fermées ; les mêmes bâtiments persistent entre phases. La coupure électrique affecte les seuls systèmes raccordés.</x:v>
      </x:c>
      <x:c r="M35" s="70" t="str">
        <x:v>Cible proposée : 40–90 s entre objectifs voisins ; les fronts éloignés exigent des affectations distinctes, avec délais d’alerte et de secours compatibles.</x:v>
      </x:c>
      <x:c r="N35" s="70" t="str">
        <x:v>Référence de conception : 14 u/s à vérifier avec le profil lent ; civils, convois et terrain difficile possèdent leurs propres vitesses.</x:v>
      </x:c>
      <x:c r="O35" s="70" t="str">
        <x:v>Enveloppe proposée en unités de jeu, pas en mètres. Les secteurs parcourables, leur relief et leurs connexions doivent être relevés dans l’œuvre puis prototypés ; aucune restitution spatiale 1:1 revendiquée.</x:v>
      </x:c>
      <x:c r="P35" s="70" t="str">
        <x:v>Le transport du module reste physiquement possible ; les accès de toiture possèdent retours et contre-approches ; aucun bâtiment canonique n’est déduit de cette disposition originale.</x:v>
      </x:c>
      <x:c r="Q35" s="70" t="str">
        <x:v>P1</x:v>
      </x:c>
    </x:row>
    <x:row r="36" ht="103.5" customHeight="1">
      <x:c r="A36" s="71" t="str">
        <x:v>LD-30</x:v>
      </x:c>
      <x:c r="B36" s="71" t="str">
        <x:v>Genna — trois voies de récupération d’une balise de clan</x:v>
      </x:c>
      <x:c r="C36" s="71" t="str">
        <x:v>Nouvelle carte proposée ; aucune implémentation ni nouvelle mesure du code revendiquée</x:v>
      </x:c>
      <x:c r="D36" s="71" t="str">
        <x:v>Lieu média Y-L01 ; Badlands (2025). Disney+ nomme Genna : https://www.disneyplus.com/explore/articles/predator-badlands-movie . Guerre entre deux clans inventés, hors histoire de Dek ; Scénario et personnages additionnels originaux, non reconstitution du déroulement de l’œuvre. Effectifs, objectifs, groupes et dimensions sont des propositions de jeu.</x:v>
      </x:c>
      <x:c r="E36" s="75" t="n">
        <x:v>2600</x:v>
      </x:c>
      <x:c r="F36" s="75" t="n">
        <x:v>2200</x:v>
      </x:c>
      <x:c r="G36" s="75" t="n">
        <x:v>15</x:v>
      </x:c>
      <x:c r="H36" s="75" t="n">
        <x:v>3</x:v>
      </x:c>
      <x:c r="I36" s="71" t="str">
        <x:v>Bassins de 250–500 u ; corniches de 8–20 u ; passages rocheux de 12–30 u ; refuges espacés de 350–700 u ; silhouettes et biomes à comparer aux scènes.</x:v>
      </x:c>
      <x:c r="J36" s="71" t="str">
        <x:v>A approche et ravin, B balise sur un plateau, C camp et départ. Une voie basse et une voie haute rejoignent chaque axe ; les franchissements ont un détour connu, jamais une téléportation de renfort.</x:v>
      </x:c>
      <x:c r="K36" s="71" t="str">
        <x:v>Plateau de récupération, franchissement, refuge et camp de départ originaux ; les formes visuelles proviennent ensuite d’un relevé du film.</x:v>
      </x:c>
      <x:c r="L36" s="71" t="str">
        <x:v>Accès temporairement fermé et signal de balise variable ; ne pas inventer de plante ou d’animal canonique pour justifier une règle de terrain.</x:v>
      </x:c>
      <x:c r="M36" s="71" t="str">
        <x:v>Cible proposée : 40–90 s entre objectifs voisins ; les fronts éloignés exigent des affectations distinctes, avec délais d’alerte et de secours compatibles.</x:v>
      </x:c>
      <x:c r="N36" s="71" t="str">
        <x:v>Référence de conception : 14 u/s à vérifier avec le profil lent ; civils, convois et terrain difficile possèdent leurs propres vitesses.</x:v>
      </x:c>
      <x:c r="O36" s="71" t="str">
        <x:v>Enveloppe proposée en unités de jeu, pas en mètres. Les secteurs parcourables, leur relief et leurs connexions doivent être relevés dans l’œuvre puis prototypés ; aucune restitution spatiale 1:1 revendiquée.</x:v>
      </x:c>
      <x:c r="P36" s="71" t="str">
        <x:v>Le relief permet un déplacement lisible des grands acteurs ; chaque groupe garde une route de repli. Le preset exclut Dek, Thia et tout animal nommé du film.</x:v>
      </x:c>
      <x:c r="Q36" s="71" t="str">
        <x:v>P2</x:v>
      </x:c>
    </x:row>
    <x:row r="37" ht="103.5" customHeight="1">
      <x:c r="A37" s="70" t="str">
        <x:v>LD-31</x:v>
      </x:c>
      <x:c r="B37" s="70" t="str">
        <x:v>Réserve de The Last Hunt — opération de libération alternative</x:v>
      </x:c>
      <x:c r="C37" s="70" t="str">
        <x:v>Nouvelle carte proposée ; aucune implémentation ni nouvelle mesure du code revendiquée</x:v>
      </x:c>
      <x:c r="D37" s="70" t="str">
        <x:v>Lieu média Y-L04 ; Predator: The Last Hunt (2024), notice Marvel : https://www.marvel.com/comics/collection/110461/predator_the_last_hunt_trade_paperback . Site exact à vérifier dans les pages ; Scénario et personnages additionnels originaux, non reconstitution du déroulement de l’œuvre. Effectifs, objectifs, groupes et dimensions sont des propositions de jeu.</x:v>
      </x:c>
      <x:c r="E37" s="74" t="n">
        <x:v>2200</x:v>
      </x:c>
      <x:c r="F37" s="74" t="n">
        <x:v>1800</x:v>
      </x:c>
      <x:c r="G37" s="74" t="n">
        <x:v>14</x:v>
      </x:c>
      <x:c r="H37" s="74" t="n">
        <x:v>3</x:v>
      </x:c>
      <x:c r="I37" s="70" t="str">
        <x:v>Enclos proposés de 80–160 u ; clairières de 180–320 u ; chemins de 10–24 u ; zones d’abri distinctes pour les captifs ; aucun dispositif de stase affirmé sans preuve.</x:v>
      </x:c>
      <x:c r="J37" s="70" t="str">
        <x:v>A accès aux deux premiers groupes de captifs, B route de mise à l’abri et troisième groupe, C commande de verrouillage et quai de départ. Les gardes peuvent circuler entre les postes par un chemin extérieur.</x:v>
      </x:c>
      <x:c r="K37" s="70" t="str">
        <x:v>Trois abris de captivité de huit humains, relais de commande, abri intermédiaire et point de départ ; tous ces emplacements sont une disposition originale.</x:v>
      </x:c>
      <x:c r="L37" s="70" t="str">
        <x:v>Le gardien peut déplacer un groupe de captifs en suivant une route ; les captifs gardent leurs identités, leur état et une destination réelle.</x:v>
      </x:c>
      <x:c r="M37" s="70" t="str">
        <x:v>Cible proposée : 40–90 s entre objectifs voisins ; les fronts éloignés exigent des affectations distinctes, avec délais d’alerte et de secours compatibles.</x:v>
      </x:c>
      <x:c r="N37" s="70" t="str">
        <x:v>Référence de conception : 14 u/s à vérifier avec le profil lent ; civils, convois et terrain difficile possèdent leurs propres vitesses.</x:v>
      </x:c>
      <x:c r="O37" s="70" t="str">
        <x:v>Enveloppe proposée en unités de jeu, pas en mètres. Les secteurs parcourables, leur relief et leurs connexions doivent être relevés dans l’œuvre puis prototypés ; aucune restitution spatiale 1:1 revendiquée.</x:v>
      </x:c>
      <x:c r="P37" s="70" t="str">
        <x:v>Une fermeture coupe une route précise sans enfermer arbitrairement les civils ; le registre réconcilie 24 captifs entre rétention, déplacement, secours et pertes. Ne pas fusionner plusieurs planètes du comic.</x:v>
      </x:c>
      <x:c r="Q37" s="70" t="str">
        <x:v>P2</x:v>
      </x:c>
    </x:row>
    <x:row r="38" ht="90" customHeight="1">
      <x:c r="A38" s="71" t="str">
        <x:v>LD-32</x:v>
      </x:c>
      <x:c r="B38" s="71" t="str">
        <x:v>Planète de toundra — épave de Theta et approche de l’avant-poste</x:v>
      </x:c>
      <x:c r="C38" s="71" t="str">
        <x:v>Nouvelle carte proposée ; aucune implémentation ni nouvelle mesure du code revendiquée</x:v>
      </x:c>
      <x:c r="D38" s="71" t="str">
        <x:v>Lieu média H-L09 ; Predator (2022) #2. Marvel décrit Theta échouée, une marche vers un avant-poste et une traque : https://www.marvel.com/comics/issue/89619/predator . Scénario et personnages additionnels originaux, non reconstitution du déroulement de l’œuvre. Effectifs, objectifs, groupes et dimensions sont des propositions de jeu.</x:v>
      </x:c>
      <x:c r="E38" s="75" t="n">
        <x:v>1800</x:v>
      </x:c>
      <x:c r="F38" s="75" t="n">
        <x:v>2400</x:v>
      </x:c>
      <x:c r="G38" s="75" t="n">
        <x:v>12</x:v>
      </x:c>
      <x:c r="H38" s="75" t="n">
        <x:v>3</x:v>
      </x:c>
      <x:c r="I38" s="71" t="str">
        <x:v>Plaines ouvertes de 300–600 u ; replis de terrain de 40–120 u ; couloirs abrités de 10–30 u ; épave et avant-poste à relever dans les pages, sans coordonnées fictivement canoniques.</x:v>
      </x:c>
      <x:c r="J38" s="71" t="str">
        <x:v>A épave et balise, B itinéraire protégé par le relief, C avant-poste et liaison. Trois objectifs parallèles très peu peuplés ; lignes de vue longues mais occultées par des obstacles lisibles.</x:v>
      </x:c>
      <x:c r="K38" s="71" t="str">
        <x:v>Épave de Theta et avant-poste attestés ; balise Yautja, stations de repérage et circuit d’alimentation sont des ajouts de scénario.</x:v>
      </x:c>
      <x:c r="L38" s="71" t="str">
        <x:v>Visibilité et ouverture des passages varient ; les gardes et Theta restent les mêmes acteurs, sans patrouilles générées à l’infini.</x:v>
      </x:c>
      <x:c r="M38" s="71" t="str">
        <x:v>Cible proposée : 60–120 s entre objectifs voisins. La faible densité sert une traque ; les délais de déplacement sont compatibles avec la progression autonome de Theta vers C.</x:v>
      </x:c>
      <x:c r="N38" s="71" t="str">
        <x:v>Référence de conception : 14 u/s à vérifier avec le profil lent ; civils, convois et terrain difficile possèdent leurs propres vitesses.</x:v>
      </x:c>
      <x:c r="O38" s="71" t="str">
        <x:v>Enveloppe proposée en unités de jeu, pas en mètres. Les secteurs parcourables, leur relief et leurs connexions doivent être relevés dans l’œuvre puis prototypés ; aucune restitution spatiale 1:1 revendiquée.</x:v>
      </x:c>
      <x:c r="P38" s="71" t="str">
        <x:v>Chaque camp peut rejoindre l’objectif sans sprint obligatoire ; les traces se dégradent sans fournir une détection parfaite. Theta demeure unique et les sept gardes originaux sont distincts.</x:v>
      </x:c>
      <x:c r="Q38" s="71" t="str">
        <x:v>P2</x:v>
      </x:c>
    </x:row>
    <x:row r="39" ht="63" customHeight="1">
      <x:c r="A39" s="70" t="str">
        <x:v>LD-33</x:v>
      </x:c>
      <x:c r="B39" s="70" t="str">
        <x:v>Lune des Spinners — habitat et terraformation</x:v>
      </x:c>
      <x:c r="C39" s="70" t="str">
        <x:v>Nouvelle carte proposée ; aucune implémentation certifiée</x:v>
      </x:c>
      <x:c r="D39" s="70" t="str">
        <x:v>Alien Marvel 2021 ; nom du lieu à confirmer, secours Yautja original Lieu sourcé : H-L08.</x:v>
      </x:c>
      <x:c r="E39" s="74" t="n">
        <x:v>2000</x:v>
      </x:c>
      <x:c r="F39" s="74" t="n">
        <x:v>2600</x:v>
      </x:c>
      <x:c r="G39" s="74" t="n">
        <x:v>18</x:v>
      </x:c>
      <x:c r="H39" s="74" t="n">
        <x:v>3</x:v>
      </x:c>
      <x:c r="I39" s="70" t="str">
        <x:v>Habitat 180×250 u ; chantier 300×450 u ; conduit 15–25 u ; abri 80×140 u</x:v>
      </x:c>
      <x:c r="J39" s="70" t="str">
        <x:v>Habitat, chantier et extraction forment un triangle connecté par deux routes ; infrastructure explique les déplacements et la population</x:v>
      </x:c>
      <x:c r="K39" s="70" t="str">
        <x:v>Habitat, chantier de terraformation, passerelle et zone d’embarquement proposés</x:v>
      </x:c>
      <x:c r="L39" s="70" t="str">
        <x:v>Foyers, état du chantier et progression du convoi ; relief stable</x:v>
      </x:c>
      <x:c r="M39" s="70" t="str">
        <x:v>Cible 40–90 s entre objectifs voisins, mesurée sur routes réelles ; axes éloignés couverts par alliés ou transport.</x:v>
      </x:c>
      <x:c r="N39" s="70" t="str">
        <x:v>Référence 14 u/s à calibrer ; marche humaine, secours et gabarits lourds distincts.</x:v>
      </x:c>
      <x:c r="O39" s="70" t="str">
        <x:v>Enveloppe en unités de jeu, pas des mètres. Extensions, géométrie et dimensions originales ; pas un relevé exact de l’œuvre.</x:v>
      </x:c>
      <x:c r="P39" s="70" t="str">
        <x:v>Nom de lune non inventé ; Spinners civils distincts d’une garnison ajoutée par conception. Vérifier portes, navigation par gabarit et état identique en revenant sur zone.
Lieux documentés : H-L08 — Lune des Spinners — nom à confirmer</x:v>
      </x:c>
      <x:c r="Q39" s="70" t="str">
        <x:v>P2</x:v>
      </x:c>
    </x:row>
    <x:row r="40" ht="157.5" customHeight="1">
      <x:c r="A40" s="71" t="str">
        <x:v>LD-34</x:v>
      </x:c>
      <x:c r="B40" s="71" t="str">
        <x:v>LV-742 — bassin atmosphérique et ruche des failles</x:v>
      </x:c>
      <x:c r="C40" s="71" t="str">
        <x:v>Nouvelle carte proposée à partir du théâtre officiel Extinction ; aucune implémentation ni mesure de performance revendiquée</x:v>
      </x:c>
      <x:c r="D40" s="71"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E40" s="75" t="n">
        <x:v>1800</x:v>
      </x:c>
      <x:c r="F40" s="75" t="n">
        <x:v>1600</x:v>
      </x:c>
      <x:c r="G40" s="75" t="n">
        <x:v>16</x:v>
      </x:c>
      <x:c r="H40" s="75" t="n">
        <x:v>4</x:v>
      </x:c>
      <x:c r="I40" s="71" t="str">
        <x:v>Cour industrielle 180 × 240 u ; défilé 25–45 u ; bassin ouvert 350 × 400 u ; galeries 10–18 u ; sanctuaire 160 × 220 u ; deux profondeurs de cavernes reliées par rampes</x:v>
      </x:c>
      <x:c r="J40" s="71" t="str">
        <x:v>Boucle A→B→C→D→A : A au nord-est (atmos et débarquement humain), B au sud-est (col logistique), C au sud-ouest (ruche), D au nord-ouest (sanctuaire et sortie Yautja). Deux passages relient chaque paire de secteurs voisins ; une galerie A↔C se débloque par une action locale et ne traverse pas l’arène de la reine. Le plateau D↔B offre un détour aux petites escouades, inaccessible au fret lourd.</x:v>
      </x:c>
      <x:c r="K40" s="71" t="str">
        <x:v>Tour atmosphérique visible depuis B, épave-pont du col, ouverture de ruche dans la falaise, dalle lumineuse du sanctuaire, fumée des balises humaines, deux antennes de commande</x:v>
      </x:c>
      <x:c r="L40" s="71" t="str">
        <x:v>Varier les conduits accessibles, l’état de réparation des atmos et l’itinéraire des convois. Géométrie générale stable ; aucune rotation magique de la vallée ni apparition sans accès. L’éclairage et la météo modifient détection et lignes de tir après profilage.</x:v>
      </x:c>
      <x:c r="M40" s="71" t="str">
        <x:v>Cible 45–90 s entre objectifs voisins avec la vitesse lente du joueur et les obstacles ; franchir toute la carte reste coûteux et impose des ordres aux alliés. Les délais d’alarme dépendent du chemin réel.</x:v>
      </x:c>
      <x:c r="N40" s="71" t="str">
        <x:v>Référence de prototype 14 u/s, à recalibrer ; locomotions du joueur, des Marines, des Xénomorphes et des dispositifs mobiles distinctes.</x:v>
      </x:c>
      <x:c r="O40" s="71" t="str">
        <x:v>Enveloppe de conception en unités de jeu, pas des mètres certifiés ; surface jouable partielle et secteurs chargés selon proximité. Aucun plan officiel 1:1 revendiqué.</x:v>
      </x:c>
      <x:c r="P40" s="71" t="str">
        <x:v>Chaque front possède au moins deux routes praticables ; tout blocage conserve un détour mesurable. La taille des galeries filtre les grosses unités. Renforts humains par balise, Xénomorphes par conduits tracés, Yautja par route du sanctuaire. La reine ne bouche pas l’unique sortie.
Opération liée : FR-40
Gabarit lié : EFF-14
Lieux documentés : X-L01 — LV-742 — zones de guerre d’Extinction
X-S01 — Aliens versus Predator: Extinction — manuel officiel PS2
https://gamingalexandria.com/ps2/Aliens%20Versus%20Predator%20Extinction/Aliens%20Versus%20Predator%20Extinction%20-%20Manual.pdf</x:v>
      </x:c>
      <x:c r="Q40" s="71" t="str">
        <x:v>P1</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conditionalFormatting sqref="Q20:Q27">
    <x:cfRule type="cellIs" dxfId="31" priority="4" operator="equal">
      <x:formula>"P0"</x:formula>
    </x:cfRule>
    <x:cfRule type="cellIs" dxfId="32" priority="5" operator="equal">
      <x:formula>"P1"</x:formula>
    </x:cfRule>
    <x:cfRule type="cellIs" dxfId="33" priority="6" operator="equal">
      <x:formula>"P2"</x:formula>
    </x:cfRule>
  </x:conditionalFormatting>
  <x:conditionalFormatting sqref="Q28:Q40">
    <x:cfRule type="cellIs" dxfId="43" priority="7" operator="equal">
      <x:formula>"P0"</x:formula>
    </x:cfRule>
    <x:cfRule type="cellIs" dxfId="44" priority="8" operator="equal">
      <x:formula>"P1"</x:formula>
    </x:cfRule>
    <x:cfRule type="cellIs" dxfId="45" priority="9" operator="equal">
      <x:formula>"P2"</x:formula>
    </x:cfRule>
  </x:conditionalFormatting>
  <x:dataValidations count="3">
    <x:dataValidation type="list" sqref="Q7:Q19">
      <x:formula1>"P0,P1,P2,P3"</x:formula1>
    </x:dataValidation>
    <x:dataValidation type="list" sqref="Q20:Q27">
      <x:formula1>"P0,P1,P2,P3"</x:formula1>
    </x:dataValidation>
    <x:dataValidation type="list" sqref="Q28:Q40">
      <x:formula1>"P0,P1,P2,P3"</x:formula1>
    </x:dataValidation>
  </x:dataValidations>
  <x:pageMargins left="0.7" right="0.7" top="0.75" bottom="0.75" header="0.3" footer="0.3"/>
  <x:tableParts count="1">
    <x:tablePart xmlns:r="http://schemas.openxmlformats.org/officeDocument/2006/relationships" r:id="R0b65d6b4aa21461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39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32" ht="49.5" customHeight="1">
      <x:c r="A32" s="41" t="str">
        <x:v>BOS-26</x:v>
      </x:c>
      <x:c r="B32" s="41" t="str">
        <x:v>Kher, pisteur des Lames de Basalte</x:v>
      </x:c>
      <x:c r="C32" s="41" t="str">
        <x:v>Commandant de détachement</x:v>
      </x:c>
      <x:c r="D32" s="41" t="str">
        <x:v>Nouvelle proposition originale ; intégration à réaliser</x:v>
      </x:c>
      <x:c r="E32" s="41" t="str">
        <x:v>proposition_kher_tracker</x:v>
      </x:c>
      <x:c r="F32" s="41" t="str">
        <x:v>Scénario original de conflit entre deux clans Yautja inventés ; aucune guerre, coutume, hiérarchie ou règle de duel n’est présentée comme canonique ou universelle.</x:v>
      </x:c>
      <x:c r="G32" s="41" t="str">
        <x:v>Déplacer les gardes vers un accès découvert, protéger les archives ou un convoi selon l’opération.</x:v>
      </x:c>
      <x:c r="H32" s="41" t="str">
        <x:v>Observer puis marquer une route, déclencher une interception bornée par la réserve et changer de couvert. À forte pression, tenter un retrait vers une escouade existante.</x:v>
      </x:c>
      <x:c r="I32" s="41" t="str">
        <x:v>Couper le relais, prendre une route non observée, interrompre le marquage ou capturer le passage de repli. Sa portée et ses fenêtres restent celles d’un chasseur, pas d’un géant.</x:v>
      </x:c>
      <x:c r="J32" s="41" t="str">
        <x:v>Capture ou retrait de Kher ralentit les nouvelles interceptions ; les gardes déjà engagés conservent leurs ordres. Un successeur anonyme peut transmettre un repli, sans recréer Kher.</x:v>
      </x:c>
      <x:c r="K32" s="41" t="str">
        <x:v>Un individu unique dans GRP-36 ; réutilisable dans une autre opération seulement si son état de campagne le permet.</x:v>
      </x:c>
      <x:c r="L32" s="41" t="str">
        <x:v>Nom, rôle et tactique originaux. Pas de pouvoir psychique, de téléportation ni de rang Yautja universel déduits du rôle.</x:v>
      </x:c>
      <x:c r="M32" s="41" t="str">
        <x:v>P1</x:v>
      </x:c>
      <x:c r="N32" s="45" t="str">
        <x:v>n.a.</x:v>
      </x:c>
      <x:c r="O32" s="41" t="str">
        <x:v>Voir le registre Manquants pour les systèmes associés. Fiche de conception non testée en jeu.</x:v>
      </x:c>
      <x:c r="P32" s="46" t="str"/>
    </x:row>
    <x:row r="33" ht="63" customHeight="1">
      <x:c r="A33" s="40" t="str">
        <x:v>BOS-27</x:v>
      </x:c>
      <x:c r="B33" s="40" t="str">
        <x:v>Raan, commandante du siège</x:v>
      </x:c>
      <x:c r="C33" s="40" t="str">
        <x:v>Commandante majeure de mission</x:v>
      </x:c>
      <x:c r="D33" s="40" t="str">
        <x:v>Nouvelle proposition originale ; intégration à réaliser</x:v>
      </x:c>
      <x:c r="E33" s="40" t="str">
        <x:v>proposition_raan_siege_commander</x:v>
      </x:c>
      <x:c r="F33" s="40" t="str">
        <x:v>Scénario original de conflit entre deux clans Yautja inventés ; aucune guerre, coutume, hiérarchie ou règle de duel n’est présentée comme canonique ou universelle.</x:v>
      </x:c>
      <x:c r="G33" s="40" t="str">
        <x:v>Arbitrer brèche, ravitaillement et retrait pendant l’attaque de la Citadelle.</x:v>
      </x:c>
      <x:c r="H33" s="40" t="str">
        <x:v>Tenir un poste mobile protégé, engager un appui limité puis changer d’objectif si une route de fret tombe. Une rupture de couverture ouvre une courte occasion de duel ou capture.</x:v>
      </x:c>
      <x:c r="I33" s="40" t="str">
        <x:v>Couper sa logistique, détourner son escorte vers un objectif crédible, détruire un relais puis choisir capture ou pression sur le port.</x:v>
      </x:c>
      <x:c r="J33" s="40" t="str">
        <x:v>La chaîne de commandement change de priorité : arrêt des nouvelles vagues, regroupement puis retrait par des sorties connues. Les groupes isolés doivent recevoir l’ordre ; la victoire ne les efface pas.</x:v>
      </x:c>
      <x:c r="K33" s="40" t="str">
        <x:v>Une Raan par opération, incluse dans le GRP-36 rival. Le front est défini par l’opération : D dans AFF-02, B dans AFF-12. Sa mort, sa capture ou son retrait persistent si les missions sont liées en campagne.</x:v>
      </x:c>
      <x:c r="L33" s="40" t="str">
        <x:v>Fonction de commandement inventée pour ce conflit. Sa taille, ses armes et ses défenses restent à vérifier contre le profil Yautja choisi ; aucun rang canonique nouveau.</x:v>
      </x:c>
      <x:c r="M33" s="40" t="str">
        <x:v>P1</x:v>
      </x:c>
      <x:c r="N33" s="44" t="str">
        <x:v>n.a.</x:v>
      </x:c>
      <x:c r="O33" s="40" t="str">
        <x:v>Voir le registre Manquants pour les systèmes associés. Fiche de conception non testée en jeu.</x:v>
      </x:c>
      <x:c r="P33" s="47" t="str"/>
    </x:row>
    <x:row r="34" ht="49.5" customHeight="1">
      <x:c r="A34" s="41" t="str">
        <x:v>BOS-28</x:v>
      </x:c>
      <x:c r="B34" s="41" t="str">
        <x:v>Sel, porte-parole armée du clan rival</x:v>
      </x:c>
      <x:c r="C34" s="41" t="str">
        <x:v>Adversaire de duel et décision stratégique</x:v>
      </x:c>
      <x:c r="D34" s="41" t="str">
        <x:v>Nouvelle proposition originale ; intégration à réaliser</x:v>
      </x:c>
      <x:c r="E34" s="41" t="str">
        <x:v>proposition_sel_negotiator</x:v>
      </x:c>
      <x:c r="F34" s="41" t="str">
        <x:v>Scénario original de conflit entre deux clans Yautja inventés ; aucune guerre, coutume, hiérarchie ou règle de duel n’est présentée comme canonique ou universelle.</x:v>
      </x:c>
      <x:c r="G34" s="41" t="str">
        <x:v>Engager sa délégation sur un accord qui doit ensuite être reçu par les fronts encore actifs.</x:v>
      </x:c>
      <x:c r="H34" s="41" t="str">
        <x:v>Alterner garde, feinte et engagement court ; demander un arrêt aux seuils négociés. La rencontre peut se conclure par désarmement, concession ou repli sans mise à mort.</x:v>
      </x:c>
      <x:c r="I34" s="41" t="str">
        <x:v>Lire la posture, contrôler la distance, respecter ou refuser explicitement les conditions de l’échange. Secourir le relais peut coûter une concession dans la négociation.</x:v>
      </x:c>
      <x:c r="J34" s="41" t="str">
        <x:v>Le résultat autorise un ordre de cessation ; son relais et son exécution sur B et C déterminent la fin réelle de la bataille. L’échec d’un signal n’annule pas magiquement l’accord.</x:v>
      </x:c>
      <x:c r="K34" s="41" t="str">
        <x:v>Une seule Sel, incluse dans le GRP-36 du front A. Un arrêt met fin à son attaque mais conserve sa position, son escorte et son état.</x:v>
      </x:c>
      <x:c r="L34" s="41" t="str">
        <x:v>Duel et limites convenus par ces deux délégations fictives ; aucune obligation de duel ni règle d’honneur présentée comme commune à tous les Yautja.</x:v>
      </x:c>
      <x:c r="M34" s="41" t="str">
        <x:v>P1</x:v>
      </x:c>
      <x:c r="N34" s="45" t="str">
        <x:v>n.a.</x:v>
      </x:c>
      <x:c r="O34" s="41" t="str">
        <x:v>Voir le registre Manquants pour les systèmes associés. Fiche de conception non testée en jeu.</x:v>
      </x:c>
      <x:c r="P34" s="46" t="str"/>
    </x:row>
    <x:row r="35" ht="49.5" customHeight="1">
      <x:c r="A35" s="40" t="str">
        <x:v>BOS-29</x:v>
      </x:c>
      <x:c r="B35" s="40" t="str">
        <x:v>Commandant de la force de capture</x:v>
      </x:c>
      <x:c r="C35" s="40" t="str">
        <x:v>Mini-boss humain tactique</x:v>
      </x:c>
      <x:c r="D35" s="40" t="str">
        <x:v>Nouvelle rencontre proposée dans l’audit ; aucune présence dans le code revendiquée</x:v>
      </x:c>
      <x:c r="E35" s="40" t="str">
        <x:v>À créer — commandant_capture_original</x:v>
      </x:c>
      <x:c r="F35" s="40" t="str">
        <x:v>Personnage humain contemporain original, distinct de tout officier nommé de la franchise</x:v>
      </x:c>
      <x:c r="G35" s="40" t="str">
        <x:v>Déclencher le transfert du matériel Yautja saisi et réaffecter les équipes de capture</x:v>
      </x:c>
      <x:c r="H35" s="40" t="str">
        <x:v>Commander depuis couvert, appeler une escorte finie, déplacer le dispositif de capture puis tenter une retraite par la route de service ; combat humain soumis aux dégâts normaux</x:v>
      </x:c>
      <x:c r="I35" s="40" t="str">
        <x:v>Couper les communications, interrompre le départ du convoi, contourner l’escorte ou accepter une reddition si le scénario l’autorise</x:v>
      </x:c>
      <x:c r="J35" s="40" t="str">
        <x:v>Sa neutralisation empêche de nouveaux ordres centralisés ; les groupes gardent leurs ordres locaux, les renforts en route restent suivis et la récupération du matériel reste nécessaire</x:v>
      </x:c>
      <x:c r="K35" s="40" t="str">
        <x:v>1 individu dans AFF-06, inclus dans la cellule GRP-42 déjà comptée</x:v>
      </x:c>
      <x:c r="L35" s="40" t="str">
        <x:v>Création originale ; équipements contemporains. Difficulté issue du terrain, du commandement et des gardes, sans invulnérabilité ni PV de monstre.</x:v>
      </x:c>
      <x:c r="M35" s="40" t="str">
        <x:v>P1</x:v>
      </x:c>
      <x:c r="N35" s="44" t="str">
        <x:v>n.a.</x:v>
      </x:c>
      <x:c r="O35" s="40" t="str">
        <x:v>Voir le registre Manquants pour les systèmes associés. Fiche de conception non testée en jeu.</x:v>
      </x:c>
      <x:c r="P35" s="47" t="str"/>
    </x:row>
    <x:row r="36" ht="49.5" customHeight="1">
      <x:c r="A36" s="41" t="str">
        <x:v>BOS-30</x:v>
      </x:c>
      <x:c r="B36" s="41" t="str">
        <x:v>Responsable tactique de sécurité</x:v>
      </x:c>
      <x:c r="C36" s="41" t="str">
        <x:v>Mini-boss humain de contrôle du site</x:v>
      </x:c>
      <x:c r="D36" s="41" t="str">
        <x:v>Nouvel archétype de rencontre proposé ; aucune implémentation revendiquée</x:v>
      </x:c>
      <x:c r="E36" s="41" t="str">
        <x:v>À créer — responsable_securite_original</x:v>
      </x:c>
      <x:c r="F36" s="41" t="str">
        <x:v>Deux incarnations originales séparées : directeur de sécurité contemporain AFF-07, officier de sûreté orbitale futur AFF-09</x:v>
      </x:c>
      <x:c r="G36" s="41" t="str">
        <x:v>Protéger le chargement ou la navette saisis en commandant portes, alarmes et escortes du site</x:v>
      </x:c>
      <x:c r="H36" s="41" t="str">
        <x:v>Prendre couvert, transférer son poste quand un relais tombe, demander un détachement disponible ; les commandes exigent liaison et énergie effectives</x:v>
      </x:c>
      <x:c r="I36" s="41" t="str">
        <x:v>Sabotage ciblé du relais, prise du poste secondaire, intervention technique ou affrontement humain direct</x:v>
      </x:c>
      <x:c r="J36" s="41" t="str">
        <x:v>Perte de coordination et de verrouillage sur les seuls systèmes encore reliés au poste ; pas extinction magique de toutes les défenses ni disparition des gardes</x:v>
      </x:c>
      <x:c r="K36" s="41" t="str">
        <x:v>1 responsable propre à chaque opération ; un des 8 membres GRP-42, aucun clone simultané</x:v>
      </x:c>
      <x:c r="L36" s="41" t="str">
        <x:v>Les deux périodes partagent un rôle de conception, pas la même identité ni le même équipement. Toute résistance provient de couverts ou protections visibles destructibles.</x:v>
      </x:c>
      <x:c r="M36" s="41" t="str">
        <x:v>P1</x:v>
      </x:c>
      <x:c r="N36" s="45" t="str">
        <x:v>n.a.</x:v>
      </x:c>
      <x:c r="O36" s="41" t="str">
        <x:v>Voir le registre Manquants pour les systèmes associés. Fiche de conception non testée en jeu.</x:v>
      </x:c>
      <x:c r="P36" s="46" t="str"/>
    </x:row>
    <x:row r="37" ht="63" customHeight="1">
      <x:c r="A37" s="40" t="str">
        <x:v>BOS-31</x:v>
      </x:c>
      <x:c r="B37" s="40" t="str">
        <x:v>Commandant expéditionnaire de la force humaine</x:v>
      </x:c>
      <x:c r="C37" s="40" t="str">
        <x:v>Chef d’opération humain</x:v>
      </x:c>
      <x:c r="D37" s="40" t="str">
        <x:v>Nouvel archétype proposé pour les conflits futurs ; aucune présence dans le code revendiquée</x:v>
      </x:c>
      <x:c r="E37" s="40" t="str">
        <x:v>À créer — commandant_expeditionnaire_original</x:v>
      </x:c>
      <x:c r="F37" s="40" t="str">
        <x:v>Officiers originaux distincts selon l’opération future (AFF-08, AFF-10, AFF-11 et AFF-12). Le profil de rencontre est réutilisable ; un individu mort ou capturé ne réapparaît pas dans une campagne liée.</x:v>
      </x:c>
      <x:c r="G37" s="40" t="str">
        <x:v>Coordonner les contre-attaques, préserver le cordon ou transférer un objectif sous protection</x:v>
      </x:c>
      <x:c r="H37" s="40" t="str">
        <x:v>Donner des ordres depuis un véhicule ou poste accessible, changer de lieu avec son escorte puis défendre une voie de repli ; blessures et ligne de vue réelles</x:v>
      </x:c>
      <x:c r="I37" s="40" t="str">
        <x:v>Couper la logistique, bloquer la voie de repli, neutraliser l’antenne ou l’affronter quand son couvert est perdu</x:v>
      </x:c>
      <x:c r="J37" s="40" t="str">
        <x:v>Réserves non engagées retardées ou annulées selon leur source ; les sections déjà déployées gardent une autonomie locale. La victoire exige encore récupération et extraction.</x:v>
      </x:c>
      <x:c r="K37" s="40" t="str">
        <x:v>1 commandant par opération, inclus dans GRP-42 ; officier distinct d’une opération à l’autre</x:v>
      </x:c>
      <x:c r="L37" s="40" t="str">
        <x:v>Pas de personnage canonique transformé en antagoniste sans scénario. Armure, taille et dégâts humains ; aucun commandant géant à santé artificiellement illimitée.</x:v>
      </x:c>
      <x:c r="M37" s="40" t="str">
        <x:v>P1</x:v>
      </x:c>
      <x:c r="N37" s="44" t="str">
        <x:v>n.a.</x:v>
      </x:c>
      <x:c r="O37" s="40" t="str">
        <x:v>Voir le registre Manquants pour les systèmes associés. Fiche de conception non testée en jeu.</x:v>
      </x:c>
      <x:c r="P37" s="47" t="str"/>
    </x:row>
    <x:row r="38" ht="49.5" customHeight="1">
      <x:c r="A38" s="71" t="str">
        <x:v>BOS-32</x:v>
      </x:c>
      <x:c r="B38" s="71" t="str">
        <x:v>Praetorian du passage de Lethe</x:v>
      </x:c>
      <x:c r="C38" s="71" t="str">
        <x:v>Mini-boss de défense</x:v>
      </x:c>
      <x:c r="D38" s="71" t="str">
        <x:v>Nouvelle rencontre de conception ; profils de base partiels selon Bestiaire_medias</x:v>
      </x:c>
      <x:c r="E38" s="71" t="str">
        <x:v>A créer — rencontre_medias_32</x:v>
      </x:c>
      <x:c r="F38" s="71" t="str">
        <x:v>Dark Descent ; rencontre et emplacement originaux</x:v>
      </x:c>
      <x:c r="G38" s="71" t="str">
        <x:v>Tenir l’accès à la ruche pendant une évacuation</x:v>
      </x:c>
      <x:c r="H38" s="71" t="str">
        <x:v>Intercepter un passage large puis reculer si l’axe est isolé ; aucun héritage de transformation Extinction</x:v>
      </x:c>
      <x:c r="I38" s="71" t="str">
        <x:v>Détour, délégation d’un front et attaque pendant une fenêtre lisible</x:v>
      </x:c>
      <x:c r="J38" s="71" t="str">
        <x:v>Le passage libéré permet aux alliés de progresser ; les autres groupes ne disparaissent pas</x:v>
      </x:c>
      <x:c r="K38" s="71" t="str">
        <x:v>Un individu dans GRP-45 ; remplace un membre, compris dans le budget Xénomorphe</x:v>
      </x:c>
      <x:c r="L38" s="71" t="str">
        <x:v>Pas de reine miniature ni de pouvoirs du jeu Extinction importés Profil XEN-008.
Profils du catalogue : XEN-008 — Praetorian</x:v>
      </x:c>
      <x:c r="M38" s="71" t="str">
        <x:v>P1</x:v>
      </x:c>
      <x:c r="N38" s="75" t="str">
        <x:v>n.a.</x:v>
      </x:c>
      <x:c r="O38" s="71" t="str">
        <x:v>Voir le registre Manquants pour les systèmes associés. Fiche de conception non testée en jeu.</x:v>
      </x:c>
      <x:c r="P38" s="76" t="str"/>
    </x:row>
    <x:row r="39" ht="49.5" customHeight="1">
      <x:c r="A39" s="70" t="str">
        <x:v>BOS-33</x:v>
      </x:c>
      <x:c r="B39" s="70" t="str">
        <x:v>Spitter en position dominante</x:v>
      </x:c>
      <x:c r="C39" s="70" t="str">
        <x:v>Elite de secteur</x:v>
      </x:c>
      <x:c r="D39" s="70" t="str">
        <x:v>Nouvelle rencontre de conception ; profils de base partiels selon Bestiaire_medias</x:v>
      </x:c>
      <x:c r="E39" s="70" t="str">
        <x:v>A créer — rencontre_medias_33</x:v>
      </x:c>
      <x:c r="F39" s="70" t="str">
        <x:v>Fireteam Elite ; rencontre originale LV-895</x:v>
      </x:c>
      <x:c r="G39" s="70" t="str">
        <x:v>Interdire un passage tant que son angle n’est pas contourné</x:v>
      </x:c>
      <x:c r="H39" s="70" t="str">
        <x:v>Tir annoncé depuis un point accessible, changement de position si débordé</x:v>
      </x:c>
      <x:c r="I39" s="70" t="str">
        <x:v>Couvert, détour et interruption ; ne pas rendre le tireur invincible</x:v>
      </x:c>
      <x:c r="J39" s="70" t="str">
        <x:v>Un chemin logistique s’ouvre après neutralisation, pas une victoire automatique</x:v>
      </x:c>
      <x:c r="K39" s="70" t="str">
        <x:v>Un Spitter du GRP-44 actif au front C ; jamais un ennemi ajouté à l’allocation</x:v>
      </x:c>
      <x:c r="L39" s="70" t="str">
        <x:v>Elite par sa position et son IA ; pas une nouvelle caste géante Profil XEN-012.
Profils du catalogue : XEN-012 — Spitter de Fireteam Elite</x:v>
      </x:c>
      <x:c r="M39" s="70" t="str">
        <x:v>P1</x:v>
      </x:c>
      <x:c r="N39" s="74" t="str">
        <x:v>n.a.</x:v>
      </x:c>
      <x:c r="O39" s="70" t="str">
        <x:v>Voir le registre Manquants pour les systèmes associés. Fiche de conception non testée en jeu.</x:v>
      </x:c>
      <x:c r="P39" s="77" t="str"/>
    </x:row>
    <x:row r="40" ht="49.5" customHeight="1">
      <x:c r="A40" s="71" t="str">
        <x:v>BOS-34</x:v>
      </x:c>
      <x:c r="B40" s="71" t="str">
        <x:v>Adulte traqueur de Sevastopol</x:v>
      </x:c>
      <x:c r="C40" s="71" t="str">
        <x:v>Menace persistante</x:v>
      </x:c>
      <x:c r="D40" s="71" t="str">
        <x:v>Nouvelle rencontre de conception ; profils de base partiels selon Bestiaire_medias</x:v>
      </x:c>
      <x:c r="E40" s="71" t="str">
        <x:v>A créer — rencontre_medias_34</x:v>
      </x:c>
      <x:c r="F40" s="71" t="str">
        <x:v>Isolation ; scénario Yautja original</x:v>
      </x:c>
      <x:c r="G40" s="71" t="str">
        <x:v>Chasser entre deux réseaux sans réinitialisation à chaque secteur</x:v>
      </x:c>
      <x:c r="H40" s="71" t="str">
        <x:v>Un identifiant unique et une mémoire de poursuite ; retraite possible par routes réelles</x:v>
      </x:c>
      <x:c r="I40" s="71" t="str">
        <x:v>Divertir, fermer un accès ou utiliser une autre boucle ; combat selon profil validé</x:v>
      </x:c>
      <x:c r="J40" s="71" t="str">
        <x:v>Sa présence déplace le risque, les Working Joes continuent leurs propres routines</x:v>
      </x:c>
      <x:c r="K40" s="71" t="str">
        <x:v>Un des huit adultes alloués ; deux adultes actifs au plus avec EFF-15</x:v>
      </x:c>
      <x:c r="L40" s="71" t="str">
        <x:v>Aucun statut de personnage canonique nommé ni pouvoir Fireteam attribué Profil XEN-034.
Profils du catalogue : XEN-034 — Xénomorphe de Sevastopol</x:v>
      </x:c>
      <x:c r="M40" s="71" t="str">
        <x:v>P1</x:v>
      </x:c>
      <x:c r="N40" s="75" t="str">
        <x:v>n.a.</x:v>
      </x:c>
      <x:c r="O40" s="71" t="str">
        <x:v>Voir le registre Manquants pour les systèmes associés. Fiche de conception non testée en jeu.</x:v>
      </x:c>
      <x:c r="P40" s="76" t="str"/>
    </x:row>
    <x:row r="41" ht="49.5" customHeight="1">
      <x:c r="A41" s="70" t="str">
        <x:v>BOS-35</x:v>
      </x:c>
      <x:c r="B41" s="70" t="str">
        <x:v>Responsable du cordon Prodigy</x:v>
      </x:c>
      <x:c r="C41" s="70" t="str">
        <x:v>Chef humain tactique</x:v>
      </x:c>
      <x:c r="D41" s="70" t="str">
        <x:v>Nouvelle rencontre de conception ; profils de base partiels selon Bestiaire_medias</x:v>
      </x:c>
      <x:c r="E41" s="70" t="str">
        <x:v>A créer — rencontre_medias_35</x:v>
      </x:c>
      <x:c r="F41" s="70" t="str">
        <x:v>Alien: Earth ; personne originale de la variante de guerre</x:v>
      </x:c>
      <x:c r="G41" s="70" t="str">
        <x:v>Commander le cordon et déplacer un convoi de récupération</x:v>
      </x:c>
      <x:c r="H41" s="70" t="str">
        <x:v>Chef mobile sous couvert ; radios, gardes et transports existent sur la carte</x:v>
      </x:c>
      <x:c r="I41" s="70" t="str">
        <x:v>Couper le relais, intercepter le convoi ou négocier un passage</x:v>
      </x:c>
      <x:c r="J41" s="70" t="str">
        <x:v>Les troupes conservent leurs derniers ordres ; le contrôle du cordon peut basculer</x:v>
      </x:c>
      <x:c r="K41" s="70" t="str">
        <x:v>Un garde du GRP-48 du front A est remplacé par ce chef</x:v>
      </x:c>
      <x:c r="L41" s="70" t="str">
        <x:v>Ni Hermit ni Morrow cloné ; santé et résistance humaines liées à protections visibles Profil HUM-021.
Profils du catalogue : HUM-021 — Soldats tactiques de Prodigy</x:v>
      </x:c>
      <x:c r="M41" s="70" t="str">
        <x:v>P1</x:v>
      </x:c>
      <x:c r="N41" s="74" t="str">
        <x:v>n.a.</x:v>
      </x:c>
      <x:c r="O41" s="70" t="str">
        <x:v>Voir le registre Manquants pour les systèmes associés. Fiche de conception non testée en jeu.</x:v>
      </x:c>
      <x:c r="P41" s="77" t="str"/>
    </x:row>
    <x:row r="42" ht="49.5" customHeight="1">
      <x:c r="A42" s="71" t="str">
        <x:v>BOS-36</x:v>
      </x:c>
      <x:c r="B42" s="71" t="str">
        <x:v>Mara Voss, responsable du transfert industriel</x:v>
      </x:c>
      <x:c r="C42" s="71" t="str">
        <x:v>Commandant tactique de scénario</x:v>
      </x:c>
      <x:c r="D42" s="71" t="str">
        <x:v>Nouvelle proposition ; aucune implémentation revendiquée</x:v>
      </x:c>
      <x:c r="E42" s="71" t="str">
        <x:v>proposition_mara_voss</x:v>
      </x:c>
      <x:c r="F42" s="71" t="str">
        <x:v>Humaine originale d’AFF-20 ; ni personnage du jeu ni officier canonique Borgia revendiqué.</x:v>
      </x:c>
      <x:c r="G42" s="71" t="str">
        <x:v>Protéger le module saisi et donner l’ordre de son transfert à travers le site.</x:v>
      </x:c>
      <x:c r="H42" s="71" t="str">
        <x:v>Rester à couvert, déplacer le convoi avec une escorte existante et changer de poste si le réseau est coupé ; dégâts et mobilité humains.</x:v>
      </x:c>
      <x:c r="I42" s="71" t="str">
        <x:v>Couper le registre des départs, bloquer la route de fret ou atteindre son poste après perte de couverture ; reddition possible si encerclée.</x:v>
      </x:c>
      <x:c r="J42" s="71" t="str">
        <x:v>Plus de nouvelles réaffectations centralisées ; les groupes déjà engagés gardent leurs consignes. Le module doit encore être récupéré.</x:v>
      </x:c>
      <x:c r="K42" s="71" t="str">
        <x:v>Une seule Mara dans AFF-20 : chef de la première GRP-55 active sur A, incluse dans ses 8 membres.</x:v>
      </x:c>
      <x:c r="L42" s="71" t="str">
        <x:v>Identité et tactique originales ; aucune immunité humaine ou compétence canonique inventée.</x:v>
      </x:c>
      <x:c r="M42" s="71" t="str">
        <x:v>P1</x:v>
      </x:c>
      <x:c r="N42" s="75" t="str">
        <x:v>n.a.</x:v>
      </x:c>
      <x:c r="O42" s="71" t="str">
        <x:v>Voir le registre Manquants pour les systèmes associés. Fiche de conception non testée en jeu.</x:v>
      </x:c>
      <x:c r="P42" s="76" t="str"/>
    </x:row>
    <x:row r="43" ht="49.5" customHeight="1">
      <x:c r="A43" s="70" t="str">
        <x:v>BOS-37</x:v>
      </x:c>
      <x:c r="B43" s="70" t="str">
        <x:v>Vorrek, chef de la récupération rivale</x:v>
      </x:c>
      <x:c r="C43" s="70" t="str">
        <x:v>Commandant tactique de scénario</x:v>
      </x:c>
      <x:c r="D43" s="70" t="str">
        <x:v>Nouvelle proposition ; aucune implémentation revendiquée</x:v>
      </x:c>
      <x:c r="E43" s="70" t="str">
        <x:v>proposition_vorrek_genna</x:v>
      </x:c>
      <x:c r="F43" s="70" t="str">
        <x:v>Yautja original du clan inventé des Roches Creuses ; sa présence sur Genna est une fiction alternative.</x:v>
      </x:c>
      <x:c r="G43" s="70" t="str">
        <x:v>Faire partir la balise saisie par le camp C tout en interdisant l’accès B.</x:v>
      </x:c>
      <x:c r="H43" s="70" t="str">
        <x:v>Transmettre un ordre de transfert, déléguer une interception disponible puis reculer vers une garde déjà allouée ; aucune téléportation.</x:v>
      </x:c>
      <x:c r="I43" s="70" t="str">
        <x:v>Interrompre la liaison B–C, détourner l’escorte vers A, prendre le passage bas ou l’affronter quand son couvert tombe.</x:v>
      </x:c>
      <x:c r="J43" s="70" t="str">
        <x:v>Le transfert ralentit faute d’ordres ; les intercepteurs poursuivent leur tâche locale. Un retrait peut être négocié et doit se propager par les relais.</x:v>
      </x:c>
      <x:c r="K43" s="70" t="str">
        <x:v>Un Vorrek dans le GRP-36 actif de B, inclus dans les quatre ; jamais un cinquième acteur.</x:v>
      </x:c>
      <x:c r="L43" s="70" t="str">
        <x:v>Pas de rang universel, de lien familial avec Dek ni d’autorité sur tous les Yautja de Genna.</x:v>
      </x:c>
      <x:c r="M43" s="70" t="str">
        <x:v>P2</x:v>
      </x:c>
      <x:c r="N43" s="74" t="str">
        <x:v>n.a.</x:v>
      </x:c>
      <x:c r="O43" s="70" t="str">
        <x:v>Voir le registre Manquants pour les systèmes associés. Fiche de conception non testée en jeu.</x:v>
      </x:c>
      <x:c r="P43" s="77" t="str"/>
    </x:row>
    <x:row r="44" ht="49.5" customHeight="1">
      <x:c r="A44" s="71" t="str">
        <x:v>BOS-38</x:v>
      </x:c>
      <x:c r="B44" s="71" t="str">
        <x:v>Narek, gardien rival du site de captivité</x:v>
      </x:c>
      <x:c r="C44" s="71" t="str">
        <x:v>Commandant tactique de scénario</x:v>
      </x:c>
      <x:c r="D44" s="71" t="str">
        <x:v>Nouvelle proposition ; aucune implémentation revendiquée</x:v>
      </x:c>
      <x:c r="E44" s="71" t="str">
        <x:v>proposition_narek_preserve</x:v>
      </x:c>
      <x:c r="F44" s="71" t="str">
        <x:v>Yautja et groupe de ravisseurs originaux dans une variante inspirée de The Last Hunt ; ce n’est pas le Super Predator du comic.</x:v>
      </x:c>
      <x:c r="G44" s="71" t="str">
        <x:v>Conserver le contrôle des accès et tenter un déplacement de captifs avant l’arrivée du secours.</x:v>
      </x:c>
      <x:c r="H44" s="71" t="str">
        <x:v>Verrouiller une seule ligne accessible, affecter une escorte disponible et se retirer vers C ; aucune stase ni pouvoir non documenté utilisé par défaut.</x:v>
      </x:c>
      <x:c r="I44" s="71" t="str">
        <x:v>Capturer le relais, neutraliser les gardes du trajet ou obtenir le retrait du gardien ; rendre possible une victoire sans extermination.</x:v>
      </x:c>
      <x:c r="J44" s="71" t="str">
        <x:v>Sa capture suspend les nouveaux transferts mais ne libère pas à distance tous les captifs ; les issues doivent encore être ouvertes et protégées.</x:v>
      </x:c>
      <x:c r="K44" s="71" t="str">
        <x:v>Un Narek dans le GRP-36 actif de C, inclus dans les quatre ; état persistant jusqu’à l’extraction.</x:v>
      </x:c>
      <x:c r="L44" s="71" t="str">
        <x:v>Rôle et dispositions originaux ; aucune fusion avec Mr. Black ni avec une caste Super Predator universelle.</x:v>
      </x:c>
      <x:c r="M44" s="71" t="str">
        <x:v>P2</x:v>
      </x:c>
      <x:c r="N44" s="75" t="str">
        <x:v>n.a.</x:v>
      </x:c>
      <x:c r="O44" s="71" t="str">
        <x:v>Voir le registre Manquants pour les systèmes associés. Fiche de conception non testée en jeu.</x:v>
      </x:c>
      <x:c r="P44" s="76" t="str"/>
    </x:row>
    <x:row r="45" ht="117" customHeight="1">
      <x:c r="A45" s="70" t="str">
        <x:v>BOS-39</x:v>
      </x:c>
      <x:c r="B45" s="70" t="str">
        <x:v>Reine de la ruche des failles de LV-742</x:v>
      </x:c>
      <x:c r="C45" s="70" t="str">
        <x:v>Boss stratégique reproducteur</x:v>
      </x:c>
      <x:c r="D45" s="70" t="str">
        <x:v>Nouvelle reine anonyme de scénario ; pas un personnage officiel nommé ni un boss déjà implémenté pour LV-742</x:v>
      </x:c>
      <x:c r="E45" s="70" t="str">
        <x:v>proposition_queen_lv742_extinction</x:v>
      </x:c>
      <x:c r="F45"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G45" s="70" t="str">
        <x:v>Maintenir la menace du centre reproducteur et les itinéraires d’attaque encore ouverts ; détourner les forces du joueur pendant l’activité des trois autres fronts.</x:v>
      </x:c>
      <x:c r="H45" s="70" t="str">
        <x:v>Défendre sa chambre, changer d’accès sans traverser les parois et appeler seulement une garde déjà allouée. Ponte et maturation suivent un stock réservé et des délais ; capacités détaillées validées sur le profil Extinction avant reprise fidèle.</x:v>
      </x:c>
      <x:c r="I45" s="70" t="str">
        <x:v>Fermer deux conduits de renfort, couper l’accès aux hôtes et ouvrir une voie latérale ; protéger les alliés qui maintiennent l’accès pendant l’assaut.</x:v>
      </x:c>
      <x:c r="J45" s="70" t="str">
        <x:v>Fin des nouveaux départs biologiques liés à la reine après prise en compte des unités déjà en transit. Les adultes engagés poursuivent leurs tâches ou se regroupent. Un éventuel remplacement reproducteur est désactivé pour cette opération et annoncé comme règle de scénario.</x:v>
      </x:c>
      <x:c r="K45" s="70" t="str">
        <x:v>Une seule reine BOS-39 dans l’instance C-QUEEN de GRP-59, initialement distante sur C ; elle remplace un Praetorian et conserve un identifiant unique.</x:v>
      </x:c>
      <x:c r="L45" s="70" t="str">
        <x:v>Reine du roster Extinction ; nom de ruche et rencontre originaux. Aucun vol, pouvoir de glace, téléportation ou absorption d’énergie ajouté sans source. Une reine par opération est une limite de conception, pas une règle universelle du vivant.
Profils du catalogue : XEN-007 — Reine Xénomorphe
X-S01 — Aliens versus Predator: Extinction — manuel officiel PS2
https://gamingalexandria.com/ps2/Aliens%20Versus%20Predator%20Extinction/Aliens%20Versus%20Predator%20Extinction%20-%20Manual.pdf</x:v>
      </x:c>
      <x:c r="M45" s="70" t="str">
        <x:v>P1</x:v>
      </x:c>
      <x:c r="N45" s="74" t="str">
        <x:v>n.a.</x:v>
      </x:c>
      <x:c r="O45" s="70" t="str">
        <x:v>Voir le registre Manquants pour les systèmes associés. Fiche de conception non testée en jeu.</x:v>
      </x:c>
      <x:c r="P45" s="77" t="str"/>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conditionalFormatting sqref="M32:M37">
    <x:cfRule type="cellIs" dxfId="34" priority="4" operator="equal">
      <x:formula>"P0"</x:formula>
    </x:cfRule>
    <x:cfRule type="cellIs" dxfId="35" priority="5" operator="equal">
      <x:formula>"P1"</x:formula>
    </x:cfRule>
    <x:cfRule type="cellIs" dxfId="36" priority="6" operator="equal">
      <x:formula>"P2"</x:formula>
    </x:cfRule>
  </x:conditionalFormatting>
  <x:conditionalFormatting sqref="M38:M45">
    <x:cfRule type="cellIs" dxfId="46" priority="7" operator="equal">
      <x:formula>"P0"</x:formula>
    </x:cfRule>
    <x:cfRule type="cellIs" dxfId="47" priority="8" operator="equal">
      <x:formula>"P1"</x:formula>
    </x:cfRule>
    <x:cfRule type="cellIs" dxfId="48" priority="9" operator="equal">
      <x:formula>"P2"</x:formula>
    </x:cfRule>
  </x:conditionalFormatting>
  <x:dataValidations count="3">
    <x:dataValidation type="list" sqref="M7:M31">
      <x:formula1>"P0,P1,P2,P3"</x:formula1>
    </x:dataValidation>
    <x:dataValidation type="list" sqref="M32:M37">
      <x:formula1>"P0,P1,P2,P3"</x:formula1>
    </x:dataValidation>
    <x:dataValidation type="list" sqref="M38:M45">
      <x:formula1>"P0,P1,P2,P3"</x:formula1>
    </x:dataValidation>
  </x:dataValidations>
  <x:pageMargins left="0.7" right="0.7" top="0.75" bottom="0.75" header="0.3" footer="0.3"/>
  <x:tableParts count="1">
    <x:tablePart xmlns:r="http://schemas.openxmlformats.org/officeDocument/2006/relationships" r:id="R93bc5417b7b94cb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4d2e3299580e44a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9b84e92280094a1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12b84ced8d3f484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1a6d102ce706498d"/>
  </x:tableParts>
</x:worksheet>
</file>

<file path=xl/worksheets/sheet13.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27" hidden="0" customWidth="1"/>
    <x:col min="4" max="4" width="53" hidden="0" customWidth="1"/>
    <x:col min="5" max="5" width="51" hidden="0" customWidth="1"/>
    <x:col min="6" max="6" width="52" hidden="0" customWidth="1"/>
    <x:col min="7" max="7" width="55" hidden="0" customWidth="1"/>
    <x:col min="8" max="8" width="60" hidden="0" customWidth="1"/>
    <x:col min="9" max="9" width="60" hidden="0" customWidth="1"/>
    <x:col min="10" max="10" width="67" hidden="0" customWidth="1"/>
    <x:col min="11" max="11" width="67" hidden="0" customWidth="1"/>
    <x:col min="12" max="12" width="87" hidden="0" customWidth="1"/>
    <x:col min="13" max="13" width="87" hidden="0" customWidth="1"/>
    <x:col min="14" max="14" width="90" hidden="0" customWidth="1"/>
    <x:col min="15" max="15" width="76" hidden="0" customWidth="1"/>
    <x:col min="16" max="16" width="76" hidden="0" customWidth="1"/>
    <x:col min="17" max="17" width="64" hidden="0" customWidth="1"/>
    <x:col min="18" max="18" width="65" hidden="0" customWidth="1"/>
    <x:col min="19" max="19" width="90" hidden="0" customWidth="1"/>
    <x:col min="20" max="20" width="84" hidden="0" customWidth="1"/>
    <x:col min="21" max="21" width="10" hidden="0" customWidth="1"/>
    <x:col min="22" max="22" width="93" hidden="0" customWidth="1"/>
  </x:cols>
  <x:sheetData>
    <x:row r="1" ht="12" customHeight="1">
      <x:c r="A1" s="48"/>
      <x:c r="B1" s="48"/>
      <x:c r="C1" s="48"/>
      <x:c r="D1" s="48"/>
      <x:c r="E1" s="48"/>
      <x:c r="F1" s="48"/>
      <x:c r="G1" s="48"/>
      <x:c r="H1" s="48"/>
      <x:c r="I1" s="48"/>
      <x:c r="J1" s="48"/>
      <x:c r="K1" s="48"/>
      <x:c r="L1" s="48"/>
      <x:c r="M1" s="48"/>
      <x:c r="N1" s="48"/>
      <x:c r="O1" s="48"/>
      <x:c r="P1" s="48"/>
      <x:c r="Q1" s="48"/>
      <x:c r="R1" s="48"/>
      <x:c r="S1" s="48"/>
      <x:c r="T1" s="48"/>
      <x:c r="U1" s="48"/>
      <x:c r="V1" s="48"/>
    </x:row>
    <x:row r="2" ht="29" customHeight="1">
      <x:c r="A2" s="49" t="str">
        <x:v>Guerres de clans et batailles contre les humains</x:v>
      </x:c>
      <x:c r="B2" s="48"/>
      <x:c r="C2" s="48"/>
      <x:c r="D2" s="48"/>
      <x:c r="E2" s="48"/>
      <x:c r="F2" s="48"/>
      <x:c r="G2" s="48"/>
      <x:c r="H2" s="48"/>
      <x:c r="I2" s="48"/>
      <x:c r="J2" s="48"/>
      <x:c r="K2" s="48"/>
      <x:c r="L2" s="48"/>
      <x:c r="M2" s="48"/>
      <x:c r="N2" s="48"/>
      <x:c r="O2" s="48"/>
      <x:c r="P2" s="48"/>
      <x:c r="Q2" s="48"/>
      <x:c r="R2" s="48"/>
      <x:c r="S2" s="48"/>
      <x:c r="T2" s="48"/>
      <x:c r="U2" s="48"/>
      <x:c r="V2" s="48"/>
    </x:row>
    <x:row r="3" ht="8" customHeight="1">
      <x:c r="A3" s="50"/>
      <x:c r="B3" s="50"/>
      <x:c r="C3" s="50"/>
      <x:c r="D3" s="50"/>
      <x:c r="E3" s="50"/>
      <x:c r="F3" s="50"/>
      <x:c r="G3" s="50"/>
      <x:c r="H3" s="50"/>
      <x:c r="I3" s="50"/>
      <x:c r="J3" s="50"/>
      <x:c r="K3" s="50"/>
      <x:c r="L3" s="50"/>
      <x:c r="M3" s="50"/>
      <x:c r="N3" s="50"/>
      <x:c r="O3" s="50"/>
      <x:c r="P3" s="50"/>
      <x:c r="Q3" s="50"/>
      <x:c r="R3" s="50"/>
      <x:c r="S3" s="50"/>
      <x:c r="T3" s="50"/>
      <x:c r="U3" s="50"/>
      <x:c r="V3" s="50"/>
    </x:row>
    <x:row r="4">
      <x:c r="A4" s="51" t="str">
        <x:v>Scénarios de conception reliés aux cartes, fronts, effectifs et groupes. Le budget est partagé entre les fronts, jamais multiplié par leur nombre.</x:v>
      </x:c>
      <x:c r="B4" s="48"/>
      <x:c r="C4" s="48"/>
      <x:c r="D4" s="48"/>
      <x:c r="E4" s="48"/>
      <x:c r="F4" s="48"/>
      <x:c r="G4" s="48"/>
      <x:c r="H4" s="48"/>
      <x:c r="I4" s="48"/>
      <x:c r="J4" s="48"/>
      <x:c r="K4" s="48"/>
      <x:c r="L4" s="48"/>
      <x:c r="M4" s="48"/>
      <x:c r="N4" s="48"/>
      <x:c r="O4" s="48"/>
      <x:c r="P4" s="48"/>
      <x:c r="Q4" s="48"/>
      <x:c r="R4" s="48"/>
      <x:c r="S4" s="48"/>
      <x:c r="T4" s="48"/>
      <x:c r="U4" s="48"/>
      <x:c r="V4" s="48"/>
    </x:row>
    <x:row r="5">
      <x:c r="A5" s="7" t="str">
        <x:v>27 lignes</x:v>
      </x:c>
      <x:c r="B5" s="48"/>
      <x:c r="C5" s="48"/>
      <x:c r="D5" s="48"/>
      <x:c r="E5" s="48"/>
      <x:c r="F5" s="48"/>
      <x:c r="G5" s="48"/>
      <x:c r="H5" s="48"/>
      <x:c r="I5" s="48"/>
      <x:c r="J5" s="48"/>
      <x:c r="K5" s="48"/>
      <x:c r="L5" s="48"/>
      <x:c r="M5" s="48"/>
      <x:c r="N5" s="48"/>
      <x:c r="O5" s="48"/>
      <x:c r="P5" s="48"/>
      <x:c r="Q5" s="48"/>
      <x:c r="R5" s="48"/>
      <x:c r="S5" s="48"/>
      <x:c r="T5" s="48"/>
      <x:c r="U5" s="48"/>
      <x:c r="V5" s="48"/>
    </x:row>
    <x:row r="6" ht="36" customHeight="1">
      <x:c r="A6" s="61" t="str">
        <x:v>ID</x:v>
      </x:c>
      <x:c r="B6" s="62" t="str">
        <x:v>Affrontement</x:v>
      </x:c>
      <x:c r="C6" s="62" t="str">
        <x:v>Type de guerre</x:v>
      </x:c>
      <x:c r="D6" s="62" t="str">
        <x:v>Carte et lieu</x:v>
      </x:c>
      <x:c r="E6" s="62" t="str">
        <x:v>Fronts associés</x:v>
      </x:c>
      <x:c r="F6" s="62" t="str">
        <x:v>Gabarit d’effectifs</x:v>
      </x:c>
      <x:c r="G6" s="62" t="str">
        <x:v>Camp du joueur</x:v>
      </x:c>
      <x:c r="H6" s="62" t="str">
        <x:v>Camp adverse</x:v>
      </x:c>
      <x:c r="I6" s="62" t="str">
        <x:v>Tiers / civils</x:v>
      </x:c>
      <x:c r="J6" s="62" t="str">
        <x:v>Groupes alliés</x:v>
      </x:c>
      <x:c r="K6" s="62" t="str">
        <x:v>Groupes adverses</x:v>
      </x:c>
      <x:c r="L6" s="62" t="str">
        <x:v>Implantation initiale</x:v>
      </x:c>
      <x:c r="M6" s="62" t="str">
        <x:v>Réserves et renforts</x:v>
      </x:c>
      <x:c r="N6" s="62" t="str">
        <x:v>Objectifs</x:v>
      </x:c>
      <x:c r="O6" s="62" t="str">
        <x:v>Victoire</x:v>
      </x:c>
      <x:c r="P6" s="62" t="str">
        <x:v>Défaite</x:v>
      </x:c>
      <x:c r="Q6" s="62" t="str">
        <x:v>Commandement</x:v>
      </x:c>
      <x:c r="R6" s="62" t="str">
        <x:v>Boss et chefs</x:v>
      </x:c>
      <x:c r="S6" s="62" t="str">
        <x:v>Conséquences entre fronts</x:v>
      </x:c>
      <x:c r="T6" s="62" t="str">
        <x:v>Continuité / fiction</x:v>
      </x:c>
      <x:c r="U6" s="62" t="str">
        <x:v>Priorité</x:v>
      </x:c>
      <x:c r="V6" s="63" t="str">
        <x:v>Critères de validation</x:v>
      </x:c>
    </x:row>
    <x:row r="7" ht="171" customHeight="1">
      <x:c r="A7" s="40" t="str">
        <x:v>AFF-01</x:v>
      </x:c>
      <x:c r="B7" s="40" t="str">
        <x:v>Le registre des routes saisies</x:v>
      </x:c>
      <x:c r="C7" s="40" t="str">
        <x:v>Raid et capture</x:v>
      </x:c>
      <x:c r="D7" s="40" t="str">
        <x:v>LD-14 — Anneau des Trois Docks — raid de clan</x:v>
      </x:c>
      <x:c r="E7" s="40" t="str">
        <x:v>FR-14 — Raid des archives retenues</x:v>
      </x:c>
      <x:c r="F7" s="40" t="str">
        <x:v>EFF-09 — Clans rivaux — escarmouche de chasseurs</x:v>
      </x:c>
      <x:c r="G7" s="40" t="str">
        <x:v>Clan des Cendres Veilleuses — création originale</x:v>
      </x:c>
      <x:c r="H7" s="40" t="str">
        <x:v>Clan des Lames de Basalte — création originale</x:v>
      </x:c>
      <x:c r="I7" s="40" t="str">
        <x:v>Aucun combattant tiers ; les équipements et modules de fret sont des objectifs, pas des unités ajoutées au budget.</x:v>
      </x:c>
      <x:c r="J7" s="4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7"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7" s="40" t="str">
        <x:v>Actifs : A = E [1 × GRP-34 + 1 × GRP-33], A [1 × GRP-31] ; B = E [1 × GRP-36], A [1 × GRP-34] ; C = E [1 × GRP-32], A [aucune escouade]. Distants : A = E [2 × GRP-33], A [aucune escouade] ; B = E [3 × GRP-31], A [1 × GRP-31] ; C = E [3 × GRP-35], A [1 × GRP-35].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7" s="40" t="str">
        <x:v>L’alerte du relais autorise au maximum une escouade de réserve à la fois par quai intact. Couper le relais suspend les nouveaux départs mais pas les patrouilles déjà sorties. Aucun contingent ne se renouvelle après épuisement ; l’extraction interrompt les demandes restantes. Les plafonds actifs et distants du budget restent contraignants : si aucun emplacement n’est disponible, le renfort attend à sa source. Chaque transfert conserve l’agent et consomme la réserve une seule fois.</x:v>
      </x:c>
      <x:c r="N7" s="40" t="str">
        <x:v>A : ouvrir le dépôt et emporter le registre intact. B : capturer le relais ou retarder son alerte. C : préserver au moins un départ relié au dépôt. Bonus : capturer Kher ou récupérer les horaires du convoi.</x:v>
      </x:c>
      <x:c r="O7" s="40" t="str">
        <x:v>Registre sécurisé et joueur revenu par une voie ouverte avec un détachement capable d’assurer le départ. Une majorité des rivaux peut rester en vie.</x:v>
      </x:c>
      <x:c r="P7" s="40" t="str">
        <x:v>Registre détruit ou emporté hors carte par les rivaux ; joueur neutralisé sans secours ; toutes les sorties devenues durablement inaccessibles après une possibilité de contre-action annoncée.</x:v>
      </x:c>
      <x:c r="Q7" s="40" t="str">
        <x:v>Kher occupe la place de chef dans le GRP-36 ennemi du front B ; il n’est pas une cinquième unité.</x:v>
      </x:c>
      <x:c r="R7" s="40" t="str">
        <x:v>BOS-26 — Kher, pisteur des Lames de Basalte</x:v>
      </x:c>
      <x:c r="S7" s="40" t="str">
        <x:v>B détermine le rythme des renforts, C le lieu du départ. Des gardes peuvent choisir de sauver les archives plutôt que poursuivre le joueur. Renseignements emportés ou perdus modifient l’information disponible pour AFF-03.</x:v>
      </x:c>
      <x:c r="T7" s="40" t="str">
        <x:v>Scénario original de conflit entre deux clans Yautja inventés ; aucune guerre, coutume, hiérarchie ou règle de duel n’est présentée comme canonique ou universelle. Mission indépendante par défaut ; en campagne, conserver l’état de Kher et du registre.</x:v>
      </x:c>
      <x:c r="U7" s="40" t="str">
        <x:v>P1</x:v>
      </x:c>
      <x:c r="V7" s="40" t="str">
        <x:v>Journal de simulation réconcilié avec EFF-09 sur trois fronts ; aucune apparition sans quai accessible. Une réussite est possible sans éliminer tous les rivaux. L’éloignement de B fait progresser son alerte ; capturer Kher conserve son état après extraction.</x:v>
      </x:c>
    </x:row>
    <x:row r="8" ht="171" customHeight="1">
      <x:c r="A8" s="41" t="str">
        <x:v>AFF-02</x:v>
      </x:c>
      <x:c r="B8" s="41" t="str">
        <x:v>La Citadelle tient ses départs</x:v>
      </x:c>
      <x:c r="C8" s="41" t="str">
        <x:v>Siège et défense mobile</x:v>
      </x:c>
      <x:c r="D8" s="41" t="str">
        <x:v>LD-12 — Citadelle attaquée / monde du clan</x:v>
      </x:c>
      <x:c r="E8" s="41" t="str">
        <x:v>FR-15 — Défense des Quatre Accès</x:v>
      </x:c>
      <x:c r="F8" s="41" t="str">
        <x:v>EFF-10 — Clans rivaux — siège exceptionnel</x:v>
      </x:c>
      <x:c r="G8" s="41" t="str">
        <x:v>Clan des Cendres Veilleuses — création originale</x:v>
      </x:c>
      <x:c r="H8" s="41" t="str">
        <x:v>Clan des Lames de Basalte — création originale</x:v>
      </x:c>
      <x:c r="I8" s="41" t="str">
        <x:v>Équipages et habitants éventuels constituent un lot non combattant distinct, à plafonner ; ils ne comptent ni dans les soldats ni dans les KOs. Aucune faction combattante tierce.</x:v>
      </x:c>
      <x:c r="J8" s="4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8"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8" s="41" t="str">
        <x:v>Actifs : A = E [2 × GRP-32], A [2 × GRP-33] ; B = E [2 × GRP-34], A [1 × GRP-34] ; C = E [2 × GRP-35], A [1 × GRP-35] ; D = E [1 × GRP-36 + 1 × GRP-33], A [aucune escouade]. Distants : A = E [4 × GRP-33], A [2 × GRP-33] ; B = E [4 × GRP-32], A [2 × GRP-34] ; C = E [4 × GRP-31], A [2 × GRP-35] ; D = E [4 × GRP-35], A [2 × GRP-31]. Réserve non déployée : Réserve = E [4 × GRP-32 + 4 × GRP-34], A [2 × GRP-33 + 2 × GRP-35]. Chaque escouade = 4 PNJ ; commandants compris. Joueur séparé. Une unité qui change de niveau de simulation garde son ID, ses PV et son objectif. E/A désignent les camps de départ ; une trêve change les relations, sans créer ni dupliquer les agents.</x:v>
      </x:c>
      <x:c r="M8" s="41" t="str">
        <x:v>Les deux camps prélèvent leurs renforts sur leur réserve du scénario. Départs seulement par le port ou les routes de fret contrôlées. Maximum deux escouades en transit par camp ; perte de route détourne ou bloque le prochain départ. Les unités de réparation ne créent aucun combattant. Les plafonds actifs et distants du budget restent contraignants : si aucun emplacement n’est disponible, le renfort attend à sa source. Chaque transfert conserve l’agent et consomme la réserve une seule fois.</x:v>
      </x:c>
      <x:c r="N8" s="41" t="str">
        <x:v>A : tenir la brèche assez longtemps pour organiser la défense. B : maintenir ou évacuer les moyens de réparation. C : préserver une sortie pour archives et survivants. D : couper l’approvisionnement de Raan ou obtenir son ordre d’arrêt.</x:v>
      </x:c>
      <x:c r="O8" s="41" t="str">
        <x:v>Archives et contingent allié sortis par une voie viable, ou assaut effectivement stoppé et port sécurisé. Perdre un rempart ne force pas la défaite si le repli annoncé reste possible.</x:v>
      </x:c>
      <x:c r="P8" s="41" t="str">
        <x:v>Archives perdues et aucune évacuation encore possible ; joueur neutralisé sans secours ; contingent d’évacuation incapable de rejoindre un point de départ malgré les contre-actions prévues.</x:v>
      </x:c>
      <x:c r="Q8" s="41" t="str">
        <x:v>Raan remplace le commandant d’un GRP-36 du front D. Les chefs de poste alliés appartiennent aux GRP-33 déjà comptés.</x:v>
      </x:c>
      <x:c r="R8" s="41" t="str">
        <x:v>BOS-27 — Raan, commandante du siège</x:v>
      </x:c>
      <x:c r="S8" s="41" t="str">
        <x:v>La brèche consomme les défenseurs disponibles, la forge conditionne les réparations et le port matérialise le retrait. Une victoire sur Raan ordonne un regroupement ; les unités isolées quittent réellement leurs fronts après réception.</x:v>
      </x:c>
      <x:c r="T8" s="41" t="str">
        <x:v>Scénario original de conflit entre deux clans Yautja inventés ; aucune guerre, coutume, hiérarchie ou règle de duel n’est présentée comme canonique ou universelle. Réutilise LD-12 avec quatre axes ; toute architecture ou vie de clan supplémentaire reste une création de cette citadelle.</x:v>
      </x:c>
      <x:c r="U8" s="41" t="str">
        <x:v>P2</x:v>
      </x:c>
      <x:c r="V8" s="41" t="str">
        <x:v>Quatre fronts avancent pendant une visite au port. EFF-10 est respecté en combat et en renfort. Au moins deux fins distinctes sont jouables : défense conservée et évacuation réussie. Aucun civil, pilote ou commandant n’est compté deux fois.</x:v>
      </x:c>
    </x:row>
    <x:row r="9" ht="144" customHeight="1">
      <x:c r="A9" s="40" t="str">
        <x:v>AFF-03</x:v>
      </x:c>
      <x:c r="B9" s="40" t="str">
        <x:v>Couper la route du Convoi gris</x:v>
      </x:c>
      <x:c r="C9" s="40" t="str">
        <x:v>Poursuite et interception</x:v>
      </x:c>
      <x:c r="D9" s="40" t="str">
        <x:v>LD-15 — Ravines du Convoi gris — poursuite et interception</x:v>
      </x:c>
      <x:c r="E9" s="40" t="str">
        <x:v>FR-16 — Interception du Convoi gris</x:v>
      </x:c>
      <x:c r="F9" s="40" t="str">
        <x:v>EFF-09 — Clans rivaux — escarmouche de chasseurs</x:v>
      </x:c>
      <x:c r="G9" s="40" t="str">
        <x:v>Clan des Cendres Veilleuses — création originale</x:v>
      </x:c>
      <x:c r="H9" s="40" t="str">
        <x:v>Clan des Lames de Basalte — création originale</x:v>
      </x:c>
      <x:c r="I9" s="40" t="str">
        <x:v>Aucun combattant tiers ; deux modules de fret originaux, sans soldats générés à leur ouverture. Les conducteurs sont inclus dans GRP-35.</x:v>
      </x:c>
      <x:c r="J9" s="40" t="str">
        <x:v>GRP-31 — Éclaireurs de relief (Yautja — modèle de détachement ; allégeance fixée par chaque opération)
GRP-32 — Intercepteurs de passage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9"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9" s="40" t="str">
        <x:v>Actifs : A = E [2 × GRP-35], A [aucune escouade] ; B = E [1 × GRP-36], A [1 × GRP-32] ; C = E [1 × GRP-33], A [1 × GRP-31]. Distants : A = E [3 × GRP-35], A [1 × GRP-31] ; B = E [2 × GRP-32], A [aucune escouade] ; C = E [3 × GRP-31], A [1 × GRP-35]. Réserve non déployée : Réserve = E [2 × GRP-33 + 2 × GRP-32], A [1 × GRP-34]. Chaque escouade = 4 PNJ ; commandants compris. Joueur séparé. Une unité qui change de niveau de simulation garde son ID, ses PV et son objectif. E/A désignent les camps de départ ; une trêve change les relations, sans créer ni dupliquer les agents.</x:v>
      </x:c>
      <x:c r="M9" s="40" t="str">
        <x:v>Les gardes se déplacent entre branches avec leurs identifiants persistants. Réserve déclenchée seulement après un signal envoyé depuis un passage accessible ; une escouade par événement d’alerte confirmé. Prendre un passage peut empêcher un départ, sans supprimer l’escorte déjà sur la route. Les plafonds actifs et distants du budget restent contraignants : si aucun emplacement n’est disponible, le renfort attend à sa source. Chaque transfert conserve l’agent et consomme la réserve une seule fois.</x:v>
      </x:c>
      <x:c r="N9" s="40" t="str">
        <x:v>A : immobiliser au moins un module et préserver son contenu. B : contrôler un passage d’interception. C : sécuriser la reprise du fret et la route du retour. Bonus : récupérer les deux modules sans détruire leur propulsion.</x:v>
      </x:c>
      <x:c r="O9" s="40" t="str">
        <x:v>Un module au minimum transféré à une escorte alliée existante puis ramené au terminus sûr. La capture de Kher est facultative.</x:v>
      </x:c>
      <x:c r="P9" s="40" t="str">
        <x:v>Les deux modules quittent la zone ou sont détruits ; aucune escorte survivante ne peut reprendre le fret et aucun secours n’est disponible ; joueur neutralisé sans secours.</x:v>
      </x:c>
      <x:c r="Q9" s="40" t="str">
        <x:v>Kher tient le GRP-36 du front B seulement s’il est libre dans une campagne liée. Sinon le même emplacement reçoit un chef anonyme sans recréer le personnage ni augmenter le quota.</x:v>
      </x:c>
      <x:c r="R9" s="40" t="str">
        <x:v>BOS-26 — Kher, pisteur des Lames de Basalte</x:v>
      </x:c>
      <x:c r="S9" s="40" t="str">
        <x:v>A avance même quand le joueur saisit B ; un module immobilisé immobilise une partie de son escorte. C décide si le fret récupéré peut sortir. Les pertes d’une interception restent présentes lors du passage au segment suivant.</x:v>
      </x:c>
      <x:c r="T9" s="40" t="str">
        <x:v>Scénario original de conflit entre deux clans Yautja inventés ; aucune guerre, coutume, hiérarchie ou règle de duel n’est présentée comme canonique ou universelle. Les modules et itinéraires sont inventés. Si AFF-01 précède cette mission, réutiliser ses renseignements et l’état de Kher ; les opérations peuvent aussi être jouées séparément.</x:v>
      </x:c>
      <x:c r="U9" s="40" t="str">
        <x:v>P1</x:v>
      </x:c>
      <x:c r="V9" s="40" t="str">
        <x:v>Une interception est réalisable avec le chasseur lent et sans téléportation. Chaque pilote appartient au contingent. Récupérer un module puis perdre l’autre produit un résultat partiel cohérent. Aucun passage de secteur ne réinitialise le convoi ou son escorte.</x:v>
      </x:c>
    </x:row>
    <x:row r="10" ht="144" customHeight="1">
      <x:c r="A10" s="41" t="str">
        <x:v>AFF-04</x:v>
      </x:c>
      <x:c r="B10" s="41" t="str">
        <x:v>L’incident des Deux Balises</x:v>
      </x:c>
      <x:c r="C10" s="41" t="str">
        <x:v>Frontière, identification et désescalade</x:v>
      </x:c>
      <x:c r="D10" s="41" t="str">
        <x:v>LD-16 — Col des Deux Balises — crise de frontière</x:v>
      </x:c>
      <x:c r="E10" s="41" t="str">
        <x:v>FR-17 — Frontière des Deux Balises</x:v>
      </x:c>
      <x:c r="F10" s="41" t="str">
        <x:v>EFF-09 — Clans rivaux — escarmouche de chasseurs</x:v>
      </x:c>
      <x:c r="G10" s="41" t="str">
        <x:v>Clan des Cendres Veilleuses — création originale</x:v>
      </x:c>
      <x:c r="H10" s="41" t="str">
        <x:v>Clan des Lames de Basalte — création originale</x:v>
      </x:c>
      <x:c r="I10" s="41" t="str">
        <x:v>Aucun combattant tiers. Un objet de preuve et des bornes de passage remplacent une faction cachée ; l’opération n’attribue pas l’incident à un peuple réel.</x:v>
      </x:c>
      <x:c r="J10" s="41"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K10"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0" s="41" t="str">
        <x:v>Actifs : A = E [1 × GRP-33], A [1 × GRP-31] ; B = E [2 × GRP-31], A [aucune escouade] ; C = E [1 × GRP-36], A [1 × GRP-33]. Distants : A = E [4 × GRP-32], A [1 × GRP-33] ; B = E [2 × GRP-35], A [1 × GRP-31] ; C = E [2 × GRP-33], A [aucune escouade]. Réserve non déployée : Réserve = E [2 × GRP-31 + 2 × GRP-32], A [1 × GRP-35]. Chaque escouade = 4 PNJ ; commandants compris. Joueur séparé. Une unité qui change de niveau de simulation garde son ID, ses PV et son objectif. E/A désignent les camps de départ ; une trêve change les relations, sans créer ni dupliquer les agents.</x:v>
      </x:c>
      <x:c r="M10" s="41" t="str">
        <x:v>Une montée de tension déclenche une demande vers la réserve existante. L’ordre de retrait annule les départs non effectués ; les unités en route rejoignent un point de rassemblement. Aucun renfort apparaît directement au contact pour punir une décision. Les plafonds actifs et distants du budget restent contraignants : si aucun emplacement n’est disponible, le renfort attend à sa source. Chaque transfert conserve l’agent et consomme la réserve une seule fois.</x:v>
      </x:c>
      <x:c r="N10" s="41" t="str">
        <x:v>A : identifier la patrouille qui franchit la limite et préserver un passage. B : récupérer le relevé d’incident puis accompagner ou bloquer le ravitaillement. C : transmettre l’identification et une consigne de retrait ou de passage.</x:v>
      </x:c>
      <x:c r="O10" s="41" t="str">
        <x:v>Deux passages sécurisés et relais opérationnel, avec accord local exécuté ou repli ordonné des deux contingents. Résolution sans décès possible ; aucun duel ni boss imposé.</x:v>
      </x:c>
      <x:c r="P10" s="41" t="str">
        <x:v>Escalade incontrôlée qui coupe les trois routes après signaux d’avertissement ; preuve indispensable détruite avant transmission et retrait devenu impossible ; joueur neutralisé sans secours.</x:v>
      </x:c>
      <x:c r="Q10" s="41" t="str">
        <x:v>Chefs de poste ordinaires inclus dans GRP-33 et GRP-36 ; aucun individu de boss ajouté.</x:v>
      </x:c>
      <x:c r="R10" s="41" t="str">
        <x:v>Aucun boss imposé</x:v>
      </x:c>
      <x:c r="S10" s="41" t="str">
        <x:v>Un tir sur A accroît la vigilance de B ; une preuve transmise via C peut réduire cette tension. Les patrouilles ignorées continuent leur mouvement, puis peuvent se retirer plutôt que combattre jusqu’au dernier.</x:v>
      </x:c>
      <x:c r="T10" s="41" t="str">
        <x:v>Scénario original de conflit entre deux clans Yautja inventés ; aucune guerre, coutume, hiérarchie ou règle de duel n’est présentée comme canonique ou universelle. Les droits de passage, règles de tension et solutions négociées sont propres à ce conflit fictif, sans prétention sur une loi Yautja générale.</x:v>
      </x:c>
      <x:c r="U10" s="41" t="str">
        <x:v>P2</x:v>
      </x:c>
      <x:c r="V10" s="41" t="str">
        <x:v>La même composition permet une résolution négociée et une résolution armée. Chaque changement de relation apparaît dans un journal visible. Les tirs, le relevé et le relais expliquent la tension ; aucun changement d’hostilité aléatoire.</x:v>
      </x:c>
    </x:row>
    <x:row r="11" ht="144" customHeight="1">
      <x:c r="A11" s="40" t="str">
        <x:v>AFF-05</x:v>
      </x:c>
      <x:c r="B11" s="40" t="str">
        <x:v>Un accord pendant que les fronts reculent</x:v>
      </x:c>
      <x:c r="C11" s="40" t="str">
        <x:v>Duel négocié et cessation des combats</x:v>
      </x:c>
      <x:c r="D11" s="40" t="str">
        <x:v>LD-17 — Plateau des Arches silencieuses — accord sous tension</x:v>
      </x:c>
      <x:c r="E11" s="40" t="str">
        <x:v>FR-18 — Accord sous les Arches silencieuses</x:v>
      </x:c>
      <x:c r="F11" s="40" t="str">
        <x:v>EFF-09 — Clans rivaux — escarmouche de chasseurs</x:v>
      </x:c>
      <x:c r="G11" s="40" t="str">
        <x:v>Clan des Cendres Veilleuses — création originale</x:v>
      </x:c>
      <x:c r="H11" s="40" t="str">
        <x:v>Clan des Lames de Basalte — création originale</x:v>
      </x:c>
      <x:c r="I11" s="40" t="str">
        <x:v>Aucun combattant tiers. Témoins et gardes appartiennent aux escouades déjà comptées ; leur état de trêve ne crée pas une population neutre supplémentaire.</x:v>
      </x:c>
      <x:c r="J11" s="40"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K11"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1" s="40" t="str">
        <x:v>Actifs : A = E [1 × GRP-36], A [1 × GRP-36] ; B = E [1 × GRP-35], A [1 × GRP-35] ; C = E [2 × GRP-32], A [aucune escouade]. Distants : A = E [2 × GRP-33], A [aucune escouade] ; B = E [3 × GRP-35], A [1 × GRP-33] ; C = E [3 × GRP-31], A [1 × GRP-31].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11" s="40" t="str">
        <x:v>Pendant le duel accepté, aucune réserve ne rejoint A. Sur B et C, une arrivée doit être autorisée par une menace confirmée et prélevée dans la réserve. Un accord annule les départs ; les groupes déjà engagés se retirent après réception et validation de leur chemin. Les plafonds actifs et distants du budget restent contraignants : si aucun emplacement n’est disponible, le renfort attend à sa source. Chaque transfert conserve l’agent et consomme la réserve une seule fois.</x:v>
      </x:c>
      <x:c r="N11" s="40" t="str">
        <x:v>A : obtenir un arrêt accepté par Sel, par désarmement, concession ou issue convenue du duel. B : retirer fret et blessés sans abandonner la sortie. C : livrer l’ordre de cessation aux gardes contestataires et vérifier sa réception.</x:v>
      </x:c>
      <x:c r="O11" s="40" t="str">
        <x:v>Accord ou repli accepté, retrait réalisé sur B et ordre exécuté sur C. Le joueur n’a pas besoin de tuer Sel ; sa mort ne remplace pas la transmission des ordres.</x:v>
      </x:c>
      <x:c r="P11" s="40" t="str">
        <x:v>Sorties coupées après rupture annoncée de l’accord et aucun repli possible ; attaque contre la délégation qui rend le retrait impossible ; joueur neutralisé sans secours. Refuser le duel avant son début n’est pas automatiquement un échec.</x:v>
      </x:c>
      <x:c r="Q11" s="40" t="str">
        <x:v>Sel remplace la cheffe du GRP-36 adverse sur A. Le GRP-36 allié comprend la liaison de la délégation et ses trois gardes ; le joueur reste hors de ces quatre PNJ.</x:v>
      </x:c>
      <x:c r="R11" s="40" t="str">
        <x:v>BOS-28 — Sel, porte-parole armée du clan rival</x:v>
      </x:c>
      <x:c r="S11" s="40" t="str">
        <x:v>Le duel fait évoluer la volonté d’accord ; B et C continuent d’avancer. Quitter A pour sauver le relais coûte une concession annoncée. La défaite d’un champion ne supprime pas les gardes, et une unité qui n’a pas reçu l’ordre peut encore intercepter le convoi.</x:v>
      </x:c>
      <x:c r="T11" s="40" t="str">
        <x:v>Scénario original de conflit entre deux clans Yautja inventés ; aucune guerre, coutume, hiérarchie ou règle de duel n’est présentée comme canonique ou universelle. Les conditions du duel sont proposées, acceptées ou refusées à l’écran pour cette opération uniquement. Le statut de Sel et les survivants sont persistants.</x:v>
      </x:c>
      <x:c r="U11" s="40" t="str">
        <x:v>P2</x:v>
      </x:c>
      <x:c r="V11" s="40" t="str">
        <x:v>Un enregistrement montre A, B et C évoluer pendant le duel. Une victoire seule sur Sel ne ferme pas la mission avant retrait et réception des ordres. Refus du duel, accord sans mort et rupture suivie d’un repli possèdent des sorties cohérentes.</x:v>
      </x:c>
    </x:row>
    <x:row r="12" ht="117" customHeight="1">
      <x:c r="A12" s="41" t="str">
        <x:v>AFF-06</x:v>
      </x:c>
      <x:c r="B12" s="41" t="str">
        <x:v>Reprendre le matériel capturé au port</x:v>
      </x:c>
      <x:c r="C12" s="41" t="str">
        <x:v>Yautja contre force humaine de capture — mission originale contemporaine</x:v>
      </x:c>
      <x:c r="D12" s="41" t="str">
        <x:v>LD-18 — Port de récupération — entrepôts, quais et zone de capture</x:v>
      </x:c>
      <x:c r="E12" s="41" t="str">
        <x:v>FR-19 — Port de récupération : reprendre le matériel du clan</x:v>
      </x:c>
      <x:c r="F12" s="41" t="str">
        <x:v>EFF-11 — Humains contemporains — capture et poursuite</x:v>
      </x:c>
      <x:c r="G12" s="41" t="str">
        <x:v>Un chasseur du clan et un contingent limité de 8 alliés PNJ ; personnages et guerre originaux</x:v>
      </x:c>
      <x:c r="H12" s="41" t="str">
        <x:v>Force humaine contemporaine mandatée pour saisir le matériel extraterrestre ; identité originale et objectifs de capture explicités</x:v>
      </x:c>
      <x:c r="I12" s="41" t="str">
        <x:v>16 travailleurs portuaires neutres (2 GRP-28 au format 8), hors effectifs combattants ; 2 véhicules de transfert comme matériel, équipages militaires déjà inclus ; aucun synthétique</x:v>
      </x:c>
      <x:c r="J12" s="41" t="str">
        <x:v>GRP-12 — Éclaireurs (Yautja alliés)
GRP-13 — Soutien plasma (Yautja alliés)</x:v>
      </x:c>
      <x:c r="K12" s="41" t="str">
        <x:v>GRP-37 — Équipe de capture et de couverture (Humains — force de capture contemporaine originale)
GRP-42 — Poste de commandement protégé (Humains — cellule de commandement d’opération)</x:v>
      </x:c>
      <x:c r="L12" s="41"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C, et son chef est le boss, sans unité supplémentaire. Alliés Yautja PNJ : 4 actifs sur A (1 GRP-13), 4 distants (B2/C2, 2 GRP-12 au format 2), 0 en réserve ; total 8. Joueur : 1, distinct des 8 PNJ. Non-combattants : 16 travailleurs ; véhicules : 2, sans ajout automatique de personnel.</x:v>
      </x:c>
      <x:c r="M12" s="41" t="str">
        <x:v>8 groupes GRP-37 de 8 constituent les 64 humains de réserve ; chacun n’entre qu’une fois par la route du dépôt ou le quai d’accostage. Couper les deux accès bloque la réserve encore non déployée. Les 128 distants sont déjà engagés et ne sont jamais recréés comme renforts.</x:v>
      </x:c>
      <x:c r="N12" s="41" t="str">
        <x:v>Récupérer l’équipement identifié du clan, empêcher son départ, maintenir un quai de sortie ; la prise du poste de capture est une option tactique</x:v>
      </x:c>
      <x:c r="O12" s="41" t="str">
        <x:v>L’objet validé est à bord de l’extraction et le joueur quitte le site par une voie accessible ; pertes et matériels laissés sur place consignés</x:v>
      </x:c>
      <x:c r="P12" s="41" t="str">
        <x:v>Joueur définitivement hors combat selon règle de mission, matériel évacué au-delà du théâtre, ou toutes les voies de sortie perdues sans solution annoncée de remplacement</x:v>
      </x:c>
      <x:c r="Q12" s="41" t="str">
        <x:v>BOS-29 commande depuis la cellule GRP-42 du front C ; l’opérateur du convoi poursuit son dernier ordre si la radio tombe</x:v>
      </x:c>
      <x:c r="R12" s="41" t="str">
        <x:v>BOS-29 — Commandant de la force de capture</x:v>
      </x:c>
      <x:c r="S12" s="41" t="str">
        <x:v>B ignoré permet la localisation des alliés ; C ignoré déplace le chargement et peut fermer le quai ; A prolongé consomme temps et ressources de l’extraction</x:v>
      </x:c>
      <x:c r="T12" s="41" t="str">
        <x:v>Fiction originale. Inspiration générale de chasse et de capture humaine ; ni déroulé canonique de film, ni effectif militaire officiel. Armes, dates et groupes contemporains séparés de l’univers colonial futur.</x:v>
      </x:c>
      <x:c r="U12" s="41" t="str">
        <x:v>P1</x:v>
      </x:c>
      <x:c r="V12" s="41" t="str">
        <x:v>Trois fronts évoluent hors caméra ; bilan 256 humains combattants / 8 alliés PNJ / 1 joueur exact ; 16 travailleurs séparés ; chef non compté deux fois ; capture du boss seule ne donne pas la victoire.</x:v>
      </x:c>
    </x:row>
    <x:row r="13" ht="117" customHeight="1">
      <x:c r="A13" s="40" t="str">
        <x:v>AFF-07</x:v>
      </x:c>
      <x:c r="B13" s="40" t="str">
        <x:v>Interrompre la livraison industrielle</x:v>
      </x:c>
      <x:c r="C13" s="40" t="str">
        <x:v>Yautja contre mercenaires de sécurité — mission originale contemporaine</x:v>
      </x:c>
      <x:c r="D13" s="40" t="str">
        <x:v>LD-19 — Bassin industriel sous contrat — usine, voies ferrées et dépôts</x:v>
      </x:c>
      <x:c r="E13" s="40" t="str">
        <x:v>FR-20 — Bassin industriel : interrompre la livraison d’un trophée technologique</x:v>
      </x:c>
      <x:c r="F13" s="40" t="str">
        <x:v>EFF-11 — Humains contemporains — capture et poursuite</x:v>
      </x:c>
      <x:c r="G13" s="40" t="str">
        <x:v>Un chasseur original et 8 alliés Yautja PNJ chargés de reprendre une technologie du clan</x:v>
      </x:c>
      <x:c r="H13" s="40" t="str">
        <x:v>Mercenaires et sécurité armée d’une entreprise fictive ; aucun nom de société canonique ni matériel USCM importé</x:v>
      </x:c>
      <x:c r="I13" s="40" t="str">
        <x:v>24 ouvriers neutres (3 GRP-28 au format 8), hors combat ; 1 convoi et 2 postes de surveillance automatisés comptés en matériel, opérateurs humains déjà inclus ; aucun synthétique</x:v>
      </x:c>
      <x:c r="J13" s="40" t="str">
        <x:v>GRP-12 — Éclaireurs (Yautja alliés)
GRP-13 — Soutien plasma (Yautja alliés)</x:v>
      </x:c>
      <x:c r="K13" s="40" t="str">
        <x:v>GRP-38 — Détachement de protection du convoi (Humains — mercenaires de sécurité industrielle)
GRP-42 — Poste de commandement protégé (Humains — cellule de commandement d’opération)</x:v>
      </x:c>
      <x:c r="L13" s="40"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A, et son chef est le boss, sans unité supplémentaire. Alliés Yautja PNJ : 4 actifs sur A (1 GRP-13), 4 distants (B2/C2, 2 GRP-12 au format 2), 0 en réserve ; total 8. Joueur : 1, distinct des 8 PNJ. Non-combattants : 24 ouvriers ; matériel : 1 convoi et 2 postes de surveillance, sans soldats ajoutés.</x:v>
      </x:c>
      <x:c r="M13" s="40" t="str">
        <x:v>Les 64 réservistes sont 8 GRP-38 de 8 au dépôt extérieur. Départ conditionné à un ordre transmis et à une route ouverte ; un convoi bloqué conserve ses occupants dans son registre au lieu de les cloner à pied.</x:v>
      </x:c>
      <x:c r="N13" s="40" t="str">
        <x:v>Atteindre le chargement, contrôler son transfert et ouvrir une issue ; choisir en briefing récupération ou neutralisation du matériel pour rendre la condition finale non ambiguë</x:v>
      </x:c>
      <x:c r="O13" s="40" t="str">
        <x:v>Objectif de matériel choisi accompli et extraction réussie avant sa sortie définitive ; l’usine conserve état des portails, convoi et alimentation</x:v>
      </x:c>
      <x:c r="P13" s="40" t="str">
        <x:v>Matériel livré hors du théâtre avant intervention, joueur définitivement vaincu, ou sortie perdue après l’avertissement prévu par la mission</x:v>
      </x:c>
      <x:c r="Q13" s="40" t="str">
        <x:v>BOS-30, incarnation contemporaine propre à ce site, occupe l’un des 8 postes GRP-42 sur A</x:v>
      </x:c>
      <x:c r="R13" s="40" t="str">
        <x:v>BOS-30 — Responsable tactique de sécurité</x:v>
      </x:c>
      <x:c r="S13" s="40" t="str">
        <x:v>La livraison progresse sur B ; le poste C réaffecte ses gardes si A tombe ; couper l’énergie ouvre certains accès mais en ferme d’autres selon leurs mécanismes documentés</x:v>
      </x:c>
      <x:c r="T13" s="40" t="str">
        <x:v>Entreprise, conflit et chef originaux. Technologie humaine contemporaine, équipement Yautja choisi pour les chasseurs originaux. Aucun catalogue de figurines n’est présenté comme preuve du plan ou de l’effectif.</x:v>
      </x:c>
      <x:c r="U13" s="40" t="str">
        <x:v>P1</x:v>
      </x:c>
      <x:c r="V13" s="40" t="str">
        <x:v>Trois fronts et convoi fonctionnent hors caméra ; 256/8/1 respectés ; les 24 ouvriers ne deviennent pas cibles par faction de voisinage ; objectif matériel et extraction restent requis après neutralisation du responsable.</x:v>
      </x:c>
    </x:row>
    <x:row r="14" ht="117" customHeight="1">
      <x:c r="A14" s="41" t="str">
        <x:v>AFF-08</x:v>
      </x:c>
      <x:c r="B14" s="41" t="str">
        <x:v>Reprendre une installation de la colonie</x:v>
      </x:c>
      <x:c r="C14" s="41" t="str">
        <x:v>Yautja contre force coloniale militaire — bataille originale future</x:v>
      </x:c>
      <x:c r="D14" s="41" t="str">
        <x:v>LD-11 — Colonie / processeur atmosphérique</x:v>
      </x:c>
      <x:c r="E14" s="41" t="str">
        <x:v>FR-21 — Colonie en conflit : reprendre une installation occupée</x:v>
      </x:c>
      <x:c r="F14" s="41" t="str">
        <x:v>EFF-12 — Humains du futur — opération militaire</x:v>
      </x:c>
      <x:c r="G14" s="41" t="str">
        <x:v>Un chasseur du clan avec 32 alliés Yautja PNJ répartis entre attaque, soutien et réserve ; guerre originale explicitée</x:v>
      </x:c>
      <x:c r="H14" s="41" t="str">
        <x:v>Force humaine coloniale hostile à ce clan dans le mandat de l’opération ; unités originales, sans faire de tous les Marines des ennemis permanents</x:v>
      </x:c>
      <x:c r="I14" s="41" t="str">
        <x:v>32 colons non combattants (4 GRP-28 au format 8), hors bilan militaire ; 2 transports blindés et 2 sentinelles comme matériel, équipages déjà dans les 768 humains ; aucun synthétique combattant ni ruche active par défaut</x:v>
      </x:c>
      <x:c r="J14" s="41" t="str">
        <x:v>GRP-11 — Détachement d’assaut (Yautja alliés)
GRP-13 — Soutien plasma (Yautja alliés)</x:v>
      </x:c>
      <x:c r="K14" s="41" t="str">
        <x:v>GRP-39 — Section de contre-assaut à la colonie (Humains — force coloniale militaire hostile)
GRP-42 — Poste de commandement protégé (Humains — cellule de commandement d’opération)</x:v>
      </x:c>
      <x:c r="L14"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Non-combattants : 32 colons. Matériel : 2 transports blindés et 2 sentinelles ; occupants comptés dans les groupes militaires existants.</x:v>
      </x:c>
      <x:c r="M14" s="41" t="str">
        <x:v>Réserve humaine de 256 = 32 GRP-39 de 8, répartis en quatre lots logistiques de 64 non déployés. Les accès caserne, piste et routes déterminent les arrivées. Les 8 alliés de réserve rejoignent par une insertion du clan accessible. Réaffecter les 384 distants ne crée aucun soldat.</x:v>
      </x:c>
      <x:c r="N14" s="41" t="str">
        <x:v>Réduire coordination et ravitaillement adverses, reprendre l’objectif du clan dans les ateliers, protéger la liaison puis l’extraction ; la colonie LD-11 est réutilisée avec ses spawns de ruche désactivés pour ce preset</x:v>
      </x:c>
      <x:c r="O14" s="41" t="str">
        <x:v>Objectif récupéré, joueur extrait et au moins une route de sortie sécurisée au moment du départ ; résultat des autres fronts et bilan colonial persistants</x:v>
      </x:c>
      <x:c r="P14" s="41" t="str">
        <x:v>Perte définitive du joueur, transfert irréversible de l’objectif hors du théâtre ou fermeture annoncée de toutes les possibilités d’extraction</x:v>
      </x:c>
      <x:c r="Q14" s="41" t="str">
        <x:v>BOS-31, officier original de cette expédition, inclus dans le GRP-42 du front A ; les chefs de section restent autonomes après perte de radio</x:v>
      </x:c>
      <x:c r="R14" s="41" t="str">
        <x:v>BOS-31 — Commandant expéditionnaire de la force humaine</x:v>
      </x:c>
      <x:c r="S14" s="41" t="str">
        <x:v>B préservé fournit les appuis du contre-assaut ; C perdu coupe la liaison de transport ; D perdu oblige à une extraction secondaire préparée ou à une défaite explicitement annoncée</x:v>
      </x:c>
      <x:c r="T14" s="41" t="str">
        <x:v>Campagne originale future inspirée du périmètre colonial Alien/AVP. LD-11 n’est pas présentée comme le plan exact de LV-426. Aucun roster nommé du film, aucune hostilité universelle et aucune caste biologique injectée par défaut.</x:v>
      </x:c>
      <x:c r="U14" s="41" t="str">
        <x:v>P1</x:v>
      </x:c>
      <x:c r="V14" s="41" t="str">
        <x:v>Quatre fronts indépendants ; bilan humain 768 et allié 32, joueur séparé ; 32 colons et matériel hors quota de soldats ; désactivation réelle des sources xénomorphes du preset ; pas victoire automatique à la mort du commandant.</x:v>
      </x:c>
    </x:row>
    <x:row r="15" ht="130.5" customHeight="1">
      <x:c r="A15" s="40" t="str">
        <x:v>AFF-09</x:v>
      </x:c>
      <x:c r="B15" s="40" t="str">
        <x:v>Libérer la navette du chantier orbital</x:v>
      </x:c>
      <x:c r="C15" s="40" t="str">
        <x:v>Yautja contre sûreté humaine orbitale — opération originale future</x:v>
      </x:c>
      <x:c r="D15" s="40" t="str">
        <x:v>LD-20 — Chantier orbital — anneau de service, modules et quais d’embarquement</x:v>
      </x:c>
      <x:c r="E15" s="40" t="str">
        <x:v>FR-22 — Chantier orbital : libérer la navette saisie</x:v>
      </x:c>
      <x:c r="F15" s="40" t="str">
        <x:v>EFF-12 — Humains du futur — opération militaire</x:v>
      </x:c>
      <x:c r="G15" s="40" t="str">
        <x:v>Un chasseur original et 32 alliés Yautja PNJ affectés aux modules, au quai et à la réserve</x:v>
      </x:c>
      <x:c r="H15" s="40" t="str">
        <x:v>Sûreté humaine d’un chantier spatial fictif chargée de confisquer la navette ; équipement futur par profil explicitement défini</x:v>
      </x:c>
      <x:c r="I15" s="40" t="str">
        <x:v>16 techniciens humains neutres (2 GRP-28 de 8) et 4 synthétiques de maintenance neutres (1 GRP-26 de 4), tous hors effectifs combattants. Navettes et défenses fixes comptées en matériel ; aucun APC dans les coursives.</x:v>
      </x:c>
      <x:c r="J15" s="40" t="str">
        <x:v>GRP-11 — Détachement d’assaut (Yautja alliés)
GRP-13 — Soutien plasma (Yautja alliés)</x:v>
      </x:c>
      <x:c r="K15" s="40" t="str">
        <x:v>GRP-40 — Équipe de défense des compartiments (Humains — sûreté orbitale originale)
GRP-42 — Poste de commandement protégé (Humains — cellule de commandement d’opération)</x:v>
      </x:c>
      <x:c r="L15" s="40"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Hors combat : 16 techniciens humains et 4 synthétiques de maintenance distincts. Matériel : navette du clan et 2 points de défense fixes, sans personnels supplémentaires.</x:v>
      </x:c>
      <x:c r="M15" s="40" t="str">
        <x:v>256 réservistes humains = 32 GRP-40 de 8 dans des navettes non encore amarrées ou casernements non ouverts. Le contrôle d’amarrage et les sas déterminent l’entrée ; compartiment isolé bloque le passage. Les synthétiques neutres ne sont jamais convertis silencieusement en renforts ennemis.</x:v>
      </x:c>
      <x:c r="N15" s="40" t="str">
        <x:v>Libérer les verrous d’amarrage, reprendre données ou matériel du clan, désactiver l’interception et maintenir le quai pendant la préparation du départ</x:v>
      </x:c>
      <x:c r="O15" s="40" t="str">
        <x:v>La navette part réellement avec les éléments requis et le joueur ; décompression, sas, modules isolés et survivants restent enregistrés au débriefing</x:v>
      </x:c>
      <x:c r="P15" s="40" t="str">
        <x:v>Joueur définitivement vaincu, navette détruite ou saisie hors du théâtre, ou perte de tous les accès au départ après avertissement et absence de secours déclaré</x:v>
      </x:c>
      <x:c r="Q15" s="40" t="str">
        <x:v>BOS-30, incarnation orbitale distincte du responsable contemporain d’AFF-07, inclus dans les 8 membres GRP-42 du front A</x:v>
      </x:c>
      <x:c r="R15" s="40" t="str">
        <x:v>BOS-30 — Responsable tactique de sécurité</x:v>
      </x:c>
      <x:c r="S15" s="40" t="str">
        <x:v>B détermine énergie et interception ; C perdu prive du retour court ; D peut être repris par une équipe débarquée pendant que le joueur contrôle A. La neutralisation du chef ne ventile pas automatiquement tous les compartiments.</x:v>
      </x:c>
      <x:c r="T15" s="40" t="str">
        <x:v>Station, société, commandant et conflit originaux du futur. La carte n’est ni Renaissance ni Nostromo ; pas d’Offspring, Rogue ou xénomorphes par défaut. La présence de synthétiques suit un protocole de maintenance séparé.</x:v>
      </x:c>
      <x:c r="U15" s="40" t="str">
        <x:v>P1</x:v>
      </x:c>
      <x:c r="V15" s="40" t="str">
        <x:v>Quatre fronts progressent indépendamment ; 768 humains combattants / 32 alliés / 1 joueur conservés ; 16 techniciens et 4 synthétiques hors quotas ; aucun renfort ne franchit un sas fermé sans chemin ; le départ requiert des conditions spatiales réelles.</x:v>
      </x:c>
    </x:row>
    <x:row r="16" ht="130.5" customHeight="1">
      <x:c r="A16" s="41" t="str">
        <x:v>AFF-10</x:v>
      </x:c>
      <x:c r="B16" s="41" t="str">
        <x:v>Extraire le captif de la cité-port</x:v>
      </x:c>
      <x:c r="C16" s="41" t="str">
        <x:v>Yautja contre cordon humain — bataille originale future avec évacuation civile</x:v>
      </x:c>
      <x:c r="D16" s="41" t="str">
        <x:v>LD-21 — Cité-port en évacuation — quartiers, centre médical et terminal</x:v>
      </x:c>
      <x:c r="E16" s="41" t="str">
        <x:v>FR-23 — Cité-port : extraire un captif sans perdre la sortie</x:v>
      </x:c>
      <x:c r="F16" s="41" t="str">
        <x:v>EFF-12 — Humains du futur — opération militaire</x:v>
      </x:c>
      <x:c r="G16" s="41" t="str">
        <x:v>Un chasseur et 32 alliés Yautja PNJ ; un captif Yautja non combattant constitue l’objectif et reste dans un registre distinct</x:v>
      </x:c>
      <x:c r="H16" s="41" t="str">
        <x:v>Force militaire coloniale originale dont le mandat explicite est confinement et interception ; ses unités sont distinctes des civils et secours</x:v>
      </x:c>
      <x:c r="I16" s="41" t="str">
        <x:v>40 civils et soignants non combattants (5 GRP-28 de 8), 1 captif Yautja non combattant, 2 véhicules d’évacuation civils et 2 transports militaires comme matériel ; équipages militaires déjà dans les 768, chauffeurs civils dans les 40</x:v>
      </x:c>
      <x:c r="J16" s="41" t="str">
        <x:v>GRP-11 — Détachement d’assaut (Yautja alliés)
GRP-13 — Soutien plasma (Yautja alliés)</x:v>
      </x:c>
      <x:c r="K16" s="41" t="str">
        <x:v>GRP-41 — Section de barrage et d’interception (Humains — cordon militaire de cité coloniale)
GRP-42 — Poste de commandement protégé (Humains — cellule de commandement d’opération)</x:v>
      </x:c>
      <x:c r="L16"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B ; son chef est le boss déjà compté. Alliés Yautja PNJ : 12 actifs (A8 en GRP-11 au format 8, B4 en GRP-13), 12 distants (C8 en GRP-11, D4 en GRP-13), 8 en réserve (1 GRP-11) ; total 32. Joueur : 1, distinct des 32 PNJ. Hors combat : 40 civils/soignants et 1 captif Yautja ; le captif ne s’ajoute pas aux 32 combattants après libération. Matériel : 4 véhicules, occupants déjà rattachés à leur registre.</x:v>
      </x:c>
      <x:c r="M16" s="41" t="str">
        <x:v>256 réservistes humains = 32 GRP-41 de 8, fournis par les dépôts et la route militaire périphérique. Couper un axe retarde ou détourne ses groupes sans les effacer. Les 8 alliés de réserve arrivent par une voie du clan déclarée. Le captif libéré reste escorté et non combattant pendant cette opération.</x:v>
      </x:c>
      <x:c r="N16" s="41" t="str">
        <x:v>Atteindre et libérer le captif, empêcher son transfert hors du théâtre, ouvrir une route jusqu’au terminal et maintenir un passage utilisable durant l’extraction</x:v>
      </x:c>
      <x:c r="O16" s="41" t="str">
        <x:v>Captif et joueur extraits ; issue du cordon et bilan de l’évacuation consignés séparément. Les pertes civiles affectent le débriefing selon règles du scénario et n’alimentent jamais le compteur de victoires militaires.</x:v>
      </x:c>
      <x:c r="P16" s="41" t="str">
        <x:v>Captif mort ou transféré irréversiblement, joueur définitivement vaincu, ou toutes les voies d’extraction définitivement coupées après avertissement</x:v>
      </x:c>
      <x:c r="Q16" s="41" t="str">
        <x:v>BOS-31, officier original de cette cité distinct de celui d’AFF-08, inclus dans GRP-42 sur B ; les chefs de barrage continuent leurs consignes locales</x:v>
      </x:c>
      <x:c r="R16" s="41" t="str">
        <x:v>BOS-31 — Commandant expéditionnaire de la force humaine</x:v>
      </x:c>
      <x:c r="S16" s="41" t="str">
        <x:v>A ignoré permet le transfert du captif ; B maintenu augmente la coordination d’interception ; C perdu éloigne le terminal ; D ignoré congestionne la sortie et modifie réellement les déplacements des civils</x:v>
      </x:c>
      <x:c r="T16" s="41" t="str">
        <x:v>Ville, captif, officiers et conflit originaux dans un futur colonial. Aucun peuple ni groupe civil n’est ennemi par défaut ; coopération éventuelle avec les secours découle d’un événement explicite, sans alliance universelle humain/Yautja.</x:v>
      </x:c>
      <x:c r="U16" s="41" t="str">
        <x:v>P2</x:v>
      </x:c>
      <x:c r="V16" s="41" t="str">
        <x:v>Quatre fronts hors caméra, 768 ennemis et 32 alliés combattants préservés, 1 joueur distinct ; 40 civils et 1 captif suivis hors quotas ; véhicules/passagers sans double comptage ; libération du captif et mort du commandant ne déclenchent pas une victoire prématurée.</x:v>
      </x:c>
    </x:row>
    <x:row r="17" ht="198" customHeight="1">
      <x:c r="A17" s="40" t="str">
        <x:v>AFF-11</x:v>
      </x:c>
      <x:c r="B17" s="40" t="str">
        <x:v>Convergence sur la colonie</x:v>
      </x:c>
      <x:c r="C17" s="40" t="str">
        <x:v>Trois camps : clan du joueur, clan rival, force humaine</x:v>
      </x:c>
      <x:c r="D17" s="40" t="str">
        <x:v>LD-11 — Colonie / processeur atmosphérique</x:v>
      </x:c>
      <x:c r="E17" s="40" t="str">
        <x:v>FR-24 — Convergence sur une colonie : deux adversaires indépendants</x:v>
      </x:c>
      <x:c r="F17" s="40" t="str">
        <x:v>EFF-13 — Plusieurs camps — rivalité Yautja et force humaine</x:v>
      </x:c>
      <x:c r="G17" s="40" t="str">
        <x:v>Détachement du clan du joueur, 32 alliés PNJ alloués et un joueur</x:v>
      </x:c>
      <x:c r="H17" s="40" t="str">
        <x:v>Clan rival original : 48 combattants. Force coloniale humaine du futur : 336 combattants. Ces camps poursuivent des objectifs distincts et peuvent s’affronter entre eux.</x:v>
      </x:c>
      <x:c r="I17" s="40" t="str">
        <x:v>24 civils en trois groupes de huit, dont huit au plus actifs. Ils ne combattent pas et ne consomment aucune réserve militaire. Les véhicules et consoles sont suivis comme matériel.</x:v>
      </x:c>
      <x:c r="J17" s="40" t="str">
        <x:v>GRP-13 — Soutien plasma (Yautja alliés)
GRP-31 — Éclaireurs de relief (Yautja — modèle de détachement ; allégeance fixée par chaque opération)
GRP-35 — Escorte de fret et de retrait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x:v>
      </x:c>
      <x:c r="K17" s="40" t="str">
        <x:v>GRP-36 — Détachement de commandement (Yautja — modèle de détachement ; allégeance fixée par chaque opération)
GRP-42 — Poste de commandement protégé (Humains — cellule de commandement d’opération)
GRP-39 — Section de contre-assaut à la colonie (Humains — force coloniale militaire hostile)
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L17" s="40" t="str">
        <x:v>Actifs : A [rivaux 4, humains 16, alliés 4] ; B [rivaux 8, humains 32, alliés 4] ; C [rivaux 4, humains 24, alliés 0] ; D [rivaux 0, humains 8, alliés 4]. Distants : A [rivaux 0, humains 40, alliés 0] ; B [rivaux 0, humains 40, alliés 4] ; C [rivaux 8, humains 48, alliés 4] ; D [rivaux 8, humains 48, alliés 4]. Réserve : Réserve [rivaux 16, humains 80, alliés 8]. Groupes Yautja de 4 et humains de 8 ; le commandant remplace un membre. Un joueur est ajouté séparément. Les forces gardent leurs identifiants lors des changements de détail de simulation ou de relation.</x:v>
      </x:c>
      <x:c r="M17" s="40" t="str">
        <x:v>Chaque camp possède un registre distinct. Les renforts humains arrivent par le poste logistique tant que radio et route existent. Les rivaux n’entrent que par leur zone d’insertion. Un cessez-le-feu modifie la relation d’unités existantes ; aucune nouvelle unité ni conversion automatique de la réserve adverse en alliés.</x:v>
      </x:c>
      <x:c r="N17" s="40" t="str">
        <x:v>A :quai et sortie. B :transfert de l’équipement. C :radio des renforts humains. D :corridor civil. Le choix d’un objectif doit produire un résultat observable sur au moins un autre front.</x:v>
      </x:c>
      <x:c r="O17" s="40" t="str">
        <x:v>Récupérer l’équipement et extraire le joueur par une voie tenue. Avec 12 à 23 civils évacués sur 24, obtenir une victoire partielle ; avec les 24, obtenir le meilleur bilan. Conserver les survivants et pertes des trois camps.</x:v>
      </x:c>
      <x:c r="P17" s="40" t="str">
        <x:v>Équipement emporté hors du théâtre, aucune voie de départ récupérable ou mort définitive du joueur selon les règles du mode. Si moins de 12 civils peuvent être évacués, le joueur peut encore organiser un repli, classé non victorieux avec échec de l’objectif de secours.</x:v>
      </x:c>
      <x:c r="Q17" s="40" t="str">
        <x:v>Kher (BOS-26) remplace le chef du GRP-36 rival du front A. Un officier humain original de profil BOS-31 remplace le chef du GRP-42 du même front. Ils appartiennent à deux camps indépendants.</x:v>
      </x:c>
      <x:c r="R17" s="40" t="str">
        <x:v>BOS-26 — Kher, pisteur des Lames de Basalte
BOS-31 — Commandant expéditionnaire de la force humaine</x:v>
      </x:c>
      <x:c r="S17" s="40" t="str">
        <x:v>Neutraliser la radio réduit les réaffectations humaines, pas la population déjà déployée. Capturer le chef rival peut permettre une neutralité locale. Les réserves sont finies et le boss final dépend du camp qui tient le quai.</x:v>
      </x:c>
      <x:c r="T17" s="40" t="str">
        <x:v>Mission de guerre originale du futur sur la carte de colonie proposée. Noms de clans et chaîne d’événements inventés pour le projet. Aucun effectif de film ni plan de LV-426 certifié.</x:v>
      </x:c>
      <x:c r="U17" s="40" t="str">
        <x:v>P1</x:v>
      </x:c>
      <x:c r="V17" s="40" t="str">
        <x:v>Pendant dix minutes avec le joueur sur A, observer un affrontement autonome B/C, une extraction civile et une consommation de réserve. Vérifier 48 rivaux +336 humains +32 alliés sans duplication, puis un changement de relation sans gain de population.</x:v>
      </x:c>
    </x:row>
    <x:row r="18" ht="198" customHeight="1">
      <x:c r="A18" s="41" t="str">
        <x:v>AFF-12</x:v>
      </x:c>
      <x:c r="B18" s="41" t="str">
        <x:v>Citadelle sous double pression</x:v>
      </x:c>
      <x:c r="C18" s="41" t="str">
        <x:v>Défense du clan contre deux camps aux objectifs différents</x:v>
      </x:c>
      <x:c r="D18" s="41" t="str">
        <x:v>LD-12 — Citadelle attaquée / monde du clan</x:v>
      </x:c>
      <x:c r="E18" s="41" t="str">
        <x:v>FR-25 — Citadelle sous double pression : guerre de clans et raid humain</x:v>
      </x:c>
      <x:c r="F18" s="41" t="str">
        <x:v>EFF-13 — Plusieurs camps — rivalité Yautja et force humaine</x:v>
      </x:c>
      <x:c r="G18" s="41" t="str">
        <x:v>Garnison originale du clan du joueur : 32 alliés PNJ alloués et un joueur</x:v>
      </x:c>
      <x:c r="H18" s="41" t="str">
        <x:v>Clan rival original : 96 combattants. Détachement humain du futur : 288 combattants. La rivalité et les objectifs propres empêchent une coopération automatique entre eux.</x:v>
      </x:c>
      <x:c r="I18" s="41" t="str">
        <x:v>Douze membres non combattants du clan dans les ateliers, six actifs au plus. Transport, navettes et défenses fixes sont des dispositifs séparés, équipages inclus dans leur faction combattante.</x:v>
      </x:c>
      <x:c r="J18" s="41" t="str">
        <x:v>GRP-33 — Gardes de position (Yautja — modèle de détachement ; allégeance fixée par chaque opération)
GRP-13 — Soutien plasma (Yautja alliés)
GRP-34 — Équipe de route et de réparation (Yautja — modèle de détachement ; allégeance fixée par chaque opération)
GRP-35 — Escorte de fret et de retrait (Yautja — modèle de détachement ; allégeance fixée par chaque opération)
GRP-31 — Éclaireurs de relief (Yautja — modèle de détachement ; allégeance fixée par chaque opération)</x:v>
      </x:c>
      <x:c r="K18" s="41" t="str">
        <x:v>GRP-41 — Section de barrage et d’interception (Humains — cordon militaire de cité coloniale)
GRP-36 — Détachement de commandement (Yautja — modèle de détachement ; allégeance fixée par chaque opération)
GRP-32 — Intercepteurs de passage (Yautja — modèle de détachement ; allégeance fixée par chaque opération)
GRP-31 — Éclaireurs de relief (Yautja — modèle de détachement ; allégeance fixée par chaque opération)
GRP-42 — Poste de commandement protégé (Humains — cellule de commandement d’opération)
GRP-33 — Gardes de position (Yautja — modèle de détachement ; allégeance fixée par chaque opération)
GRP-35 — Escorte de fret et de retrait (Yautja — modèle de détachement ; allégeance fixée par chaque opération)</x:v>
      </x:c>
      <x:c r="L18" s="41" t="str">
        <x:v>Actifs : A [rivaux 0, humains 32, alliés 4] ; B [rivaux 12, humains 8, alliés 4] ; C [rivaux 8, humains 24, alliés 4] ; D [rivaux 4, humains 8, alliés 0]. Distants : A [rivaux 8, humains 40, alliés 4] ; B [rivaux 16, humains 40, alliés 0] ; C [rivaux 16, humains 32, alliés 4] ; D [rivaux 8, humains 32, alliés 4]. Réserve : Réserve [rivaux 24, humains 72, alliés 8]. Groupes Yautja de 4 et humains de 8 ; le commandant remplace un membre. Un joueur est ajouté séparément. Les forces gardent leurs identifiants lors des changements de détail de simulation ou de relation.</x:v>
      </x:c>
      <x:c r="M18" s="41" t="str">
        <x:v>Le port conditionne l’arrivée de la réserve du clan. Les rivaux utilisent une passe distincte de la route des humains. Une unité embarquée n’existe pas en parallèle au sol. Une trêve éventuelle garde les unités et leur réserve dans leur camp initial, désormais neutre sur le périmètre convenu.</x:v>
      </x:c>
      <x:c r="N18" s="41" t="str">
        <x:v>A :port. B :archives et hauteurs. C :relais de commandement. D :évacuation des ateliers. Les voies civiles et les itinéraires de gros véhicules restent distincts.</x:v>
      </x:c>
      <x:c r="O18" s="41" t="str">
        <x:v>Garder l’abri et une route de sortie, rétablir le relais et empêcher ou annuler les deux prises ennemies. Sauver les douze non-combattants donne le meilleur bilan, sans remplacer les objectifs militaires.</x:v>
      </x:c>
      <x:c r="P18" s="41" t="str">
        <x:v>Capture durable des deux objectifs ennemis avec disparition de toute route de sortie, ou issue de défaite propre au joueur. Une évacuation réussie suivie d’un repli est une issue de campagne spécifique.</x:v>
      </x:c>
      <x:c r="Q18" s="41" t="str">
        <x:v>Raan (BOS-27) remplace le chef du GRP-36 rival du front B. Un officier humain original de profil BOS-31 remplace le chef du GRP-42 du front C. Le commandement de garnison appartient au clan du joueur.</x:v>
      </x:c>
      <x:c r="R18" s="41" t="str">
        <x:v>BOS-27 — Raan, commandante du siège
BOS-31 — Commandant expéditionnaire de la force humaine</x:v>
      </x:c>
      <x:c r="S18" s="41" t="str">
        <x:v>La chute du port retarde des renforts déjà alloués ; la perte des archives ouvre une mission de récupération ; une neutralité locale peut libérer une route, mais ne supprime ni le raid humain ni le front rival restant.</x:v>
      </x:c>
      <x:c r="T18" s="41" t="str">
        <x:v>Citadelle, clans et incursion future originaux. La présence de non-combattants et l’accord de cessez-le-feu sont des règles de ce scénario, sans prétendre définir toutes les sociétés Yautja.</x:v>
      </x:c>
      <x:c r="U18" s="41" t="str">
        <x:v>P2</x:v>
      </x:c>
      <x:c r="V18" s="41" t="str">
        <x:v>Simuler les quatre fronts sans caméra pendant cinq minutes, puis retrouver positions et pertes. Vérifier 96 rivaux +288 humains +32 alliés, routes de renfort finies, non-combattants séparés et effets persistants d’une retraite ou d’un cessez-le-feu.</x:v>
      </x:c>
    </x:row>
    <x:row r="19" ht="103.5" customHeight="1">
      <x:c r="A19" s="70" t="str">
        <x:v>AFF-13</x:v>
      </x:c>
      <x:c r="B19" s="70" t="str">
        <x:v>Sevastopol — ouvrir une issue sans réveiller toute la station</x:v>
      </x:c>
      <x:c r="C19" s="70" t="str">
        <x:v>Y-X avec réseau synthétique tiers</x:v>
      </x:c>
      <x:c r="D19" s="70" t="str">
        <x:v>LD-22 — Sevastopol — réseaux publics et techniques</x:v>
      </x:c>
      <x:c r="E19" s="70" t="str">
        <x:v>FR-26 — Sevastopol — ouvrir une issue sans réveiller toute la station</x:v>
      </x:c>
      <x:c r="F19" s="70" t="str">
        <x:v>EFF-15 — Infiltration de station — menace localisée</x:v>
      </x:c>
      <x:c r="G19" s="70" t="str">
        <x:v>Un joueur Yautja et 4 chasseurs alliés PNJ originaux.</x:v>
      </x:c>
      <x:c r="H19" s="70" t="str">
        <x:v>8 adultes locaux XEN-034 et 32 Working Joes HUM-016 ; les Joes ignorent les Xénomorphes par défaut.</x:v>
      </x:c>
      <x:c r="I19" s="70" t="str">
        <x:v>8 civils,4 actifs au plus ;2 dispositifs de sécurité au plus. Les Joes n’attaquent pas les Xénomorphes par défaut.</x:v>
      </x:c>
      <x:c r="J19" s="70" t="str">
        <x:v>GRP-51 — Binôme de reconnaissance (Clan du joueur — Yautja)</x:v>
      </x:c>
      <x:c r="K19" s="70" t="str">
        <x:v>GRP-43 — Adultes d’infiltration ou de colonie (Xénomorphes — incarnation locale)
GRP-50 — Binôme de maintenance (Working Joes)</x:v>
      </x:c>
      <x:c r="L19" s="70" t="str">
        <x:v>Actifs: A [Xénomorphes 1 (GRP-43), Force humaine 4 (GRP-50), Clan du joueur 2 (GRP-51)]; B [Force humaine 4 (GRP-50)]; C [Xénomorphes 1 (GRP-43), Force humaine 2 (GRP-50)]. Distants: A [Force humaine 4 (GRP-50)]; B [Xénomorphes 2 (GRP-43), Force humaine 6 (GRP-50), Clan du joueur 2 (GRP-51)]; C [Xénomorphes 2 (GRP-43), Force humaine 6 (GRP-50)]. Réserve: Réserve [Xénomorphes 2 (GRP-43), Force humaine 6 (GRP-50)]. Les groupes restent identifiés lors d’un transfert de front ou d’un changement de niveau de simulation.</x:v>
      </x:c>
      <x:c r="M19"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Interdire les armes de Marines aux Joes ; huit adultes au total constituent cette variante originale, sans nombre canonique revendiqué.</x:v>
      </x:c>
      <x:c r="N19" s="70" t="str">
        <x:v>A : Ouvrir le sas de sortie ; B : Isoler les commandes des Working Joes ; C : Conduire les rescapés par le transit</x:v>
      </x:c>
      <x:c r="O19" s="70" t="str">
        <x:v>Extraire le joueur, conserver un sas praticable et évacuer au moins 4 des 8 civils ; huit donnent le meilleur bilan.</x:v>
      </x:c>
      <x:c r="P19" s="70" t="str">
        <x:v>Plus aucune issue récupérable ou perte du joueur ; si moins de 4 civils survivent, repli classé non victorieux.</x:v>
      </x:c>
      <x:c r="Q19" s="70" t="str">
        <x:v>BOS-34 est l’adulte actif du front A, compris dans les8adultes alloués. Aucun chef humain ni neuvième adulte.</x:v>
      </x:c>
      <x:c r="R19" s="70" t="str">
        <x:v>BOS-34 — Adulte traqueur de Sevastopol</x:v>
      </x:c>
      <x:c r="S19" s="70" t="str">
        <x:v>Réseau intact : route de maintenance surveillée. Sas perdu : détour plus long. Survivants bloqués : objectif de secours incomplet.</x:v>
      </x:c>
      <x:c r="T19" s="70" t="str">
        <x:v>Isolation ; intrusion Yautja originale. Profil local XEN-034, HUM-016. Le traqueur BOS-34 remplace l’adulte actif du front A. Plan, nombres et enchaînement de bataille originaux ; source du lieu dans Lieux_medias.</x:v>
      </x:c>
      <x:c r="U19" s="70" t="str">
        <x:v>P1</x:v>
      </x:c>
      <x:c r="V19" s="70" t="str">
        <x:v>Pendant 10 minutes loin d’au moins un objectif, vérifier une décision autonome, une perte ou progression et sa persistance au retour. Contrôler les totaux 40 ennemis / 4 alliés PNJ, trois états exclusifs, chefs inclus et plafonds civils/matériels. </x:v>
      </x:c>
    </x:row>
    <x:row r="20" ht="103.5" customHeight="1">
      <x:c r="A20" s="71" t="str">
        <x:v>AFF-14</x:v>
      </x:c>
      <x:c r="B20" s="71" t="str">
        <x:v>Lethe — briser la pression sur le corridor d’évacuation</x:v>
      </x:c>
      <x:c r="C20" s="71" t="str">
        <x:v>Y-X, humains secourus neutres</x:v>
      </x:c>
      <x:c r="D20" s="71" t="str">
        <x:v>LD-23 — Lethe — colonie, usine et accès de ruche</x:v>
      </x:c>
      <x:c r="E20" s="71" t="str">
        <x:v>FR-27 — Lethe — briser la pression sur le corridor d’évacuation</x:v>
      </x:c>
      <x:c r="F20" s="71" t="str">
        <x:v>EFF-03 — Guerre du clan — bataille standard</x:v>
      </x:c>
      <x:c r="G20" s="71" t="str">
        <x:v>Un joueur Yautja et 48 chasseurs alliés PNJ originaux.</x:v>
      </x:c>
      <x:c r="H20" s="71" t="str">
        <x:v>1000 Xénomorphes du profil du théâtre ; aucun camp humain hostile ajouté.</x:v>
      </x:c>
      <x:c r="I20" s="71" t="str">
        <x:v>24 colons,8 actifs au plus ;2 véhicules de secours matériels, équipages compris dans les civils et jamais comptés comme combattants.</x:v>
      </x:c>
      <x:c r="J20" s="71" t="str">
        <x:v>GRP-51 — Binôme de reconnaissance (Clan du joueur — Yautja)</x:v>
      </x:c>
      <x:c r="K20" s="71" t="str">
        <x:v>GRP-62 — Cellule adulte de ruche (Xénomorphes — Dark Descent)
GRP-45 — Garde d’un passage de ruche (Xénomorphes — Dark Descent)</x:v>
      </x:c>
      <x:c r="L20" s="71" t="str">
        <x:v>Actifs: A [Xénomorphes 48 (GRP-62), Clan du joueur 8 (GRP-51)]; B [Xénomorphes 40 (GRP-62), Clan du joueur 4 (GRP-51)]; C [Xénomorphes 32 (GRP-62), Xénomorphes 8 (GRP-45), Clan du joueur 4 (GRP-51)]. Distants: A [Xénomorphes 192 (GRP-62), Clan du joueur 8 (GRP-51)]; B [Xénomorphes 160 (GRP-62), Clan du joueur 8 (GRP-51)]; C [Xénomorphes 160 (GRP-62), Clan du joueur 8 (GRP-51)]. Réserve: Réserve [Xénomorphes 360 (GRP-62), Clan du joueur 8 (GRP-51)]. Les groupes restent identifiés lors d’un transfert de front ou d’un changement de niveau de simulation.</x:v>
      </x:c>
      <x:c r="M2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Population de guerre originale. Sélectionner GRP-62 et les paramètres Dark Descent ; documenter leurs attaques avant reconstitution.</x:v>
      </x:c>
      <x:c r="N20" s="71" t="str">
        <x:v>A : Maintenir le corridor civil ; B : Couper deux voies de réserve de la ruche ; C : Dégager le passage protégé par le Praetorian</x:v>
      </x:c>
      <x:c r="O20" s="71" t="str">
        <x:v>Fermer les deux voies, ouvrir le passage et extraire 16 des 24 civils ;24 donnent le meilleur bilan.</x:v>
      </x:c>
      <x:c r="P20" s="71" t="str">
        <x:v>Aucune sortie récupérable ou perte du joueur ; moins de 16 rescapés donne un repli non victorieux.</x:v>
      </x:c>
      <x:c r="Q20" s="71" t="str">
        <x:v>Rencontres BOS-32 incluses dans les groupes ; chef humain éventuel remplace un garde.</x:v>
      </x:c>
      <x:c r="R20" s="71" t="str">
        <x:v>BOS-32 — Praetorian du passage de Lethe</x:v>
      </x:c>
      <x:c r="S20" s="71" t="str">
        <x:v>Une voie non coupée augmente la pression via des unités déjà en réserve ; le corridor peut tomber hors caméra, déplaçant l’extraction.</x:v>
      </x:c>
      <x:c r="T20" s="71" t="str">
        <x:v>Dark Descent ; mission Yautja alternative. Adultes locaux GRP-62 / XEN-037 ; aucune règle AVP 2010 n’est transférée. Plan, nombres et enchaînement de bataille originaux ; source du lieu dans Lieux_medias.</x:v>
      </x:c>
      <x:c r="U20" s="71" t="str">
        <x:v>P1</x:v>
      </x:c>
      <x:c r="V20" s="71" t="str">
        <x:v>Pendant 10 minutes loin d’au moins un objectif, vérifier une décision autonome, une perte ou progression et sa persistance au retour. Contrôler les totaux 1000 ennemis / 48 alliés PNJ, trois états exclusifs, chefs inclus et plafonds civils/matériels. </x:v>
      </x:c>
    </x:row>
    <x:row r="21" ht="144" customHeight="1">
      <x:c r="A21" s="70" t="str">
        <x:v>AFF-15</x:v>
      </x:c>
      <x:c r="B21" s="70" t="str">
        <x:v>Freya Prospect — trois armées pour un même complexe</x:v>
      </x:c>
      <x:c r="C21" s="70" t="str">
        <x:v>X-Y-H, trois camps indépendants</x:v>
      </x:c>
      <x:c r="D21" s="70" t="str">
        <x:v>LD-24 — Freya Prospect — complexe, ruines et extraction</x:v>
      </x:c>
      <x:c r="E21" s="70" t="str">
        <x:v>FR-28 — Freya Prospect — trois armées pour un même complexe</x:v>
      </x:c>
      <x:c r="F21" s="70" t="str">
        <x:v>EFF-14 — Trois espèces — guerre régionale à quatre fronts</x:v>
      </x:c>
      <x:c r="G21" s="70" t="str">
        <x:v>Un joueur Yautja et 24 chasseurs alliés PNJ originaux.</x:v>
      </x:c>
      <x:c r="H21" s="70" t="str">
        <x:v>Deux camps indépendants :736 Xénomorphes du profil AVP2010 et 192 gardes humains originaux du complexe. Ces camps peuvent se battre entre eux.</x:v>
      </x:c>
      <x:c r="I21" s="70" t="str">
        <x:v>16 personnels civils,8 actifs au plus ;4 véhicules/tourelles matériels actifs au plus.</x:v>
      </x:c>
      <x:c r="J21" s="70" t="str">
        <x:v>GRP-51 — Binôme de reconnaissance (Clan du joueur — Yautja)</x:v>
      </x:c>
      <x:c r="K21" s="70" t="str">
        <x:v>GRP-54 — Cellule adulte d’assaut (Xénomorphes — profil AVP)
GRP-49 — Garde de site et transfert de données (Sécurité corporatiste originale)</x:v>
      </x:c>
      <x:c r="L21" s="70" t="str">
        <x:v>Actifs: A [Xénomorphes 32 (GRP-54), Force humaine 8 (GRP-49), Clan du joueur 4 (GRP-51)]; B [Xénomorphes 24 (GRP-54), Force humaine 8 (GRP-49), Clan du joueur 4 (GRP-51)]; C [Xénomorphes 24 (GRP-54), Force humaine 8 (GRP-49)]; D [Xénomorphes 16 (GRP-54), Force humaine 8 (GRP-49)]. Distants: A [Xénomorphes 96 (GRP-54), Force humaine 24 (GRP-49)]; B [Xénomorphes 96 (GRP-54), Force humaine 24 (GRP-49)]; C [Xénomorphes 96 (GRP-54), Force humaine 24 (GRP-49), Clan du joueur 4 (GRP-51)]; D [Xénomorphes 96 (GRP-54), Force humaine 24 (GRP-49), Clan du joueur 4 (GRP-51)]. Réserve: Réserves par camp [Xénomorphes 256 (GRP-54), Force humaine 64 (GRP-49), Clan du joueur 8 (GRP-51)]. Les groupes restent identifiés lors d’un transfert de front ou d’un changement de niveau de simulation.</x:v>
      </x:c>
      <x:c r="M2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Deux camps adverses séparés, aucune alliance automatique. Pas de variantes Pathogen ni de classes Fireteam.</x:v>
      </x:c>
      <x:c r="N21" s="70" t="str">
        <x:v>A : Tenir l’extraction du clan ; B : Interrompre le transfert humain ; C : Fermer la voie d’invasion de la ruche ; D : Protéger le relais et la route de repli</x:v>
      </x:c>
      <x:c r="O21" s="70" t="str">
        <x:v>Récupérer l’objectif, tenir une route d’extraction et empêcher la sortie du convoi adverse.</x:v>
      </x:c>
      <x:c r="P21" s="70" t="str">
        <x:v>Objectif emporté hors du théâtre, extraction irrécupérable ou perte du joueur.</x:v>
      </x:c>
      <x:c r="Q21" s="70" t="str">
        <x:v>Coordination locale originale ; aucun personnage nommé créé en plusieurs exemplaires.</x:v>
      </x:c>
      <x:c r="R21" s="70" t="str">
        <x:v>Aucun boss imposé</x:v>
      </x:c>
      <x:c r="S21" s="70" t="str">
        <x:v>Le camp qui garde son axe engage une réserve finie ; un transfert quitté réellement sort du théâtre, un tunnel fermé impose un détour.</x:v>
      </x:c>
      <x:c r="T21" s="70" t="str">
        <x:v>Cadre AVP 2010 ; acteurs génériques et bataille originale. Les gardes GRP-49 deviennent du personnel de sécurité original de ce complexe. Plan, nombres et enchaînement de bataille originaux ; source du lieu dans Lieux_medias.</x:v>
      </x:c>
      <x:c r="U21" s="70" t="str">
        <x:v>P1</x:v>
      </x:c>
      <x:c r="V21" s="70" t="str">
        <x:v>Pendant 10 minutes loin d’au moins un objectif, vérifier une décision autonome, une perte ou progression et sa persistance au retour. Contrôler les totaux 928 ennemis / 24 alliés PNJ, trois états exclusifs, chefs inclus et plafonds civils/matériels. </x:v>
      </x:c>
    </x:row>
    <x:row r="22" ht="144" customHeight="1">
      <x:c r="A22" s="71" t="str">
        <x:v>AFF-16</x:v>
      </x:c>
      <x:c r="B22" s="71" t="str">
        <x:v>LV-895 — prendre le relais entre ruines et complexe</x:v>
      </x:c>
      <x:c r="C22" s="71" t="str">
        <x:v>X-Y-H, synthétiques corporatistes indépendants</x:v>
      </x:c>
      <x:c r="D22" s="71" t="str">
        <x:v>LD-25 — LV-895 — périphérie industrielle et ruines</x:v>
      </x:c>
      <x:c r="E22" s="71" t="str">
        <x:v>FR-29 — LV-895 — prendre le relais entre ruines et complexe</x:v>
      </x:c>
      <x:c r="F22" s="71" t="str">
        <x:v>EFF-14 — Trois espèces — guerre régionale à quatre fronts</x:v>
      </x:c>
      <x:c r="G22" s="71" t="str">
        <x:v>Un joueur Yautja et 24 chasseurs alliés PNJ originaux.</x:v>
      </x:c>
      <x:c r="H22" s="71" t="str">
        <x:v>Deux camps indépendants :736 Xénomorphes du preset Fireteam Elite et 192 synthétiques de combat Weyland-Yutani HUM-015 ; aucun garde humain hostile dans cette allocation.</x:v>
      </x:c>
      <x:c r="I22" s="71" t="str">
        <x:v>12 chercheurs originaux,4 actifs au plus ;2 tourelles et 2 plateformes de transport actives au plus.</x:v>
      </x:c>
      <x:c r="J22" s="71" t="str">
        <x:v>GRP-51 — Binôme de reconnaissance (Clan du joueur — Yautja)</x:v>
      </x:c>
      <x:c r="K22" s="71" t="str">
        <x:v>GRP-44 — Pression mobile et tir acide (Xénomorphes — Fireteam Elite)
GRP-46 — Section de sécurité robotique (Synthétiques de combat Weyland-Yutani)</x:v>
      </x:c>
      <x:c r="L22" s="71" t="str">
        <x:v>Actifs: A [Xénomorphes 32 (GRP-44), Force humaine 8 (GRP-46), Clan du joueur 4 (GRP-51)]; B [Xénomorphes 24 (GRP-44), Force humaine 8 (GRP-46), Clan du joueur 4 (GRP-51)]; C [Xénomorphes 24 (GRP-44), Force humaine 8 (GRP-46)]; D [Xénomorphes 16 (GRP-44), Force humaine 8 (GRP-46)]. Distants: A [Xénomorphes 96 (GRP-44), Force humaine 24 (GRP-46)]; B [Xénomorphes 96 (GRP-44), Force humaine 24 (GRP-46)]; C [Xénomorphes 96 (GRP-44), Force humaine 24 (GRP-46), Clan du joueur 4 (GRP-51)]; D [Xénomorphes 96 (GRP-44), Force humaine 24 (GRP-46), Clan du joueur 4 (GRP-51)]. Réserve: Réserves par camp [Xénomorphes 256 (GRP-44), Force humaine 64 (GRP-46), Clan du joueur 8 (GRP-51)]. Les groupes restent identifiés lors d’un transfert de front ou d’un changement de niveau de simulation.</x:v>
      </x:c>
      <x:c r="M2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Preset standard : Pathogen Runner/Blight/Brute/Queen désactivés. Un scénario Pathogen exige une variante explicite et un foyer distinct.</x:v>
      </x:c>
      <x:c r="N22" s="71" t="str">
        <x:v>A :prendre le relais et identifier le module de données. B :empêcher le transfert de ce module par les synthétiques. C :déloger le Spitter de la passe. D :garder l’extraction.</x:v>
      </x:c>
      <x:c r="O22" s="71" t="str">
        <x:v>Récupérer le même module de données au relais ou sur le convoi intercepté, puis extraire le joueur et le module par une route tenue.</x:v>
      </x:c>
      <x:c r="P22" s="71" t="str">
        <x:v>Le module est emporté hors du théâtre par le convoi, toutes les routes d’extraction sont irrécupérables ou le joueur meurt.</x:v>
      </x:c>
      <x:c r="Q22" s="71" t="str">
        <x:v>BOS-33 remplace un Spitter déjà présent dans le GRP-44 actif du front C. Contrôleurs synthétiques inclus dans GRP-46 ; aucun chef humain supplémentaire.</x:v>
      </x:c>
      <x:c r="R22" s="71" t="str">
        <x:v>BOS-33 — Spitter en position dominante</x:v>
      </x:c>
      <x:c r="S22" s="71" t="str">
        <x:v>Relais perdu : coordination locale seulement et module déplacé sur le convoi. Passe libérée : route de secours ouverte. Convoi quittant réellement le théâtre avec le module : échec de récupération.</x:v>
      </x:c>
      <x:c r="T22" s="71" t="str">
        <x:v>Fireteam Elite ; campagne Yautja originale, XEN-006/012 et HUM-015. BOS-33 remplace un Spitter du GRP-44 déjà actif au front C. Plan, nombres et enchaînement de bataille originaux ; source du lieu dans Lieux_medias.</x:v>
      </x:c>
      <x:c r="U22" s="71" t="str">
        <x:v>P1</x:v>
      </x:c>
      <x:c r="V22" s="71" t="str">
        <x:v>Pendant 10 minutes loin d’au moins un objectif, vérifier une décision autonome, une perte ou progression et sa persistance au retour. Contrôler les totaux 928 ennemis / 24 alliés PNJ, trois états exclusifs, chefs inclus et plafonds civils/matériels. </x:v>
      </x:c>
    </x:row>
    <x:row r="23" ht="144" customHeight="1">
      <x:c r="A23" s="70" t="str">
        <x:v>AFF-17</x:v>
      </x:c>
      <x:c r="B23" s="70" t="str">
        <x:v>Prodigy City — récupérer, contenir et évacuer</x:v>
      </x:c>
      <x:c r="C23" s="70" t="str">
        <x:v>X-Y-H, variante de guerre de 2120</x:v>
      </x:c>
      <x:c r="D23" s="70" t="str">
        <x:v>LD-26 — Prodigy City — cordon autour du Maginot</x:v>
      </x:c>
      <x:c r="E23" s="70" t="str">
        <x:v>FR-30 — Prodigy City — récupérer, contenir et évacuer</x:v>
      </x:c>
      <x:c r="F23" s="70" t="str">
        <x:v>EFF-14 — Trois espèces — guerre régionale à quatre fronts</x:v>
      </x:c>
      <x:c r="G23" s="70" t="str">
        <x:v>Un joueur Yautja et 24 chasseurs alliés PNJ originaux.</x:v>
      </x:c>
      <x:c r="H23" s="70" t="str">
        <x:v>Deux camps indépendants :736 adultes locaux XEN-036 et 192 soldats tactiques Prodigy originaux HUM-021. Ces effectifs sont ceux de la variante de guerre, pas de la série.</x:v>
      </x:c>
      <x:c r="I23" s="70" t="str">
        <x:v>40 civils,8 actifs au plus ;4 véhicules/dispositifs actifs au plus. Wendy, Hermit, Kirsh et Morrow restent hors roster automatique.</x:v>
      </x:c>
      <x:c r="J23" s="70" t="str">
        <x:v>GRP-51 — Binôme de reconnaissance (Clan du joueur — Yautja)</x:v>
      </x:c>
      <x:c r="K23" s="70" t="str">
        <x:v>GRP-43 — Adultes d’infiltration ou de colonie (Xénomorphes — incarnation locale)
GRP-48 — Protection et récupération (Prodigy — équipe tactique)</x:v>
      </x:c>
      <x:c r="L23" s="70" t="str">
        <x:v>Actifs: A [Xénomorphes 32 (GRP-43), Force humaine 8 (GRP-48), Clan du joueur 4 (GRP-51)]; B [Xénomorphes 24 (GRP-43), Force humaine 8 (GRP-48), Clan du joueur 4 (GRP-51)]; C [Xénomorphes 24 (GRP-43), Force humaine 8 (GRP-48)]; D [Xénomorphes 16 (GRP-43), Force humaine 8 (GRP-48)]. Distants: A [Xénomorphes 96 (GRP-43), Force humaine 24 (GRP-48)]; B [Xénomorphes 96 (GRP-43), Force humaine 24 (GRP-48)]; C [Xénomorphes 96 (GRP-43), Force humaine 24 (GRP-48), Clan du joueur 4 (GRP-51)]; D [Xénomorphes 96 (GRP-43), Force humaine 24 (GRP-48), Clan du joueur 4 (GRP-51)]. Réserve: Réserves par camp [Xénomorphes 256 (GRP-43), Force humaine 64 (GRP-48), Clan du joueur 8 (GRP-51)]. Les groupes restent identifiés lors d’un transfert de front ou d’un changement de niveau de simulation.</x:v>
      </x:c>
      <x:c r="M23"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Ne pas inclure les autres espèces du Maginot dans le quota Xénomorphe. Aucun clone de Wendy ni arsenal USCM ajouté.</x:v>
      </x:c>
      <x:c r="N23" s="70" t="str">
        <x:v>A : Sécuriser la route civile ; B : Isoler un secteur de l’épave ; C : Intercepter les données convoitées ; D : Préserver le départ du clan</x:v>
      </x:c>
      <x:c r="O23" s="70" t="str">
        <x:v>Fermer le secteur dangereux, extraire les données et sauver au moins 24 des 40 civils ;40 donnent le meilleur bilan.</x:v>
      </x:c>
      <x:c r="P23" s="70" t="str">
        <x:v>Données perdues, toutes les sorties irréparables ou perte du joueur ; moins de 24 rescapés donne un repli sans victoire.</x:v>
      </x:c>
      <x:c r="Q23" s="70" t="str">
        <x:v>BOS-35 remplace un garde du GRP-48 actif du front A. Wendy, Hermit, Kirsh et Morrow ne sont pas générés dans ces groupes.</x:v>
      </x:c>
      <x:c r="R23" s="70" t="str">
        <x:v>BOS-35 — Responsable du cordon Prodigy</x:v>
      </x:c>
      <x:c r="S23" s="70" t="str">
        <x:v>Cordon perdu : le convoi change de route. Epave laissée ouverte : les réserves présentes se déplacent vers la ville. Secours retardé : bilan civil dégradé.</x:v>
      </x:c>
      <x:c r="T23" s="70" t="str">
        <x:v>Alien: Earth ; invasion étendue et Yautja totalement originaux, sans prétendre reproduire l’épisode. Profil adulte XEN-036 ; BOS-35 remplace un garde Prodigy au front A. Plan, nombres et enchaînement de bataille originaux ; source du lieu dans Lieux_medias.</x:v>
      </x:c>
      <x:c r="U23" s="70" t="str">
        <x:v>P2</x:v>
      </x:c>
      <x:c r="V23" s="70" t="str">
        <x:v>Pendant 10 minutes loin d’au moins un objectif, vérifier une décision autonome, une perte ou progression et sa persistance au retour. Contrôler les totaux 928 ennemis / 24 alliés PNJ, trois états exclusifs, chefs inclus et plafonds civils/matériels. </x:v>
      </x:c>
    </x:row>
    <x:row r="24" ht="117" customHeight="1">
      <x:c r="A24" s="71" t="str">
        <x:v>AFF-18</x:v>
      </x:c>
      <x:c r="B24" s="71" t="str">
        <x:v>Tobler-9 — garder le refuge ouvert</x:v>
      </x:c>
      <x:c r="C24" s="71" t="str">
        <x:v>Y-X, pacte local avec les survivants</x:v>
      </x:c>
      <x:c r="D24" s="71" t="str">
        <x:v>LD-27 — Tobler-9 — avant-poste, refuge et sous-sol</x:v>
      </x:c>
      <x:c r="E24" s="71" t="str">
        <x:v>FR-31 — Tobler-9 — garder le refuge ouvert</x:v>
      </x:c>
      <x:c r="F24" s="71" t="str">
        <x:v>EFF-03 — Guerre du clan — bataille standard</x:v>
      </x:c>
      <x:c r="G24" s="71" t="str">
        <x:v>Un joueur Yautja et 48 chasseurs alliés PNJ originaux.</x:v>
      </x:c>
      <x:c r="H24" s="71" t="str">
        <x:v>1000 Xénomorphes du profil du théâtre ; aucun camp humain hostile ajouté.</x:v>
      </x:c>
      <x:c r="I24" s="71" t="str">
        <x:v>24 survivants civils,8 actifs au plus ;2 ascenseurs/portes lourdes matériels actifs. Aucun synthétique nommé ajouté au décompte. Steel Team n’est ni une réserve ni un groupe actif dans ce preset.</x:v>
      </x:c>
      <x:c r="J24" s="71" t="str">
        <x:v>GRP-51 — Binôme de reconnaissance (Clan du joueur — Yautja)</x:v>
      </x:c>
      <x:c r="K24" s="71" t="str">
        <x:v>GRP-43 — Adultes d’infiltration ou de colonie (Xénomorphes — incarnation locale)</x:v>
      </x:c>
      <x:c r="L24"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24"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Profil ICARUS non activé tant que ses attributs ne sont pas vérifiés dans l’œuvre ; le nom de la souche est attesté. Le pacte ne convertit pas les civils en troupes. Evénement Steel Team désactivé dans ce preset chiffré. Toute activation exige un roster vérifié et une réallocation à budget constant ; aucun synthétique supplémentaire ni clone de personnage.</x:v>
      </x:c>
      <x:c r="N24" s="71" t="str">
        <x:v>A : Tenir le passage du refuge ; B : Relancer l’accès technique ; C : Couper la voie d’arrivée vers l’extraction</x:v>
      </x:c>
      <x:c r="O24" s="71" t="str">
        <x:v>Maintenir un abri, fermer une voie de ruche et évacuer au moins 16 des 24 civils.</x:v>
      </x:c>
      <x:c r="P24" s="71" t="str">
        <x:v>Aucun refuge ni sortie récupérable, ou perte du joueur ; moins de 16 rescapés donne un repli non victorieux.</x:v>
      </x:c>
      <x:c r="Q24" s="71" t="str">
        <x:v>Coordination locale originale ; aucun personnage nommé créé en plusieurs exemplaires.</x:v>
      </x:c>
      <x:c r="R24" s="71" t="str">
        <x:v>Aucun boss imposé</x:v>
      </x:c>
      <x:c r="S24" s="71" t="str">
        <x:v>Accès technique rétabli : raccourci utilisable par toutes les factions compatibles. Refuge perdu : extraction déplacée et ressources limitées.</x:v>
      </x:c>
      <x:c r="T24" s="71" t="str">
        <x:v>Arc Marvel 2022 ; mission Yautja originale, profil local XEN-035. Steel Team est un événement narratif optionnel dont la composition exacte doit être relevée avant ajout. Plan, nombres et enchaînement de bataille originaux ; source du lieu dans Lieux_medias. Sélecteur obligatoire XEN-035 : Tobler-9, Marvel2022 ; aucun tirage mélangeant les trois arcs.</x:v>
      </x:c>
      <x:c r="U24" s="71" t="str">
        <x:v>P1</x:v>
      </x:c>
      <x:c r="V24" s="71" t="str">
        <x:v>Pendant 10 minutes loin d’au moins un objectif, vérifier une décision autonome, une perte ou progression et sa persistance au retour. Contrôler les totaux 1000 ennemis / 48 alliés PNJ, trois états exclusifs, chefs inclus et plafonds civils/matériels. </x:v>
      </x:c>
    </x:row>
    <x:row r="25" ht="103.5" customHeight="1">
      <x:c r="A25" s="70" t="str">
        <x:v>AFF-19</x:v>
      </x:c>
      <x:c r="B25" s="70" t="str">
        <x:v>Epsilon — ouvrir le quai avant le transfert</x:v>
      </x:c>
      <x:c r="C25" s="70" t="str">
        <x:v>X-Y-H, infiltration localisée</x:v>
      </x:c>
      <x:c r="D25" s="70" t="str">
        <x:v>LD-28 — Station Epsilon — sas, laboratoires et quai</x:v>
      </x:c>
      <x:c r="E25" s="70" t="str">
        <x:v>FR-32 — Epsilon — ouvrir le quai avant le transfert</x:v>
      </x:c>
      <x:c r="F25" s="70" t="str">
        <x:v>EFF-15 — Infiltration de station — menace localisée</x:v>
      </x:c>
      <x:c r="G25" s="70" t="str">
        <x:v>Un joueur Yautja et 4 chasseurs alliés PNJ originaux.</x:v>
      </x:c>
      <x:c r="H25" s="70" t="str">
        <x:v>8 Xénomorphes et 32 humains ou synthétiques ; relations détaillées par le preset.</x:v>
      </x:c>
      <x:c r="I25" s="70" t="str">
        <x:v>8 civils,4 actifs au plus ;2 navettes/dispositifs actifs au plus.</x:v>
      </x:c>
      <x:c r="J25" s="70" t="str">
        <x:v>GRP-51 — Binôme de reconnaissance (Clan du joueur — Yautja)</x:v>
      </x:c>
      <x:c r="K25" s="70" t="str">
        <x:v>GRP-43 — Adultes d’infiltration ou de colonie (Xénomorphes — incarnation locale)
GRP-49 — Garde de site et transfert de données (Sécurité corporatiste originale)</x:v>
      </x:c>
      <x:c r="L25" s="70" t="str">
        <x:v>Actifs: A [Xénomorphes 1 (GRP-43), Force humaine 4 (GRP-49), Clan du joueur 2 (GRP-51)]; B [Force humaine 4 (GRP-49)]; C [Xénomorphes 1 (GRP-43), Force humaine 2 (GRP-49)]. Distants: A [Force humaine 4 (GRP-49)]; B [Xénomorphes 2 (GRP-43), Force humaine 6 (GRP-49), Clan du joueur 2 (GRP-51)]; C [Xénomorphes 2 (GRP-43), Force humaine 6 (GRP-49)]. Réserve: Réserve [Xénomorphes 2 (GRP-43), Force humaine 6 (GRP-49)]. Les groupes restent identifiés lors d’un transfert de front ou d’un changement de niveau de simulation.</x:v>
      </x:c>
      <x:c r="M25"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Contrairement au preset Sevastopol, la force humaine est ici une garde originale armée et ses relations avec les adultes sont hostiles.</x:v>
      </x:c>
      <x:c r="N25" s="70" t="str">
        <x:v>A : Empêcher la sortie du transfert ; B : Rouvrir le sas de secours ; C : Tenir le quai d’extraction</x:v>
      </x:c>
      <x:c r="O25" s="70" t="str">
        <x:v>Récupérer l’objectif et extraire le joueur avec au moins 4 des 8 rescapés.</x:v>
      </x:c>
      <x:c r="P25" s="70" t="str">
        <x:v>Objectif quitté réellement le théâtre, toutes sorties fermées ou perte du joueur ; moins de 4 rescapés donne un repli non victorieux.</x:v>
      </x:c>
      <x:c r="Q25" s="70" t="str">
        <x:v>Coordination locale originale ; aucun personnage nommé créé en plusieurs exemplaires.</x:v>
      </x:c>
      <x:c r="R25" s="70" t="str">
        <x:v>Aucun boss imposé</x:v>
      </x:c>
      <x:c r="S25" s="70" t="str">
        <x:v>Transfert laissé seul : départ possible. Sas bloqué : civils retardés. Quai perdu : seconde sortie à rouvrir.</x:v>
      </x:c>
      <x:c r="T25" s="70" t="str">
        <x:v>Arc Marvel 2021 ; intrusion Yautja et gardes corporatistes originaux, adultes locaux XEN-035. Plan, nombres et enchaînement de bataille originaux ; source du lieu dans Lieux_medias. Sélecteur obligatoire XEN-035 : Epsilon, Marvel2021 ; aucun tirage mélangeant les trois arcs.</x:v>
      </x:c>
      <x:c r="U25" s="70" t="str">
        <x:v>P1</x:v>
      </x:c>
      <x:c r="V25" s="70" t="str">
        <x:v>Pendant 10 minutes loin d’au moins un objectif, vérifier une décision autonome, une perte ou progression et sa persistance au retour. Contrôler les totaux 40 ennemis / 4 alliés PNJ, trois états exclusifs, chefs inclus et plafonds civils/matériels. </x:v>
      </x:c>
    </x:row>
    <x:row r="26" ht="117" customHeight="1">
      <x:c r="A26" s="71" t="str">
        <x:v>AFF-20</x:v>
      </x:c>
      <x:c r="B26" s="71" t="str">
        <x:v>Neonopolis — la route des technologies dérobées</x:v>
      </x:c>
      <x:c r="C26" s="71" t="str">
        <x:v>Yautja contre sécurité humaine ; raid de grande ampleur original</x:v>
      </x:c>
      <x:c r="D26" s="71" t="str">
        <x:v>LD-29 — Neonopolis — récupération technologique dans les quartiers industriels</x:v>
      </x:c>
      <x:c r="E26" s="71" t="str">
        <x:v>FR-33 — Neonopolis : interrompre le circuit du matériel dérobé</x:v>
      </x:c>
      <x:c r="F26" s="71" t="str">
        <x:v>EFF-12 — Humains du futur — opération militaire</x:v>
      </x:c>
      <x:c r="G26" s="71" t="str">
        <x:v>Clan des Cendres Veilleuses, création originale ; chasseur du joueur inédit. Scarface et Stone Heart non déployés dans le preset.</x:v>
      </x:c>
      <x:c r="H26" s="71" t="str">
        <x:v>Force industrielle humaine inventée à Neonopolis ; aucune identité canonique attribuée à ses 768 combattants.</x:v>
      </x:c>
      <x:c r="I26" s="71" t="str">
        <x:v>48 ouvriers et habitants neutres : 16 actifs au plus et les autres suivis à distance, sans réserve civile créée. 4 véhicules et 2 tourelles sont du matériel ; opérateurs humains déjà inclus dans GRP-55. Aucun synthétique ni xénomorphe dans ce preset.</x:v>
      </x:c>
      <x:c r="J26" s="7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6" s="71" t="str">
        <x:v>GRP-55 — Section de garde, transfert et verrouillage (Humains — sécurité industrielle de Neonopolis, opération originale)</x:v>
      </x:c>
      <x:c r="L26" s="71" t="str">
        <x:v>Actifs — A : E [6 × GRP-55 (48 PNJ)] ; A [1 × GRP-31 (4 PNJ)] | B : E [4 × GRP-55 (32 PNJ)] ; A [1 × GRP-34 (4 PNJ)] | C : E [3 × GRP-55 (24 PNJ)] ; A [1 × GRP-35 (4 PNJ)] | D : E [3 × GRP-55 (24 PNJ)] ; A [0]. Distants — A : E [12 × GRP-55 (96 PNJ)] ; A [1 × GRP-33 (4 PNJ)] | B : E [12 × GRP-55 (96 PNJ)] ; A [0] | C : E [12 × GRP-55 (96 PNJ)] ; A [1 × GRP-35 (4 PNJ)] | D : E [12 × GRP-55 (96 PNJ)] ; A [1 × GRP-31 (4 PNJ)]. Réserve non déployée — Réserve : E [32 × GRP-55 (256 PNJ)] ; A [2 × GRP-33 (8 PNJ)]. Joueur séparé ; chefs compris ; civils et matériels dans leurs registres distincts.</x:v>
      </x:c>
      <x:c r="M26" s="71" t="str">
        <x:v>La réserve de 256 humains peut partir par le dépôt C si la route et les communications sont disponibles ; arrivée par section de 8. Les 8 alliés en réserve arrivent par la sortie D, par groupes de 4. Couper un passage arrête les départs suivants, pas les unités déjà en route.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6" s="71" t="str">
        <x:v>A récupérer le module ; B copier les registres ; C empêcher sa sortie adverse ; D garder une extraction. Bonus : protéger les civils et capturer Voss.</x:v>
      </x:c>
      <x:c r="O26" s="71" t="str">
        <x:v>Module et copie des registres sécurisés, joueur et module extraits par une route accessible. Les pertes civiles donnent un bilan séparé, sans transformer les civils en ennemis.</x:v>
      </x:c>
      <x:c r="P26" s="71" t="str">
        <x:v>Module emporté hors carte ou détruit avant récupération ; joueur neutralisé sans secours ; aucune sortie récupérable après délai de contre-action annoncé.</x:v>
      </x:c>
      <x:c r="Q26" s="71" t="str">
        <x:v>BOS-36 Mara Voss remplace le chef de la première GRP-55 active de A ; comprise dans les 48 ennemis de ce front.</x:v>
      </x:c>
      <x:c r="R26" s="71" t="str">
        <x:v>BOS-36 — Mara Voss, responsable du transfert industriel</x:v>
      </x:c>
      <x:c r="S26" s="71" t="str">
        <x:v>L’état de B change l’information et le trajet du convoi ; C détermine les arrivées ; D affecte les verrouillages et l’extraction. Neutraliser Voss ne termine pas automatiquement la mission.</x:v>
      </x:c>
      <x:c r="T26" s="71" t="str">
        <x:v>Scénario et personnages additionnels originaux, non reconstitution du déroulement de l’œuvre. Effectifs, objectifs, groupes et dimensions sont des propositions de jeu. Inspiration : Y-L03 / Y-S22 et Y-S23. 768 humains et 32 alliés sont un budget de guerre original, pas un recensement de Neonopolis.</x:v>
      </x:c>
      <x:c r="U26" s="71" t="str">
        <x:v>P1</x:v>
      </x:c>
      <x:c r="V26" s="71" t="str">
        <x:v>Journal vérifiant 128/384/256 E et 12/12/8 A ; module transporté par un itinéraire réel ; aucune section dupliquée à l’arrivée ; civils hors objectifs de kills ; le résultat de chacun des quatre fronts change la mission.</x:v>
      </x:c>
    </x:row>
    <x:row r="27" ht="144" customHeight="1">
      <x:c r="A27" s="70" t="str">
        <x:v>AFF-21</x:v>
      </x:c>
      <x:c r="B27" s="70" t="str">
        <x:v>Genna — balise disputée entre deux clans</x:v>
      </x:c>
      <x:c r="C27" s="70" t="str">
        <x:v>Yautja contre Yautja ; conflit original sur lieu de film</x:v>
      </x:c>
      <x:c r="D27" s="70" t="str">
        <x:v>LD-30 — Genna — trois voies de récupération d’une balise de clan</x:v>
      </x:c>
      <x:c r="E27" s="70" t="str">
        <x:v>FR-34 — Genna : reprendre une balise avant son transport</x:v>
      </x:c>
      <x:c r="F27" s="70" t="str">
        <x:v>EFF-09 — Clans rivaux — escarmouche de chasseurs</x:v>
      </x:c>
      <x:c r="G27" s="70" t="str">
        <x:v>Clan des Cendres Veilleuses, original ; aucun lien revendiqué avec la famille de Dek.</x:v>
      </x:c>
      <x:c r="H27" s="70" t="str">
        <x:v>Clan des Roches Creuses, original ; Vorrek commande cette seule opération.</x:v>
      </x:c>
      <x:c r="I27" s="70" t="str">
        <x:v>Aucun combattant tiers ni civil. Faune combattante et personnages nommés de Badlands absents ; dangers de parcours éventuels sont des règles originales et ne simulent pas une nouvelle caste.</x:v>
      </x:c>
      <x:c r="J27" s="7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7" s="7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7" s="70" t="str">
        <x:v>Actifs — A : E [2 × GRP-31 (8 PNJ)] ; A [1 × GRP-31 (4 PNJ)] | B : E [1 × GRP-36 (4 PNJ)] ; A [1 × GRP-34 (4 PNJ)] | C : E [1 × GRP-32 (4 PNJ)] ; A [0]. Distants — A : E [2 × GRP-33 (8 PNJ)] ; A [0] | B : E [3 × GRP-32 (12 PNJ)] ; A [1 × GRP-33 (4 PNJ)] | C : E [3 × GRP-35 (12 PNJ)] ; A [1 × GRP-35 (4 PNJ)]. Réserve non déployée — Réserve : E [2 × GRP-31 (8 PNJ) + 2 × GRP-33 (8 PNJ)] ; A [1 × GRP-35 (4 PNJ)]. Joueur séparé ; chefs compris ; civils et matériels dans leurs registres distincts.</x:v>
      </x:c>
      <x:c r="M27" s="70" t="str">
        <x:v>Réserve rivale de 16 depuis le camp C ou une approche A encore reliée ; réserve alliée de 4 par C après sécurisation. Une escouade de 4 par départ ; une balise coupée retarde l’ordre, sans faire apparaître de renfort.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7" s="70" t="str">
        <x:v>A ouvrir une route ; B récupérer la balise ou intercepter son transfert ; C préserver un départ. Option : obtenir un retrait de Vorrek par une trêve propre à cette mission.</x:v>
      </x:c>
      <x:c r="O27" s="70" t="str">
        <x:v>Balise sous contrôle du clan du joueur, joueur sorti par C et état des survivants conservé ; extermination non requise.</x:v>
      </x:c>
      <x:c r="P27" s="70" t="str">
        <x:v>Balise définitivement emportée hors théâtre par les rivaux ; joueur neutralisé sans secours ; camp et route de départ irrécupérables après alerte et possibilité d’intervention.</x:v>
      </x:c>
      <x:c r="Q27" s="70" t="str">
        <x:v>BOS-37 Vorrek dans le GRP-36 actif de B ; un des quatre PNJ du groupe.</x:v>
      </x:c>
      <x:c r="R27" s="70" t="str">
        <x:v>BOS-37 — Vorrek, chef de la récupération rivale</x:v>
      </x:c>
      <x:c r="S27" s="70" t="str">
        <x:v>A influence la détection, B la localisation du module, C les arrivées et la sortie. Une trêve n’atteint les patrouilles éloignées qu’après transmission effective.</x:v>
      </x:c>
      <x:c r="T27" s="70" t="str">
        <x:v>Scénario et personnages additionnels originaux, non reconstitution du déroulement de l’œuvre. Effectifs, objectifs, groupes et dimensions sont des propositions de jeu. Lieu sourcé Y-L01 / Y-S17 ; la présence de ces deux clans sur Genna, leurs armes et ce conflit ne sont pas des faits de Badlands.</x:v>
      </x:c>
      <x:c r="U27" s="70" t="str">
        <x:v>P2</x:v>
      </x:c>
      <x:c r="V27" s="70" t="str">
        <x:v>16/32/16 rivaux et 8/8/4 alliés exactement ; absence de Dek/Thia/animaux nommés dans le roster ; balise et trêve ont des transitions journalisées ; trois fronts actifs hors caméra.</x:v>
      </x:c>
    </x:row>
    <x:row r="28" ht="144" customHeight="1">
      <x:c r="A28" s="71" t="str">
        <x:v>AFF-22</x:v>
      </x:c>
      <x:c r="B28" s="71" t="str">
        <x:v>The Last Hunt — libération dans une réserve alternative</x:v>
      </x:c>
      <x:c r="C28" s="71" t="str">
        <x:v>Yautja contre ravisseurs Yautja ; humains à secourir</x:v>
      </x:c>
      <x:c r="D28" s="71" t="str">
        <x:v>LD-31 — Réserve de The Last Hunt — opération de libération alternative</x:v>
      </x:c>
      <x:c r="E28" s="71" t="str">
        <x:v>FR-35 — Réserve alternative : ouvrir le corridor des captifs</x:v>
      </x:c>
      <x:c r="F28" s="71" t="str">
        <x:v>EFF-09 — Clans rivaux — escarmouche de chasseurs</x:v>
      </x:c>
      <x:c r="G28" s="71" t="str">
        <x:v>Détachement original des Cendres Veilleuses, engagé pour cette mission de secours.</x:v>
      </x:c>
      <x:c r="H28" s="71" t="str">
        <x:v>Ravisseurs Yautja originaux du groupe de Narek ; aucune équivalence avec tous les clans ni avec le Super Predator du comic.</x:v>
      </x:c>
      <x:c r="I28" s="71" t="str">
        <x:v>24 humains captifs non combattants, trois groupes de 8, au maximum 8 actifs simultanément. Les autres restent suivis à distance ; extraction, décès et déplacement persistent. 1 transport de départ est du matériel, son pilote fait déjà partie d’un GRP-35 allié.</x:v>
      </x:c>
      <x:c r="J28" s="71" t="str">
        <x:v>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8" s="7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8" s="71" t="str">
        <x:v>Actifs — A : E [2 × GRP-33 (8 PNJ)] ; A [1 × GRP-32 (4 PNJ)] | B : E [1 × GRP-31 (4 PNJ)] ; A [1 × GRP-34 (4 PNJ)] | C : E [1 × GRP-36 (4 PNJ)] ; A [0]. Distants — A : E [3 × GRP-32 (12 PNJ)] ; A [1 × GRP-33 (4 PNJ)] | B : E [3 × GRP-33 (12 PNJ)] ; A [1 × GRP-35 (4 PNJ)] | C : E [2 × GRP-35 (8 PNJ)] ; A [0]. Réserve non déployée — Réserve : E [2 × GRP-32 (8 PNJ) + 2 × GRP-33 (8 PNJ)] ; A [1 × GRP-35 (4 PNJ)]. Joueur séparé ; chefs compris ; civils et matériels dans leurs registres distincts.</x:v>
      </x:c>
      <x:c r="M28" s="71" t="str">
        <x:v>Les 16 rivaux de réserve entrent par la garde extérieure reliée à C, par groupes de 4 ; les 4 alliés de réserve arrivent au point de départ dès ouverture de la liaison. Capturer la commande bloque les nouveaux départs adverses, pas les patrouilles en marche.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8" s="71" t="str">
        <x:v>A libérer 16 captifs ; B protéger le troisième groupe et le corridor ; C ouvrir le départ. Extraire au moins 16 captifs, en conserver le maximum et enregistrer leur bilan individuel.</x:v>
      </x:c>
      <x:c r="O28" s="71" t="str">
        <x:v>Au moins 16 captifs sur 24 et joueur extraits = victoire. De 16 à 23 : secours partiel ; 24 : secours complet.</x:v>
      </x:c>
      <x:c r="P28" s="71" t="str">
        <x:v>Moins de 16 captifs encore sauvables : objectif de victoire échoué, repli de survivants encore possible. Joueur neutralisé sans secours ou départ irrécupérable après contre-action : échec de mission.</x:v>
      </x:c>
      <x:c r="Q28" s="71" t="str">
        <x:v>BOS-38 Narek remplace le commandant du GRP-36 actif de C ; inclus dans les 4 rivaux de ce groupe.</x:v>
      </x:c>
      <x:c r="R28" s="71" t="str">
        <x:v>BOS-38 — Narek, gardien rival du site de captivité</x:v>
      </x:c>
      <x:c r="S28" s="71" t="str">
        <x:v>Les gardes peuvent déplacer des captifs sur une route connue. La perte d’un poste modifie un verrou et le risque d’interception ; la défaite du gardien n’extrait personne automatiquement.</x:v>
      </x:c>
      <x:c r="T28" s="71" t="str">
        <x:v>Scénario et personnages additionnels originaux, non reconstitution du déroulement de l’œuvre. Effectifs, objectifs, groupes et dimensions sont des propositions de jeu. Lieu inspiré de Y-L04 / Y-S21 ; les captifs, leur nombre, Narek, le motif de secours et les trois abris sont inventés pour cette variante. Theta et le Super Predator du comic ne sont pas déployés.</x:v>
      </x:c>
      <x:c r="U28" s="71" t="str">
        <x:v>P2</x:v>
      </x:c>
      <x:c r="V28" s="71" t="str">
        <x:v>64 rivaux/20 alliés alloués ; 24 captifs réconciliés à tout instant et cap actif 8 ; 0 captif compté comme kill ; seuil 16 conduit à une issue définie ; actions A/B/C déterminent les routes réellement ouvertes.</x:v>
      </x:c>
    </x:row>
    <x:row r="29" ht="117" customHeight="1">
      <x:c r="A29" s="70" t="str">
        <x:v>AFF-23</x:v>
      </x:c>
      <x:c r="B29" s="70" t="str">
        <x:v>Toundra — rencontre alternative avec Theta</x:v>
      </x:c>
      <x:c r="C29" s="70" t="str">
        <x:v>Traque Yautja/humains restreinte ; trêve locale possible</x:v>
      </x:c>
      <x:c r="D29" s="70" t="str">
        <x:v>LD-32 — Planète de toundra — épave de Theta et approche de l’avant-poste</x:v>
      </x:c>
      <x:c r="E29" s="70" t="str">
        <x:v>FR-36 — Toundra : récupération sous surveillance de Theta</x:v>
      </x:c>
      <x:c r="F29" s="70" t="str">
        <x:v>EFF-17 — Traque de toundra — rencontres de faible densité</x:v>
      </x:c>
      <x:c r="G29" s="70" t="str">
        <x:v>Chasseur Yautja inédit et 4 éclaireurs alliés originaux ; aucun clan canonique revendiqué.</x:v>
      </x:c>
      <x:c r="H29" s="70" t="str">
        <x:v>Theta Berwick unique (HUM-032, GRP-57) et 7 gardes d’avant-poste originaux (GRP-56), adversaires initiaux conditionnels et non une chaîne de commandement commune.</x:v>
      </x:c>
      <x:c r="I29" s="70" t="str">
        <x:v>4 habitants non armés de l’avant-poste, ajout de scénario : 2 actifs au plus, les autres suivis à distance. Épave, balise et équipements de liaison sont du matériel. Theta n’est jamais comptée parmi ces civils.</x:v>
      </x:c>
      <x:c r="J29" s="70" t="str">
        <x:v>GRP-12 — Éclaireurs (Yautja alliés)</x:v>
      </x:c>
      <x:c r="K29" s="70" t="str">
        <x:v>GRP-56 — Petite patrouille d’approche (Humains — garde originale de l’avant-poste de toundra)
GRP-57 — Acteur unique de traque et de décision (Humaine — Theta Berwick, relation locale de scénario)</x:v>
      </x:c>
      <x:c r="L29" s="70" t="str">
        <x:v>Actifs — A : E [1 × GRP-57 (1 PNJ) + 1 × GRP-56 (1 PNJ)] ; A [1 × GRP-12 (2 PNJ)] | B : E [1 × GRP-56 (2 PNJ)] ; A [0] | C : E [0] ; A [0]. Distants — A : E [0] ; A [0] | B : E [1 × GRP-56 (2 PNJ)] ; A [0] | C : E [1 × GRP-56 (2 PNJ)] ; A [1 × GRP-12 (2 PNJ)]. Réserve non déployée — Réserve : E [0] ; A [0]. Joueur séparé ; chefs compris ; civils et matériels dans leurs registres distincts.</x:v>
      </x:c>
      <x:c r="M29" s="70" t="str">
        <x:v>Aucune réserve, aucune nouvelle patrouille. Theta et les sept gardes déplacent leurs propres IDs entre A/B/C ; les deux binômes alliés restent exactement 4. Une trêve conserve les identités et plafonds d’acteurs : les comptes de relations hostiles/neutres changent, sans transfert implicite dans les 4 alliés.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9" s="70" t="str">
        <x:v>A récupérer la balise originale ajoutée près de l’épave ; B reconnaître un retour protégé ; C ouvrir une liaison d’identification ou une sortie. Option : aider Theta et convenir d’une non-agression locale.</x:v>
      </x:c>
      <x:c r="O29" s="70" t="str">
        <x:v>Balise et joueur extraits ; état de Theta connu (vivante hostile, neutre, secourue ou morte). La neutraliser n’est pas un objectif nécessaire ; trêve et survie donnent le meilleur bilan narratif proposé.</x:v>
      </x:c>
      <x:c r="P29" s="70" t="str">
        <x:v>Joueur neutralisé sans secours, balise définitivement perdue ou sortie irrécupérable après avertissement et contre-action. Une rupture de trêve annule son avantage narratif sans engendrer de nouvelles unités.</x:v>
      </x:c>
      <x:c r="Q29" s="70" t="str">
        <x:v>Theta décide seule ; chaque petit groupe de gardes a son responsable inclus. Aucun boss supplémentaire, aucune santé de monstre pour Theta.</x:v>
      </x:c>
      <x:c r="R29" s="70" t="str">
        <x:v>Aucun boss imposé</x:v>
      </x:c>
      <x:c r="S29" s="70" t="str">
        <x:v>Theta poursuit sa marche sans attendre le joueur. L’approche B change l’exposition, C l’identification et la sortie. Une trêve locale avec Theta ne rend pas les gardes alliés automatiquement.</x:v>
      </x:c>
      <x:c r="T29" s="70" t="str">
        <x:v>Scénario et personnages additionnels originaux, non reconstitution du déroulement de l’œuvre. Effectifs, objectifs, groupes et dimensions sont des propositions de jeu. H-L09 et HUM-032 ; Marvel Predator (2022) #2 établit seulement Theta échouée, l’avant-poste et une traque. La balise, les sept gardes, les quatre alliés et l’issue négociée sont inventés.</x:v>
      </x:c>
      <x:c r="U29" s="70" t="str">
        <x:v>P2</x:v>
      </x:c>
      <x:c r="V29" s="70" t="str">
        <x:v>Départ E=4 actifs +4 distants, A=2+2, réserves=0, joueur=1. Un seul HUM-032/GRP-57 ; 7 gardes exactement ; après trêve, la conservation des 8 acteurs initiaux ennemis est vérifiée séparément des relations ; aucun groupe ne dépasse son min/max.</x:v>
      </x:c>
    </x:row>
    <x:row r="30" ht="103.5" customHeight="1">
      <x:c r="A30" s="71" t="str">
        <x:v>AFF-24</x:v>
      </x:c>
      <x:c r="B30" s="71" t="str">
        <x:v>Lune des Spinners — secourir l’habitat</x:v>
      </x:c>
      <x:c r="C30" s="71" t="str">
        <x:v>Y-X, colonie humaine à évacuer</x:v>
      </x:c>
      <x:c r="D30" s="71" t="str">
        <x:v>LD-33 — Lune des Spinners — habitat et terraformation</x:v>
      </x:c>
      <x:c r="E30" s="71" t="str">
        <x:v>FR-37 — Lune des Spinners — secourir l’habitat</x:v>
      </x:c>
      <x:c r="F30" s="71" t="str">
        <x:v>EFF-03 — Guerre du clan — bataille standard</x:v>
      </x:c>
      <x:c r="G30" s="71" t="str">
        <x:v>Un joueur Yautja et 48 chasseurs alliés PNJ originaux.</x:v>
      </x:c>
      <x:c r="H30" s="71" t="str">
        <x:v>1000 Xénomorphes du profil du théâtre ; aucun camp humain hostile ajouté.</x:v>
      </x:c>
      <x:c r="I30" s="71" t="str">
        <x:v>36 Spinners civils,8 actifs au plus ;3 transports matériels actifs au plus.</x:v>
      </x:c>
      <x:c r="J30" s="71" t="str">
        <x:v>GRP-51 — Binôme de reconnaissance (Clan du joueur — Yautja)</x:v>
      </x:c>
      <x:c r="K30" s="71" t="str">
        <x:v>GRP-43 — Adultes d’infiltration ou de colonie (Xénomorphes — incarnation locale)</x:v>
      </x:c>
      <x:c r="L30"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3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Aucun arsenal de Marines attribué aux habitants. La colonie ajoutée doit montrer habitat et ressources capables d’expliquer les routes.</x:v>
      </x:c>
      <x:c r="N30" s="71" t="str">
        <x:v>A : Protéger les habitants ; B : Rétablir la route du chantier ; C : Couper l’accès de ruche à l’embarquement</x:v>
      </x:c>
      <x:c r="O30" s="71" t="str">
        <x:v>Evacuer 24 des 36 civils et extraire le joueur ;36 donnent le meilleur bilan.</x:v>
      </x:c>
      <x:c r="P30" s="71" t="str">
        <x:v>Aucun embarquement récupérable ou perte du joueur ; moins de 24 rescapés donne un repli non victorieux.</x:v>
      </x:c>
      <x:c r="Q30" s="71" t="str">
        <x:v>Coordination locale originale ; aucun personnage nommé créé en plusieurs exemplaires.</x:v>
      </x:c>
      <x:c r="R30" s="71" t="str">
        <x:v>Aucun boss imposé</x:v>
      </x:c>
      <x:c r="S30" s="71" t="str">
        <x:v>Chantier fermé : secours plus lent. Passage de ruche ouvert : pression déplacée vers l’embarquement. Habitants laissés seuls : pertes persistantes.</x:v>
      </x:c>
      <x:c r="T30" s="71" t="str">
        <x:v>Arc Marvel 2021 ; monde nommé prudemment, intervention Yautja et effectifs de guerre originaux. Profil local XEN-035. Plan, nombres et enchaînement de bataille originaux ; source du lieu dans Lieux_medias. Sélecteur obligatoire XEN-035 : Spinners / Revival, Marvel2021 ; aucun tirage mélangeant les trois arcs.</x:v>
      </x:c>
      <x:c r="U30" s="71" t="str">
        <x:v>P2</x:v>
      </x:c>
      <x:c r="V30" s="71" t="str">
        <x:v>Pendant 10 minutes loin d’au moins un objectif, vérifier une décision autonome, une perte ou progression et sa persistance au retour. Contrôler les totaux 1000 ennemis / 48 alliés PNJ, trois états exclusifs, chefs inclus et plafonds civils/matériels. </x:v>
      </x:c>
    </x:row>
    <x:row r="31" ht="103.5" customHeight="1">
      <x:c r="A31" s="70" t="str">
        <x:v>AFF-25</x:v>
      </x:c>
      <x:c r="B31" s="70" t="str">
        <x:v>Lethe — variante Colonial Marines contre la ruche</x:v>
      </x:c>
      <x:c r="C31" s="70" t="str">
        <x:v>X-H, mode humain secondaire optionnel</x:v>
      </x:c>
      <x:c r="D31" s="70" t="str">
        <x:v>LD-23 — Lethe — colonie, usine et accès de ruche</x:v>
      </x:c>
      <x:c r="E31" s="70" t="str">
        <x:v>FR-38 — Lethe — variante Colonial Marines contre la ruche</x:v>
      </x:c>
      <x:c r="F31" s="70" t="str">
        <x:v>EFF-16 — Variante humaine optionnelle — trois fronts contre une ruche</x:v>
      </x:c>
      <x:c r="G31" s="70" t="str">
        <x:v>Un joueur humain original à créer ; 32 alliés PNJ. Mode secondaire optionnel, dépend d’un contrôleur humain jouable absent du périmètre validé.</x:v>
      </x:c>
      <x:c r="H31" s="70" t="str">
        <x:v>576 Xénomorphes du profil du théâtre ; aucun camp humain hostile ajouté.</x:v>
      </x:c>
      <x:c r="I31" s="70" t="str">
        <x:v>12 civils,4 actifs au plus ;2 véhicules matériels actifs au plus.</x:v>
      </x:c>
      <x:c r="J31" s="70" t="str">
        <x:v>GRP-53 — Section de terrain (Colonial Marines — Lethe)</x:v>
      </x:c>
      <x:c r="K31" s="70" t="str">
        <x:v>GRP-62 — Cellule adulte de ruche (Xénomorphes — Dark Descent)
GRP-45 — Garde d’un passage de ruche (Xénomorphes — Dark Descent)</x:v>
      </x:c>
      <x:c r="L31" s="70" t="str">
        <x:v>Actifs: A [Xénomorphes 32 (GRP-62), Défense humaine 4 (GRP-53)]; B [Xénomorphes 32 (GRP-62), Défense humaine 4 (GRP-53)]; C [Xénomorphes 24 (GRP-62), Xénomorphes 8 (GRP-45), Défense humaine 4 (GRP-53)]. Distants: A [Xénomorphes 96 (GRP-62), Défense humaine 4 (GRP-53)]; B [Xénomorphes 96 (GRP-62), Défense humaine 4 (GRP-53)]; C [Xénomorphes 96 (GRP-62), Défense humaine 4 (GRP-53)]. Réserve: Réserve [Xénomorphes 192 (GRP-62), Défense humaine 8 (GRP-53)]. Les groupes restent identifiés lors d’un transfert de front ou d’un changement de niveau de simulation.</x:v>
      </x:c>
      <x:c r="M3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Contrôleur humain, caméra et arsenal jouables à ajouter avant recette ; ne pas présenter ce mode comme déjà compatible.</x:v>
      </x:c>
      <x:c r="N31" s="70" t="str">
        <x:v>A : Ouvrir la route de retour ; B : Protéger le relais ; C : Dégager le passage de ruche</x:v>
      </x:c>
      <x:c r="O31" s="70" t="str">
        <x:v>Rétablir la route, tenir le relais et extraire au moins 8 alliés PNJ survivants.</x:v>
      </x:c>
      <x:c r="P31" s="70" t="str">
        <x:v>Joueur perdu ou aucune route de retour ; si moins de 8 alliés subsistent, retraite non victorieuse.</x:v>
      </x:c>
      <x:c r="Q31" s="70" t="str">
        <x:v>Rencontres BOS-32 incluses dans les groupes ; chef humain éventuel remplace un garde.</x:v>
      </x:c>
      <x:c r="R31" s="70" t="str">
        <x:v>BOS-32 — Praetorian du passage de Lethe</x:v>
      </x:c>
      <x:c r="S31" s="70" t="str">
        <x:v>Relais perdu : ordres limités localement. Section abandonnée : repli ou pertes, pas téléportation vers le joueur.</x:v>
      </x:c>
      <x:c r="T31" s="70" t="str">
        <x:v>Dark Descent ; déroulement et nombres originaux. Adultes locaux GRP-62 / XEN-037, sans règles AVP 2010. Plan, nombres et enchaînement de bataille originaux ; source du lieu dans Lieux_medias.</x:v>
      </x:c>
      <x:c r="U31" s="70" t="str">
        <x:v>P2</x:v>
      </x:c>
      <x:c r="V31" s="70"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2" ht="117" customHeight="1">
      <x:c r="A32" s="71" t="str">
        <x:v>AFF-26</x:v>
      </x:c>
      <x:c r="B32" s="71" t="str">
        <x:v>Tobler-9 — variante défense des survivants</x:v>
      </x:c>
      <x:c r="C32" s="71" t="str">
        <x:v>X-H, humains et coopération synthétique scénarisée</x:v>
      </x:c>
      <x:c r="D32" s="71" t="str">
        <x:v>LD-27 — Tobler-9 — avant-poste, refuge et sous-sol</x:v>
      </x:c>
      <x:c r="E32" s="71" t="str">
        <x:v>FR-39 — Tobler-9 — variante défense des survivants</x:v>
      </x:c>
      <x:c r="F32" s="71" t="str">
        <x:v>EFF-16 — Variante humaine optionnelle — trois fronts contre une ruche</x:v>
      </x:c>
      <x:c r="G32" s="71" t="str">
        <x:v>Un joueur humain original à créer ; 32 alliés PNJ. Mode secondaire optionnel, dépend d’un contrôleur humain jouable absent du périmètre validé.</x:v>
      </x:c>
      <x:c r="H32" s="71" t="str">
        <x:v>576 Xénomorphes du profil du théâtre ; aucun camp humain hostile ajouté.</x:v>
      </x:c>
      <x:c r="I32" s="71" t="str">
        <x:v>24 civils,8 actifs au plus ;2 dispositifs matériels actifs. Steel Team n’est pas une réserve supplémentaire. Steel Team n’est ni une réserve ni un groupe actif dans ce preset.</x:v>
      </x:c>
      <x:c r="J32" s="71" t="str">
        <x:v>GRP-52 — Equipe de défense locale (Survivants de Tobler-9)</x:v>
      </x:c>
      <x:c r="K32" s="71" t="str">
        <x:v>GRP-43 — Adultes d’infiltration ou de colonie (Xénomorphes — incarnation locale)</x:v>
      </x:c>
      <x:c r="L32" s="71" t="str">
        <x:v>Actifs: A [Xénomorphes 32 (GRP-43), Défense humaine 4 (GRP-52)]; B [Xénomorphes 32 (GRP-43), Défense humaine 4 (GRP-52)]; C [Xénomorphes 32 (GRP-43), Défense humaine 4 (GRP-52)]. Distants: A [Xénomorphes 96 (GRP-43), Défense humaine 4 (GRP-52)]; B [Xénomorphes 96 (GRP-43), Défense humaine 4 (GRP-52)]; C [Xénomorphes 96 (GRP-43), Défense humaine 4 (GRP-52)]. Réserve: Réserve [Xénomorphes 192 (GRP-43), Défense humaine 8 (GRP-52)]. Les groupes restent identifiés lors d’un transfert de front ou d’un changement de niveau de simulation.</x:v>
      </x:c>
      <x:c r="M3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Joueur humain à développer ; profil Xénomorphe local XEN-035, pas mutations de Fireteam. Evénement Steel Team désactivé dans ce preset chiffré. Toute activation exige un roster vérifié et une réallocation à budget constant ; aucun synthétique supplémentaire ni clone de personnage.</x:v>
      </x:c>
      <x:c r="N32" s="71" t="str">
        <x:v>A : Tenir le refuge ; B : Rétablir la voie technique ; C : Repousser la pression sur l’extraction</x:v>
      </x:c>
      <x:c r="O32" s="71" t="str">
        <x:v>Maintenir un refuge accessible, ouvrir l’extraction et sauver 16 des 24 civils.</x:v>
      </x:c>
      <x:c r="P32" s="71" t="str">
        <x:v>Aucun abri ou trajet récupérable, ou perte du joueur ; moins de 16 rescapés donne un repli non victorieux.</x:v>
      </x:c>
      <x:c r="Q32" s="71" t="str">
        <x:v>Coordination locale originale ; aucun personnage nommé créé en plusieurs exemplaires.</x:v>
      </x:c>
      <x:c r="R32" s="71" t="str">
        <x:v>Aucun boss imposé</x:v>
      </x:c>
      <x:c r="S32" s="71" t="str">
        <x:v>Refuge compromis : regroupement vers un abri réellement existant. Pacte rompu : accès négocié fermé, sans apparition magique d’ennemis.</x:v>
      </x:c>
      <x:c r="T32" s="71" t="str">
        <x:v>Arc Marvel 2022 ; mode humain et composition originaux. Un accord avec Steel Team peut être un événement unique après vérification de ses membres ; aucun clone dans GRP-52. Plan, nombres et enchaînement de bataille originaux ; source du lieu dans Lieux_medias. Sélecteur obligatoire XEN-035 : Tobler-9, Marvel2022 ; aucun tirage mélangeant les trois arcs.</x:v>
      </x:c>
      <x:c r="U32" s="71" t="str">
        <x:v>P2</x:v>
      </x:c>
      <x:c r="V32" s="71"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3" ht="333" customHeight="1">
      <x:c r="A33" s="70" t="str">
        <x:v>AFF-27</x:v>
      </x:c>
      <x:c r="B33" s="70" t="str">
        <x:v>LV-742 : les quatre fronts de la ruche des failles</x:v>
      </x:c>
      <x:c r="C33" s="70" t="str">
        <x:v>Guerre à trois espèces — sabotage logistique, rivalité de routes et assaut de ruche</x:v>
      </x:c>
      <x:c r="D33" s="70" t="str">
        <x:v>LD-34 — LV-742 — bassin atmosphérique et ruche des failles</x:v>
      </x:c>
      <x:c r="E33" s="70" t="str">
        <x:v>FR-40 — LV-742 — couper les renforts pendant que trois camps se disputent la vallée</x:v>
      </x:c>
      <x:c r="F33" s="70" t="str">
        <x:v>EFF-14 — Trois espèces — guerre régionale à quatre fronts</x:v>
      </x:c>
      <x:c r="G33" s="70" t="str">
        <x:v>Un chasseur joueur et 24 Yautja PNJ du clan original de l’opération ; huit PNJ actifs au plafond initial.</x:v>
      </x:c>
      <x:c r="H33" s="70" t="str">
        <x:v>Deux camps autonomes : 736 Xénomorphes de la ruche et 192 combattants Colonial Marines, dont leurs synthétiques et pilotes. Ils peuvent se combattre sans action ni présence du joueur.</x:v>
      </x:c>
      <x:c r="I33" s="70" t="str">
        <x:v>Aucun quatrième camp combattant. Les hôtes capturés conservent leur provenance et quittent le combat ; matériel et œufs ont des limites séparées. Aucun individu unique d’un autre média ajouté.
Plafonds matériels / objets, séparés des combattants :
Sentry Gun humaine : actifs 2, distants 2, réserve 2, total 6 ; PNJ combattants ajoutés 0. Implantation : A : 1 active + 1 distante ; B : 1 active + 1 distante ; 2 en réserve à A
Predgun Yautja — YAU-037 : actifs 1, distants 1, réserve 1, total 3 ; PNJ combattants ajoutés 0. Implantation : D : 1 active ; B : 1 distante ; D : 1 en réserve
Sanctuaire / Shrine : actifs 1, distants 0, réserve 0, total 1 ; PNJ combattants ajoutés 0. Implantation : D, plateforme avec deux voies d’évacuation
Dropship humain de renfort : actifs 1, distants 0, réserve 0, total 1 ; PNJ combattants ajoutés 0. Implantation : A puis sortie ; véhicule événementiel réutilisable sans duplication
Œufs et hôtes immobilisés : actifs 24, distants 48, réserve 0, total 72 ; PNJ combattants ajoutés 0. Implantation : Chambres de C uniquement, visibilité selon secteur</x:v>
      </x:c>
      <x:c r="J33" s="70" t="str">
        <x:v>GRP-61 — Détachement de chasse ou de couverture (Yautja — clan du joueur dans le cadre Extinction)</x:v>
      </x:c>
      <x:c r="K33" s="70" t="str">
        <x:v>GRP-58 — Cellule mobile de ruche (Xénomorphes — ruche de LV-742)
GRP-59 — Garde d’un conduit ou du centre reproducteur (Xénomorphes — garde de la ruche de LV-742)
GRP-60 — Section de ligne et de soutien technique (Humains et soutien synthétique — Colonial Marines d’Extinction)</x:v>
      </x:c>
      <x:c r="L33" s="70" t="str">
        <x:v>Actifs A [X 24, H 16, Y 0] ; B [X 32, H 8, Y 4] ; C [X 24, H 0, Y 0] ; D [X 16, H 8, Y 4]. Distants A [X 96, H 32, Y 0] ; B [X 96, H 32, Y 4] ; C [X 128, H 16, Y 0] ; D [X 64, H 16, Y 4]. Réserve [X 256, H 64, Y 8]. Joueur séparé, départ sur D. La reine est l’une des 128 unités distantes X de C.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x:v>
      </x:c>
      <x:c r="M33" s="70" t="str">
        <x:v>Humains : balise atteignable et CommTech vivant nécessaires à l’ordre, stock fini de 64. Xénomorphes : conduits ouverts et stock de 256, maturation potentielle comprise ; une naissance consomme une place biologique réservée et ne gonfle pas le total initial. Yautja : route de D et deux détachements de quatre en réserve. Les pertes ne sont jamais recréées gratuitement. Couper une source annule les départs futurs ; les groupes déjà en transit poursuivent ou changent de route de façon visible.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
Sentry Gun humaine — Transport et déploiement uniquement par un Synthetic déjà compté ; un objet porté ne tire pas et n’est pas dupliqué sur son emplacement précédent.
Predgun Yautja — YAU-037 — Matériel du roster Extinction, budget de tirs et de collision distinct ; emballage, transfert et déploiement conservent son identifiant. Pas d’opérateur ajouté hors quota.
Sanctuaire / Shrine — Point logistique et objet de scénario ; pas de deuxième sanctuaire créé après sa perte. Ses effets précis sont vérifiés dans le jeu avant reproduction.
Dropship humain de renfort — Un transport à la fois ; passagers prélevés dans la réserve et conservés sous le même ID, pas de pilotes combattants supplémentaires. Échec d’atterrissage retarde la demande, sans générer des troupes.
Œufs et hôtes immobilisés — Compteur d’objets séparé ; tout parasite ou adulte activé débite les réserves Xénomorphes d’EFF-14. Un hôte capturé quitte le combat du camp humain ; aucun PNJ simultanément capturé et combattant.</x:v>
      </x:c>
      <x:c r="N33" s="70" t="str">
        <x:v>A : interrompre les renforts humains par balise, installation ou retrait du CommTech A-COMMAND. B : ouvrir un passage sûr vers C et préserver le retour. C : couper deux conduits désignés puis neutraliser la reine unique. D : transmettre les données récupérées et extraire le joueur ainsi que les survivants regroupés.</x:v>
      </x:c>
      <x:c r="O33" s="70" t="str">
        <x:v>Liaison de renfort humaine neutralisée ou retrait local exécuté, deux conduits principaux fermés, reine neutralisée, données et survivants disponibles extraits par une route encore praticable. Les morts et blessés restent comptabilisés ; absence de pertes alliées constitue une meilleure issue, pas une condition obligatoire implicite.</x:v>
      </x:c>
      <x:c r="P33" s="70" t="str">
        <x:v>Joueur neutralisé sans secours possible ; destruction de l’objectif de données après avertissement ; ou perte de la sortie principale et du repli annoncé avant que les survivants puissent quitter le théâtre. La simple perte temporaire d’un front ne provoque pas une défaite instantanée arbitraire.</x:v>
      </x:c>
      <x:c r="Q33" s="70" t="str">
        <x:v>Le CommTech A-COMMAND est inclus dans une section GRP-60 active de A et n’est pas un boss géant. BOS-39 est la reine unique de C-QUEEN, incluse dans GRP-59. Le chef de liaison Yautja est inclus dans le GRP-61 de D ; le joueur n’ajoute pas un PNJ au groupe.</x:v>
      </x:c>
      <x:c r="R33" s="70" t="str">
        <x:v>BOS-39 — Reine de la ruche des failles de LV-742</x:v>
      </x:c>
      <x:c r="S33" s="70" t="str">
        <x:v>Pendant l’assaut de C, A peut encore livrer sa réserve, B peut couper le retour et D peut subir une infiltration. Saboter A peut déplacer une section humaine sur B, laissant les Xénomorphes progresser vers les ateliers. Une retraite humaine locale modifie la relation ou l’objectif de cette section sans convertir tout le camp en allié. La neutralisation de la reine ferme des renforts, mais ne termine pas l’évacuation.</x:v>
      </x:c>
      <x:c r="T33"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 Tous les profils médiatiques sélectionnés sont Extinction ; aucune contamination par Pathogen, Neomorph, Grid, Alpha, Offspring ou héros de films. Les effectifs, le clan et le nom de ruche sont originaux.
Profils du catalogue : XEN-001 ; XEN-002 ; XEN-004 ; XEN-005 ; XEN-006 ; XEN-007 ; XEN-008 ; HUM-001 ; HUM-002 ; HUM-003 ; HUM-036 ; HUM-037 ; HUM-038 ; HUM-039 ; HUM-040 ; HUM-041 ; YAU-029 ; YAU-030 ; YAU-031 ; YAU-032 ; YAU-033 ; YAU-034 ; YAU-035 ; YAU-036 ; YAU-037
X-S01 — Aliens versus Predator: Extinction — manuel officiel PS2
https://gamingalexandria.com/ps2/Aliens%20Versus%20Predator%20Extinction/Aliens%20Versus%20Predator%20Extinction%20-%20Manual.pdf</x:v>
      </x:c>
      <x:c r="U33" s="70" t="str">
        <x:v>P1</x:v>
      </x:c>
      <x:c r="V33" s="70" t="str">
        <x:v>Vérifier les sommes 96/384/256 X, 32/96/64 H, 8/8/8 Y et un joueur ; simuler les quatre fronts cinq minutes sans caméra puis matérialiser chaque front en conservant positions, pertes et stocks. Aucune deuxième reine ni copie de commandant. Tester coupe de chaque route, perte d’un CommTech, transport de tourelle, éclosion budgétée et retrait humain sans création d’agents. Mesurer temps CPU/GPU et mémoire au plafond de 137 combattants actifs incluant joueur ; réduire le niveau de détail si nécessaire avant d’augmenter ce plafond.</x:v>
      </x:c>
    </x:row>
  </x:sheetData>
  <x:conditionalFormatting sqref="U7:U18">
    <x:cfRule type="cellIs" dxfId="37" priority="1" operator="equal">
      <x:formula>"P0"</x:formula>
    </x:cfRule>
    <x:cfRule type="cellIs" dxfId="38" priority="2" operator="equal">
      <x:formula>"P1"</x:formula>
    </x:cfRule>
    <x:cfRule type="cellIs" dxfId="39" priority="3" operator="equal">
      <x:formula>"P2"</x:formula>
    </x:cfRule>
  </x:conditionalFormatting>
  <x:conditionalFormatting sqref="U19:U33">
    <x:cfRule type="cellIs" dxfId="49" priority="4" operator="equal">
      <x:formula>"P0"</x:formula>
    </x:cfRule>
    <x:cfRule type="cellIs" dxfId="50" priority="5" operator="equal">
      <x:formula>"P1"</x:formula>
    </x:cfRule>
    <x:cfRule type="cellIs" dxfId="51" priority="6" operator="equal">
      <x:formula>"P2"</x:formula>
    </x:cfRule>
  </x:conditionalFormatting>
  <x:dataValidations count="2">
    <x:dataValidation type="list" sqref="U7:U18">
      <x:formula1>"P0,P1,P2,P3"</x:formula1>
    </x:dataValidation>
    <x:dataValidation type="list" sqref="U19:U33">
      <x:formula1>"P0,P1,P2,P3"</x:formula1>
    </x:dataValidation>
  </x:dataValidations>
  <x:pageMargins left="0.7" right="0.7" top="0.75" bottom="0.75" header="0.3" footer="0.3"/>
  <x:tableParts count="1">
    <x:tablePart xmlns:r="http://schemas.openxmlformats.org/officeDocument/2006/relationships" r:id="R0e6cca8acd4a486a"/>
  </x:tableParts>
</x:worksheet>
</file>

<file path=xl/worksheets/sheet14.xml><?xml version="1.0" encoding="utf-8"?>
<x:worksheet xmlns:x="http://schemas.openxmlformats.org/spreadsheetml/2006/main">
  <x:sheetPr>
    <x:tabColor rgb="FF5E7154"/>
  </x:sheetPr>
  <x:sheetViews>
    <x:sheetView showGridLines="0" workbookViewId="0">
      <x:pane xSplit="3" ySplit="6" topLeftCell="D7" activePane="bottomRight" state="frozen"/>
    </x:sheetView>
  </x:sheetViews>
  <x:sheetFormatPr defaultRowHeight="15"/>
  <x:cols>
    <x:col min="1" max="1" width="14" hidden="0" customWidth="1"/>
    <x:col min="2" max="2" width="24" hidden="0" customWidth="1"/>
    <x:col min="3" max="3" width="43" hidden="0" customWidth="1"/>
    <x:col min="4" max="4" width="34" hidden="0" customWidth="1"/>
    <x:col min="5" max="5" width="34" hidden="0" customWidth="1"/>
    <x:col min="6" max="6" width="47" hidden="0" customWidth="1"/>
    <x:col min="7" max="7" width="22" hidden="0" customWidth="1"/>
    <x:col min="8" max="8" width="64" hidden="0" customWidth="1"/>
    <x:col min="9" max="9" width="32" hidden="0" customWidth="1"/>
    <x:col min="10" max="10" width="81" hidden="0" customWidth="1"/>
    <x:col min="11" max="11" width="71" hidden="0" customWidth="1"/>
    <x:col min="12" max="12" width="70" hidden="0" customWidth="1"/>
    <x:col min="13" max="13" width="50" hidden="0" customWidth="1"/>
    <x:col min="14" max="14" width="86" hidden="0" customWidth="1"/>
    <x:col min="15" max="15" width="83" hidden="0" customWidth="1"/>
    <x:col min="16" max="16" width="76" hidden="0" customWidth="1"/>
    <x:col min="17" max="17" width="82" hidden="0" customWidth="1"/>
    <x:col min="18" max="18" width="70" hidden="0" customWidth="1"/>
    <x:col min="19" max="19" width="75" hidden="0" customWidth="1"/>
    <x:col min="20" max="20" width="91" hidden="0" customWidth="1"/>
    <x:col min="21" max="21" width="10" hidden="0" customWidth="1"/>
  </x:cols>
  <x:sheetData>
    <x:row r="1" ht="12" customHeight="1">
      <x:c r="A1" s="78"/>
      <x:c r="B1" s="78"/>
      <x:c r="C1" s="78"/>
      <x:c r="D1" s="78"/>
      <x:c r="E1" s="78"/>
      <x:c r="F1" s="78"/>
      <x:c r="G1" s="78"/>
      <x:c r="H1" s="78"/>
      <x:c r="I1" s="78"/>
      <x:c r="J1" s="78"/>
      <x:c r="K1" s="78"/>
      <x:c r="L1" s="78"/>
      <x:c r="M1" s="78"/>
      <x:c r="N1" s="78"/>
      <x:c r="O1" s="78"/>
      <x:c r="P1" s="78"/>
      <x:c r="Q1" s="78"/>
      <x:c r="R1" s="78"/>
      <x:c r="S1" s="78"/>
      <x:c r="T1" s="78"/>
      <x:c r="U1" s="78"/>
    </x:row>
    <x:row r="2" ht="29" customHeight="1">
      <x:c r="A2" s="79" t="str">
        <x:v>Bestiaire, rôles et dispositifs des médias</x:v>
      </x:c>
      <x:c r="B2" s="78"/>
      <x:c r="C2" s="78"/>
      <x:c r="D2" s="78"/>
      <x:c r="E2" s="78"/>
      <x:c r="F2" s="78"/>
      <x:c r="G2" s="78"/>
      <x:c r="H2" s="78"/>
      <x:c r="I2" s="78"/>
      <x:c r="J2" s="78"/>
      <x:c r="K2" s="78"/>
      <x:c r="L2" s="78"/>
      <x:c r="M2" s="78"/>
      <x:c r="N2" s="78"/>
      <x:c r="O2" s="78"/>
      <x:c r="P2" s="78"/>
      <x:c r="Q2" s="78"/>
      <x:c r="R2" s="78"/>
      <x:c r="S2" s="78"/>
      <x:c r="T2" s="78"/>
      <x:c r="U2" s="78"/>
    </x:row>
    <x:row r="3" ht="8" customHeight="1">
      <x:c r="A3" s="80"/>
      <x:c r="B3" s="80"/>
      <x:c r="C3" s="80"/>
      <x:c r="D3" s="80"/>
      <x:c r="E3" s="80"/>
      <x:c r="F3" s="80"/>
      <x:c r="G3" s="80"/>
      <x:c r="H3" s="80"/>
      <x:c r="I3" s="80"/>
      <x:c r="J3" s="80"/>
      <x:c r="K3" s="80"/>
      <x:c r="L3" s="80"/>
      <x:c r="M3" s="80"/>
      <x:c r="N3" s="80"/>
      <x:c r="O3" s="80"/>
      <x:c r="P3" s="80"/>
      <x:c r="Q3" s="80"/>
      <x:c r="R3" s="80"/>
      <x:c r="S3" s="80"/>
      <x:c r="T3" s="80"/>
      <x:c r="U3" s="80"/>
    </x:row>
    <x:row r="4">
      <x:c r="A4" s="81" t="str">
        <x:v>Chaque entrée conserve son œuvre, sa continuité et sa preuve. Le rôle jouable, les groupes et les adaptations restent des propositions à développer.</x:v>
      </x:c>
      <x:c r="B4" s="78"/>
      <x:c r="C4" s="78"/>
      <x:c r="D4" s="78"/>
      <x:c r="E4" s="78"/>
      <x:c r="F4" s="78"/>
      <x:c r="G4" s="78"/>
      <x:c r="H4" s="78"/>
      <x:c r="I4" s="78"/>
      <x:c r="J4" s="78"/>
      <x:c r="K4" s="78"/>
      <x:c r="L4" s="78"/>
      <x:c r="M4" s="78"/>
      <x:c r="N4" s="78"/>
      <x:c r="O4" s="78"/>
      <x:c r="P4" s="78"/>
      <x:c r="Q4" s="78"/>
      <x:c r="R4" s="78"/>
      <x:c r="S4" s="78"/>
      <x:c r="T4" s="78"/>
      <x:c r="U4" s="78"/>
    </x:row>
    <x:row r="5">
      <x:c r="A5" s="94" t="str">
        <x:v>115 lignes</x:v>
      </x:c>
      <x:c r="B5" s="78"/>
      <x:c r="C5" s="78"/>
      <x:c r="D5" s="78"/>
      <x:c r="E5" s="78"/>
      <x:c r="F5" s="78"/>
      <x:c r="G5" s="78"/>
      <x:c r="H5" s="78"/>
      <x:c r="I5" s="78"/>
      <x:c r="J5" s="78"/>
      <x:c r="K5" s="78"/>
      <x:c r="L5" s="78"/>
      <x:c r="M5" s="78"/>
      <x:c r="N5" s="78"/>
      <x:c r="O5" s="78"/>
      <x:c r="P5" s="78"/>
      <x:c r="Q5" s="78"/>
      <x:c r="R5" s="78"/>
      <x:c r="S5" s="78"/>
      <x:c r="T5" s="78"/>
      <x:c r="U5" s="78"/>
    </x:row>
    <x:row r="6" ht="36" customHeight="1">
      <x:c r="A6" s="91" t="str">
        <x:v>ID</x:v>
      </x:c>
      <x:c r="B6" s="92" t="str">
        <x:v>Famille / faction</x:v>
      </x:c>
      <x:c r="C6" s="92" t="str">
        <x:v>Profil, forme ou dispositif</x:v>
      </x:c>
      <x:c r="D6" s="92" t="str">
        <x:v>Nature de l’entrée</x:v>
      </x:c>
      <x:c r="E6" s="92" t="str">
        <x:v>Éligibilité au spawn</x:v>
      </x:c>
      <x:c r="F6" s="92" t="str">
        <x:v>Œuvre de référence</x:v>
      </x:c>
      <x:c r="G6" s="92" t="str">
        <x:v>Média</x:v>
      </x:c>
      <x:c r="H6" s="92" t="str">
        <x:v>Continuité / périmètre</x:v>
      </x:c>
      <x:c r="I6" s="92" t="str">
        <x:v>Niveau de preuve</x:v>
      </x:c>
      <x:c r="J6" s="92" t="str">
        <x:v>Fait établi par la source</x:v>
      </x:c>
      <x:c r="K6" s="92" t="str">
        <x:v>Source et portée</x:v>
      </x:c>
      <x:c r="L6" s="92" t="str">
        <x:v>URL de la source</x:v>
      </x:c>
      <x:c r="M6" s="92" t="str">
        <x:v>État dans le code 0f37cc52</x:v>
      </x:c>
      <x:c r="N6" s="92" t="str">
        <x:v>Preuve de code / limites</x:v>
      </x:c>
      <x:c r="O6" s="92" t="str">
        <x:v>Travail restant proposé</x:v>
      </x:c>
      <x:c r="P6" s="92" t="str">
        <x:v>Rôle de combat proposé</x:v>
      </x:c>
      <x:c r="Q6" s="92" t="str">
        <x:v>Règle de groupe proposée</x:v>
      </x:c>
      <x:c r="R6" s="92" t="str">
        <x:v>Affrontements compatibles</x:v>
      </x:c>
      <x:c r="S6" s="92" t="str">
        <x:v>Lieux compatibles</x:v>
      </x:c>
      <x:c r="T6" s="92" t="str">
        <x:v>Restrictions de cohérence</x:v>
      </x:c>
      <x:c r="U6" s="93" t="str">
        <x:v>Priorité</x:v>
      </x:c>
    </x:row>
    <x:row r="7" ht="103.5" customHeight="1">
      <x:c r="A7" s="70" t="str">
        <x:v>XEN-001</x:v>
      </x:c>
      <x:c r="B7" s="70" t="str">
        <x:v>Xénomorphes</x:v>
      </x:c>
      <x:c r="C7" s="70" t="str">
        <x:v>Œuf / Ovomorphe</x:v>
      </x:c>
      <x:c r="D7" s="70" t="str">
        <x:v>Stade de vie — structure reproductrice</x:v>
      </x:c>
      <x:c r="E7" s="70" t="str">
        <x:v>commun</x:v>
      </x:c>
      <x:c r="F7" s="70" t="str">
        <x:v>Aliens versus Predator: Extinction</x:v>
      </x:c>
      <x:c r="G7" s="70" t="str">
        <x:v>Jeu</x:v>
      </x:c>
      <x:c r="H7" s="70" t="str">
        <x:v>Cycle du jeu Extinction ; les règles d’hôtes restent propres à cette œuvre.</x:v>
      </x:c>
      <x:c r="I7" s="70" t="str">
        <x:v>Confirmé dans l’œuvre référencée ; adaptation de gameplay distincte</x:v>
      </x:c>
      <x:c r="J7" s="70" t="str">
        <x:v>L’œuf libère un Facehugger.</x:v>
      </x:c>
      <x:c r="K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7" s="77" t="str">
        <x:v>https://gamingalexandria.com/ps2/Aliens%20Versus%20Predator%20Extinction/Aliens%20Versus%20Predator%20Extinction%20-%20Manual.pdf</x:v>
      </x:c>
      <x:c r="M7" s="70" t="str">
        <x:v>Partiel — modèle/spawn et comportement présents dans le code ; exécution non certifiée au SHA audité</x:v>
      </x:c>
      <x:c r="N7" s="70" t="str">
        <x:v>0f37cc52f9d83a4abecc17b80f7bfc67701677cf — js/entities/XenomorphHorde.js:1156–1210 (géométrie et états des œufs) ; https://github.com/darknigthmare/Yautja-hive-warriors/blob/0f37cc52f9d83a4abecc17b80f7bfc67701677cf/js/entities/XenomorphHorde.js#L1156-L1210 ; 0f37cc52f9d83a4abecc17b80f7bfc67701677cf — js/entities/XenomorphHorde.js:1785–1851 (éclosion à proximité) ; https://github.com/darknigthmare/Yautja-hive-warriors/blob/0f37cc52f9d83a4abecc17b80f7bfc67701677cf/js/entities/XenomorphHorde.js#L1785-L1851</x:v>
      </x:c>
      <x:c r="O7" s="70" t="str">
        <x:v>Remplacer la distribution autour du joueur par des nurseries persistantes, reliées aux hôtes et aux réserves de la ruche.</x:v>
      </x:c>
      <x:c r="P7" s="70" t="str">
        <x:v>Proposition : objectif de décontamination et obstacle à progression, sans équivalent soldat.</x:v>
      </x:c>
      <x:c r="Q7" s="70" t="str">
        <x:v>Proposition : amas de 4–8 œufs placés à l’édition ; chaque éclosion débite un stock, sans duplication à chaque vague.</x:v>
      </x:c>
      <x:c r="R7" s="70" t="str">
        <x:v>X/H, X/Y, X/Y/H : attestés dans le cadre AVP Extinction.</x:v>
      </x:c>
      <x:c r="S7" s="70" t="str">
        <x:v>X-L01 — LV-742 — zones de guerre d’Extinction
X-L09 — Pyramide antarctique</x:v>
      </x:c>
      <x:c r="T7" s="70" t="str">
        <x:v>Ne pas compter les œufs comme combattants actifs ; ne pas imposer une même nursery à toutes les époques.</x:v>
      </x:c>
      <x:c r="U7" s="70" t="str">
        <x:v>P1</x:v>
      </x:c>
    </x:row>
    <x:row r="8" ht="184.5" customHeight="1">
      <x:c r="A8" s="71" t="str">
        <x:v>XEN-002</x:v>
      </x:c>
      <x:c r="B8" s="71" t="str">
        <x:v>Xénomorphes</x:v>
      </x:c>
      <x:c r="C8" s="71" t="str">
        <x:v>Facehugger</x:v>
      </x:c>
      <x:c r="D8" s="71" t="str">
        <x:v>Stade de vie — parasitoïde</x:v>
      </x:c>
      <x:c r="E8" s="71" t="str">
        <x:v>commun</x:v>
      </x:c>
      <x:c r="F8" s="71" t="str">
        <x:v>Aliens versus Predator: Extinction ; Alien: Covenant</x:v>
      </x:c>
      <x:c r="G8" s="71" t="str">
        <x:v>Jeu ; film</x:v>
      </x:c>
      <x:c r="H8" s="71" t="str">
        <x:v>Cycle vérifié dans Extinction ; représentation filmique confirmée séparément.</x:v>
      </x:c>
      <x:c r="I8" s="71" t="str">
        <x:v>Confirmé dans l’œuvre référencée ; adaptation de gameplay distincte</x:v>
      </x:c>
      <x:c r="J8" s="71" t="str">
        <x:v>Le Facehugger implante le Chestburster.</x:v>
      </x:c>
      <x:c r="K8"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8" s="76" t="str">
        <x:v>https://gamingalexandria.com/ps2/Aliens%20Versus%20Predator%20Extinction/Aliens%20Versus%20Predator%20Extinction%20-%20Manual.pdf
https://store.necaonline.com/blogs/news/massive-photo-gallery-alien-covenant-products-revealed-1</x:v>
      </x:c>
      <x:c r="M8" s="71" t="str">
        <x:v>Partiel — modèle/spawn et comportement présents dans le code ; exécution non certifiée au SHA audité</x:v>
      </x:c>
      <x:c r="N8" s="71" t="str">
        <x:v>0f37cc52f9d83a4abecc17b80f7bfc67701677cf — js/entities/XenomorphHorde.js:1267–1289 (mesh Facehugger) ; https://github.com/darknigthmare/Yautja-hive-warriors/blob/0f37cc52f9d83a4abecc17b80f7bfc67701677cf/js/entities/XenomorphHorde.js#L1267-L1289 ; 0f37cc52f9d83a4abecc17b80f7bfc67701677cf — js/entities/XenomorphHorde.js:2799–2808 (accrochage au joueur) ; https://github.com/darknigthmare/Yautja-hive-warriors/blob/0f37cc52f9d83a4abecc17b80f7bfc67701677cf/js/entities/XenomorphHorde.js#L2799-L2808</x:v>
      </x:c>
      <x:c r="O8" s="71" t="str">
        <x:v>Séparer recherche d’hôte, bond, accrochage, implantation et neutralisation ; filtrer les hôtes compatibles et les unités mécaniques.</x:v>
      </x:c>
      <x:c r="P8" s="71" t="str">
        <x:v>Proposition : pression de proximité et secours d’un allié saisi.</x:v>
      </x:c>
      <x:c r="Q8" s="71" t="str">
        <x:v>Proposition : petit lot issu d’œufs identifiés ; un parasite par hôte ; capacité de secours explicite.</x:v>
      </x:c>
      <x:c r="R8" s="71" t="str">
        <x:v>AVP : X/H, X/Y et X/Y/H. Films Alien : Yautja uniquement en scénario crossover déclaré.</x:v>
      </x:c>
      <x:c r="S8" s="71" t="str">
        <x:v>X-L01 — LV-742 — zones de guerre d’Extinction
X-L09 — Pyramide antarctique
X-L10 — Monde exploré par Covenant</x:v>
      </x:c>
      <x:c r="T8" s="71" t="str">
        <x:v>Le Facehugger royal ailé actuel ne devient pas une variante prouvée du Facehugger standard par simple alias.</x:v>
      </x:c>
      <x:c r="U8" s="71" t="str">
        <x:v>P1</x:v>
      </x:c>
    </x:row>
    <x:row r="9" ht="184.5" customHeight="1">
      <x:c r="A9" s="70" t="str">
        <x:v>XEN-003</x:v>
      </x:c>
      <x:c r="B9" s="70" t="str">
        <x:v>Xénomorphes</x:v>
      </x:c>
      <x:c r="C9" s="70" t="str">
        <x:v>Chestburster</x:v>
      </x:c>
      <x:c r="D9" s="70" t="str">
        <x:v>Stade de vie — juvénile</x:v>
      </x:c>
      <x:c r="E9" s="70" t="str">
        <x:v>commun</x:v>
      </x:c>
      <x:c r="F9" s="70" t="str">
        <x:v>Aliens versus Predator: Extinction ; Alien: Covenant</x:v>
      </x:c>
      <x:c r="G9" s="70" t="str">
        <x:v>Jeu ; film</x:v>
      </x:c>
      <x:c r="H9" s="70" t="str">
        <x:v>Stade distinct du combattant adulte ; temps de maturation à fixer par adaptation.</x:v>
      </x:c>
      <x:c r="I9" s="70" t="str">
        <x:v>Confirmé dans l’œuvre référencée ; adaptation de gameplay distincte</x:v>
      </x:c>
      <x:c r="J9" s="70" t="str">
        <x:v>Le Chestburster est un stade du cycle Alien.</x:v>
      </x:c>
      <x:c r="K9"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9" s="77" t="str">
        <x:v>https://gamingalexandria.com/ps2/Aliens%20Versus%20Predator%20Extinction/Aliens%20Versus%20Predator%20Extinction%20-%20Manual.pdf
https://store.necaonline.com/blogs/news/massive-photo-gallery-alien-covenant-products-revealed-1</x:v>
      </x:c>
      <x:c r="M9" s="70" t="str">
        <x:v>Partiel — modèle/spawn et comportement présents dans le code ; exécution non certifiée au SHA audité</x:v>
      </x:c>
      <x:c r="N9" s="70" t="str">
        <x:v>0f37cc52f9d83a4abecc17b80f7bfc67701677cf — js/entities/XenomorphHorde.js:1437–1451 (mesh juvénile) ; https://github.com/darknigthmare/Yautja-hive-warriors/blob/0f37cc52f9d83a4abecc17b80f7bfc67701677cf/js/entities/XenomorphHorde.js#L1437-L1451 ; 0f37cc52f9d83a4abecc17b80f7bfc67701677cf — js/entities/XenomorphHorde.js:1671–1682 (spawn) ; https://github.com/darknigthmare/Yautja-hive-warriors/blob/0f37cc52f9d83a4abecc17b80f7bfc67701677cf/js/entities/XenomorphHorde.js#L1671-L1682 ; 0f37cc52f9d83a4abecc17b80f7bfc67701677cf — js/entities/XenomorphHorde.js:1853–1865 (poursuite et dégâts continus) ; https://github.com/darknigthmare/Yautja-hive-warriors/blob/0f37cc52f9d83a4abecc17b80f7bfc67701677cf/js/entities/XenomorphHorde.js#L1853-L1865</x:v>
      </x:c>
      <x:c r="O9" s="70" t="str">
        <x:v>Remplacer la poursuite de mêlée générique par fuite vers abri, maturation persistante et transformation avec débit de réserve.</x:v>
      </x:c>
      <x:c r="P9" s="70" t="str">
        <x:v>Proposition : alerte biologique et objectif de confinement.</x:v>
      </x:c>
      <x:c r="Q9" s="70" t="str">
        <x:v>Proposition : un juvénile par événement d’éclosion ; pas de nuée de soldats miniatures sans origine.</x:v>
      </x:c>
      <x:c r="R9" s="70" t="str">
        <x:v>AVP : X/H, X/Y et X/Y/H ; autres œuvres selon scénario.</x:v>
      </x:c>
      <x:c r="S9" s="70" t="str">
        <x:v>X-L01 — LV-742 — zones de guerre d’Extinction
X-L09 — Pyramide antarctique
X-L10 — Monde exploré par Covenant</x:v>
      </x:c>
      <x:c r="T9" s="70" t="str">
        <x:v>Les salves de juvéniles régurgités du BossManager ne sont pas attestées par cette preuve du cycle standard.</x:v>
      </x:c>
      <x:c r="U9" s="70" t="str">
        <x:v>P1</x:v>
      </x:c>
    </x:row>
    <x:row r="10" ht="184.5" customHeight="1">
      <x:c r="A10" s="71" t="str">
        <x:v>XEN-004</x:v>
      </x:c>
      <x:c r="B10" s="71" t="str">
        <x:v>Xénomorphes</x:v>
      </x:c>
      <x:c r="C10" s="71" t="str">
        <x:v>Drone — profils Extinction et Fireteam Elite</x:v>
      </x:c>
      <x:c r="D10" s="71" t="str">
        <x:v>Archétype adulte de jeu</x:v>
      </x:c>
      <x:c r="E10" s="71" t="str">
        <x:v>élite</x:v>
      </x:c>
      <x:c r="F10" s="71" t="str">
        <x:v>Aliens versus Predator: Extinction ; Aliens: Fireteam Elite</x:v>
      </x:c>
      <x:c r="G10" s="71" t="str">
        <x:v>Jeu</x:v>
      </x:c>
      <x:c r="H10" s="71" t="str">
        <x:v>Deux profils de jeux à séparer ; aucun arbre biologique universel. Le scénario choisit explicitement son profil.</x:v>
      </x:c>
      <x:c r="I10" s="71" t="str">
        <x:v>Confirmé dans l’œuvre référencée ; adaptation de gameplay distincte</x:v>
      </x:c>
      <x:c r="J10" s="71" t="str">
        <x:v>Extinction et Fireteam Elite nomment le Drone.</x:v>
      </x:c>
      <x:c r="K10"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0" s="76" t="str">
        <x:v>https://gamingalexandria.com/ps2/Aliens%20Versus%20Predator%20Extinction/Aliens%20Versus%20Predator%20Extinction%20-%20Manual.pdf
https://www.aliensfireteamelite.com/en/releasenotes/</x:v>
      </x:c>
      <x:c r="M10" s="71" t="str">
        <x:v>Nominal ou voisin — forme apparentée présente ; identité officielle et profil dédié non établis</x:v>
      </x:c>
      <x:c r="N10" s="71" t="str">
        <x:v>0f37cc52f9d83a4abecc17b80f7bfc67701677cf — js/entities/XenomorphHorde.js:139–188 (warrior et wallStalker, aucun type drone dédié) ; https://github.com/darknigthmare/Yautja-hive-warriors/blob/0f37cc52f9d83a4abecc17b80f7bfc67701677cf/js/entities/XenomorphHorde.js#L139-L188</x:v>
      </x:c>
      <x:c r="O10" s="71" t="str">
        <x:v>Créer un profil Drone distinct du Warrior : repérage, attaque courte, retrait et repositionnement avec mémoire.</x:v>
      </x:c>
      <x:c r="P10" s="71" t="str">
        <x:v>Proposition : menace de chasse dans les espaces secondaires.</x:v>
      </x:c>
      <x:c r="Q10" s="71" t="str">
        <x:v>Proposition : un chasseur par secteur actif ; intervalles de réapparition issus du réseau de conduits.</x:v>
      </x:c>
      <x:c r="R10" s="71" t="str">
        <x:v>X/Y/H natif pour le profil Extinction ; X/H natif pour Fireteam Elite, Yautja en crossover déclaré.</x:v>
      </x:c>
      <x:c r="S10" s="71" t="str">
        <x:v>X-L01 — LV-742 — zones de guerre d’Extinction
X-L02 — Katanga — secteur industriel
X-L03 — LV-895 — ruines des Engineers et foyer Pathogen
X-L05 — Sevastopol</x:v>
      </x:c>
      <x:c r="T10" s="71" t="str">
        <x:v>La compatibilité Sevastopol vise le style de traque ; elle ne prouve pas que son Alien possède la classe Fireteam Elite.</x:v>
      </x:c>
      <x:c r="U10" s="71" t="str">
        <x:v>P1</x:v>
      </x:c>
    </x:row>
    <x:row r="11" ht="265.5" customHeight="1">
      <x:c r="A11" s="70" t="str">
        <x:v>XEN-005</x:v>
      </x:c>
      <x:c r="B11" s="70" t="str">
        <x:v>Xénomorphes</x:v>
      </x:c>
      <x:c r="C11" s="70" t="str">
        <x:v>Warrior</x:v>
      </x:c>
      <x:c r="D11" s="70" t="str">
        <x:v>Archétype adulte / phénotype de combat</x:v>
      </x:c>
      <x:c r="E11" s="70" t="str">
        <x:v>commun</x:v>
      </x:c>
      <x:c r="F11" s="70" t="str">
        <x:v>Aliens versus Predator: Extinction ; Aliens: Fireteam Elite ; AVP</x:v>
      </x:c>
      <x:c r="G11" s="70" t="str">
        <x:v>Jeu ; film</x:v>
      </x:c>
      <x:c r="H11" s="70" t="str">
        <x:v>Profils distincts par œuvre ; ne pas fusionner silhouette et statistiques entre jeux.</x:v>
      </x:c>
      <x:c r="I11" s="70" t="str">
        <x:v>Confirmé dans l’œuvre référencée ; adaptation de gameplay distincte</x:v>
      </x:c>
      <x:c r="J11" s="70" t="str">
        <x:v>Extinction et Fireteam Elite nomment le Warrior.</x:v>
      </x:c>
      <x:c r="K11"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
X-S11 — Aliens Series 7 — AVP Warrior Alien et Grid Alien
NECA ; Présentation officielle de produits licenciés
Portée : Confirme Grid Alien comme représentation nommée du film AVP ; ne documente aucune immunité au netgun.
Consulté le 2026-10-26</x:v>
      </x:c>
      <x:c r="L11" s="77" t="str">
        <x:v>https://gamingalexandria.com/ps2/Aliens%20Versus%20Predator%20Extinction/Aliens%20Versus%20Predator%20Extinction%20-%20Manual.pdf
https://www.aliensfireteamelite.com/en/releasenotes/
https://necaonline.com/2016/02/shipping-this-week-god-of-war-iii-ultimate-kratos-deluxe-bat-gremlin-aliens-series-7-action-figures/</x:v>
      </x:c>
      <x:c r="M11" s="70" t="str">
        <x:v>Partiel — modèle/spawn et comportement présents dans le code ; exécution non certifiée au SHA audité</x:v>
      </x:c>
      <x:c r="N11" s="70" t="str">
        <x:v>0f37cc52f9d83a4abecc17b80f7bfc67701677cf — js/entities/XenomorphHorde.js:139–188 (warrior de repli dans les vagues) ; https://github.com/darknigthmare/Yautja-hive-warriors/blob/0f37cc52f9d83a4abecc17b80f7bfc67701677cf/js/entities/XenomorphHorde.js#L139-L188 ; 0f37cc52f9d83a4abecc17b80f7bfc67701677cf — js/entities/XenomorphHorde.js:2179–2450 (IA partagée et escalade abstraite) ; https://github.com/darknigthmare/Yautja-hive-warriors/blob/0f37cc52f9d83a4abecc17b80f7bfc67701677cf/js/entities/XenomorphHorde.js#L2179-L2450</x:v>
      </x:c>
      <x:c r="O11" s="70" t="str">
        <x:v>Définir des profils par continuité, des trajectoires de ruche et des attaques contre les unités de faction.</x:v>
      </x:c>
      <x:c r="P11" s="70" t="str">
        <x:v>Proposition : corps principal des groupes de ruche.</x:v>
      </x:c>
      <x:c r="Q11" s="70" t="str">
        <x:v>Proposition : cellule de 6–12 adultes avec un chef de secteur de gameplay ; réserves bornées et sortie par conduits.</x:v>
      </x:c>
      <x:c r="R11" s="70" t="str">
        <x:v>X/H ; X/Y et X/Y/H natifs dans AVP, crossover déclaré ailleurs.</x:v>
      </x:c>
      <x:c r="S11" s="70" t="str">
        <x:v>X-L01 — LV-742 — zones de guerre d’Extinction
X-L02 — Katanga — secteur industriel
X-L04 — Lethe — colonie et liaison Pioneer
X-L09 — Pyramide antarctique</x:v>
      </x:c>
      <x:c r="T11" s="70" t="str">
        <x:v>Le chef de secteur est une fonction de jeu proposée, pas une nouvelle caste officielle.</x:v>
      </x:c>
      <x:c r="U11" s="70" t="str">
        <x:v>P1</x:v>
      </x:c>
    </x:row>
    <x:row r="12" ht="184.5" customHeight="1">
      <x:c r="A12" s="71" t="str">
        <x:v>XEN-006</x:v>
      </x:c>
      <x:c r="B12" s="71" t="str">
        <x:v>Xénomorphes</x:v>
      </x:c>
      <x:c r="C12" s="71" t="str">
        <x:v>Runner — profils Extinction et Fireteam Elite</x:v>
      </x:c>
      <x:c r="D12" s="71" t="str">
        <x:v>Archétype mobile de jeu</x:v>
      </x:c>
      <x:c r="E12" s="71" t="str">
        <x:v>commun</x:v>
      </x:c>
      <x:c r="F12" s="71" t="str">
        <x:v>Aliens versus Predator: Extinction ; Aliens: Fireteam Elite</x:v>
      </x:c>
      <x:c r="G12" s="71" t="str">
        <x:v>Jeu</x:v>
      </x:c>
      <x:c r="H12" s="71" t="str">
        <x:v>Profils distincts selon jeu ; les correspondances entre hôtes et descendants d’Extinction ne sont pas universelles.</x:v>
      </x:c>
      <x:c r="I12" s="71" t="str">
        <x:v>Confirmé dans l’œuvre référencée ; adaptation de gameplay distincte</x:v>
      </x:c>
      <x:c r="J12" s="71" t="str">
        <x:v>Extinction et Fireteam Elite nomment le Runner.</x:v>
      </x:c>
      <x:c r="K12"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2" s="76" t="str">
        <x:v>https://gamingalexandria.com/ps2/Aliens%20Versus%20Predator%20Extinction/Aliens%20Versus%20Predator%20Extinction%20-%20Manual.pdf
https://www.aliensfireteamelite.com/en/releasenotes/</x:v>
      </x:c>
      <x:c r="M12" s="71" t="str">
        <x:v>Partiel — modèle/spawn et comportement présents dans le code ; exécution non certifiée au SHA audité</x:v>
      </x:c>
      <x:c r="N12" s="71" t="str">
        <x:v>0f37cc52f9d83a4abecc17b80f7bfc67701677cf — js/entities/XenomorphHorde.js:147–188 (type runner et vitesse) ; https://github.com/darknigthmare/Yautja-hive-warriors/blob/0f37cc52f9d83a4abecc17b80f7bfc67701677cf/js/entities/XenomorphHorde.js#L147-L188 ; 0f37cc52f9d83a4abecc17b80f7bfc67701677cf — js/entities/XenomorphHorde.js:1384–1390 (adaptation du mesh) ; https://github.com/darknigthmare/Yautja-hive-warriors/blob/0f37cc52f9d83a4abecc17b80f7bfc67701677cf/js/entities/XenomorphHorde.js#L1384-L1390</x:v>
      </x:c>
      <x:c r="O12" s="71" t="str">
        <x:v>Ajouter locomotion quadrupède crédible, routes basses et contournement sans traverser les obstacles.</x:v>
      </x:c>
      <x:c r="P12" s="71" t="str">
        <x:v>Proposition : flanqueur rapide des fronts ouverts.</x:v>
      </x:c>
      <x:c r="Q12" s="71" t="str">
        <x:v>Proposition : cellule de 8–16 avec un axe d’arrivée lisible ; plafonner les attaquants simultanés autour d’un allié.</x:v>
      </x:c>
      <x:c r="R12" s="71" t="str">
        <x:v>X/Y/H natif en Extinction ; X/H natif dans Fireteam Elite, Yautja en adaptation annoncée.</x:v>
      </x:c>
      <x:c r="S12" s="71" t="str">
        <x:v>X-L01 — LV-742 — zones de guerre d’Extinction
X-L02 — Katanga — secteur industriel
X-L03 — LV-895 — ruines des Engineers et foyer Pathogen
X-L04 — Lethe — colonie et liaison Pioneer</x:v>
      </x:c>
      <x:c r="T12" s="71" t="str">
        <x:v>La vitesse chiffrée et la taille de cellule proposées sont propres au projet, pas des chiffres officiels.</x:v>
      </x:c>
      <x:c r="U12" s="71" t="str">
        <x:v>P1</x:v>
      </x:c>
    </x:row>
    <x:row r="13" ht="198" customHeight="1">
      <x:c r="A13" s="70" t="str">
        <x:v>XEN-007</x:v>
      </x:c>
      <x:c r="B13" s="70" t="str">
        <x:v>Xénomorphes</x:v>
      </x:c>
      <x:c r="C13" s="70" t="str">
        <x:v>Reine Xénomorphe</x:v>
      </x:c>
      <x:c r="D13" s="70" t="str">
        <x:v>Caste reproductrice / dirigeante de ruche</x:v>
      </x:c>
      <x:c r="E13" s="70" t="str">
        <x:v>unique</x:v>
      </x:c>
      <x:c r="F13" s="70" t="str">
        <x:v>Aliens versus Predator: Extinction ; Aliens: Dark Descent ; AVP</x:v>
      </x:c>
      <x:c r="G13" s="70" t="str">
        <x:v>Jeu ; film</x:v>
      </x:c>
      <x:c r="H13" s="70" t="str">
        <x:v>Reine confirmée ; pouvoirs et structure de ruche dépendent de l’œuvre sélectionnée.</x:v>
      </x:c>
      <x:c r="I13" s="70" t="str">
        <x:v>Confirmé dans l’œuvre référencée ; adaptation de gameplay distincte</x:v>
      </x:c>
      <x:c r="J13" s="70" t="str">
        <x:v>Extinction et Dark Descent incluent des reines.</x:v>
      </x:c>
      <x:c r="K13"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3" s="77" t="str">
        <x:v>https://gamingalexandria.com/ps2/Aliens%20Versus%20Predator%20Extinction/Aliens%20Versus%20Predator%20Extinction%20-%20Manual.pdf
https://www.playstation.com/en-us/games/aliens-dark-descent/</x:v>
      </x:c>
      <x:c r="M13" s="70" t="str">
        <x:v>Partiel — modèle/spawn et comportement présents dans le code ; exécution non certifiée au SHA audité</x:v>
      </x:c>
      <x:c r="N13" s="70" t="str">
        <x:v>0f37cc52f9d83a4abecc17b80f7bfc67701677cf — js/entities/Bosses.js:23–54 (types et boss actif singleton) ; https://github.com/darknigthmare/Yautja-hive-warriors/blob/0f37cc52f9d83a4abecc17b80f7bfc67701677cf/js/entities/Bosses.js#L23-L54 ; 0f37cc52f9d83a4abecc17b80f7bfc67701677cf — js/entities/Bosses.js:793–835 (base de modèle à crête) ; https://github.com/darknigthmare/Yautja-hive-warriors/blob/0f37cc52f9d83a4abecc17b80f7bfc67701677cf/js/entities/Bosses.js#L793-L835 ; 0f37cc52f9d83a4abecc17b80f7bfc67701677cf — js/data/levelsData.js:40–56 (boss de la pyramide) ; https://github.com/darknigthmare/Yautja-hive-warriors/blob/0f37cc52f9d83a4abecc17b80f7bfc67701677cf/js/data/levelsData.js#L40-L56</x:v>
      </x:c>
      <x:c r="O13" s="70" t="str">
        <x:v>Relier reine, ponte, gardes et stock de ruche ; éviter les pouvoirs génériques incompatibles ; prévoir plusieurs fronts sans plusieurs reines simultanées obligatoires.</x:v>
      </x:c>
      <x:c r="P13" s="70" t="str">
        <x:v>Proposition : objectif stratégique final dont la neutralisation modifie les renforts.</x:v>
      </x:c>
      <x:c r="Q13" s="70" t="str">
        <x:v>Proposition : une reine de scénario et sa garde ; limiter les escortes par budget et par accès au sanctuaire.</x:v>
      </x:c>
      <x:c r="R13" s="70" t="str">
        <x:v>X/Y/H natif en Extinction ; X/H dans Dark Descent, Yautja en adaptation AVP distincte.</x:v>
      </x:c>
      <x:c r="S13" s="70" t="str">
        <x:v>X-L01 — LV-742 — zones de guerre d’Extinction
X-L04 — Lethe — colonie et liaison Pioneer
X-L09 — Pyramide antarctique</x:v>
      </x:c>
      <x:c r="T13" s="70" t="str">
        <x:v>Une reine par opération est une proposition de budget ; ce n’est pas une loi biologique universelle. Ne pas confondre reine et Offspring.</x:v>
      </x:c>
      <x:c r="U13" s="70" t="str">
        <x:v>P1</x:v>
      </x:c>
    </x:row>
    <x:row r="14" ht="198" customHeight="1">
      <x:c r="A14" s="71" t="str">
        <x:v>XEN-008</x:v>
      </x:c>
      <x:c r="B14" s="71" t="str">
        <x:v>Xénomorphes</x:v>
      </x:c>
      <x:c r="C14" s="71" t="str">
        <x:v>Praetorian</x:v>
      </x:c>
      <x:c r="D14" s="71" t="str">
        <x:v>Caste de jeu</x:v>
      </x:c>
      <x:c r="E14" s="71" t="str">
        <x:v>élite</x:v>
      </x:c>
      <x:c r="F14" s="71" t="str">
        <x:v>Aliens versus Predator: Extinction ; Aliens: Dark Descent</x:v>
      </x:c>
      <x:c r="G14" s="71" t="str">
        <x:v>Jeux</x:v>
      </x:c>
      <x:c r="H14" s="71" t="str">
        <x:v>Deux profils à séparer ; les transformations d’Extinction ne s’imposent pas aux autres œuvres.</x:v>
      </x:c>
      <x:c r="I14" s="71" t="str">
        <x:v>Confirmé dans l’œuvre référencée ; adaptation de gameplay distincte</x:v>
      </x:c>
      <x:c r="J14" s="71" t="str">
        <x:v>Extinction permet des métamorphoses de Praetorian.</x:v>
      </x:c>
      <x:c r="K14"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X-S21 — Aliens: Dark Descent — page officielle PlayStation
PlayStation / Focus Entertainment ; Fiche de distribution officielle
Portée : Roster annoncé comprenant Facehuggers, Praetorians, Queens et commandos humains ; aucune preuve d’une présence Yautja dans cette histoire.
Consulté le 2026-10-26</x:v>
      </x:c>
      <x:c r="L14" s="76" t="str">
        <x:v>https://gamingalexandria.com/ps2/Aliens%20Versus%20Predator%20Extinction/Aliens%20Versus%20Predator%20Extinction%20-%20Manual.pdf
https://www.playstation.com/en-us/games/aliens-dark-descent/</x:v>
      </x:c>
      <x:c r="M14" s="71" t="str">
        <x:v>Partiel — modèle/spawn et comportement présents dans le code ; exécution non certifiée au SHA audité</x:v>
      </x:c>
      <x:c r="N14" s="71" t="str">
        <x:v>0f37cc52f9d83a4abecc17b80f7bfc67701677cf — js/entities/XenomorphHorde.js:1015–1047 (spawn Praetorian) ; https://github.com/darknigthmare/Yautja-hive-warriors/blob/0f37cc52f9d83a4abecc17b80f7bfc67701677cf/js/entities/XenomorphHorde.js#L1015-L1047 ; 0f37cc52f9d83a4abecc17b80f7bfc67701677cf — js/entities/XenomorphHorde.js:2451–2459 (attaque acide) ; https://github.com/darknigthmare/Yautja-hive-warriors/blob/0f37cc52f9d83a4abecc17b80f7bfc67701677cf/js/entities/XenomorphHorde.js#L2451-L2459 ; 0f37cc52f9d83a4abecc17b80f7bfc67701677cf — js/data/levelsData.js:76–92 (alias boss praetorian non dédié) ; https://github.com/darknigthmare/Yautja-hive-warriors/blob/0f37cc52f9d83a4abecc17b80f7bfc67701677cf/js/data/levelsData.js#L76-L92</x:v>
      </x:c>
      <x:c r="O14" s="71" t="str">
        <x:v>Créer garde de reine, priorité de défense et animations ; corriger le bossType praetorian qui utilise le repli du BossManager.</x:v>
      </x:c>
      <x:c r="P14" s="71" t="str">
        <x:v>Proposition : élite qui tient un goulot et protège le centre reproducteur.</x:v>
      </x:c>
      <x:c r="Q14" s="71" t="str">
        <x:v>Proposition : 1–2 gardes par sanctuaire, avec relève depuis la réserve ; pas deux automatiques sur toutes les cartes.</x:v>
      </x:c>
      <x:c r="R14" s="71" t="str">
        <x:v>X/H ; X/Y et X/Y/H natifs en Extinction, adaptation déclarée pour Dark Descent.</x:v>
      </x:c>
      <x:c r="S14" s="71" t="str">
        <x:v>X-L01 — LV-742 — zones de guerre d’Extinction
X-L04 — Lethe — colonie et liaison Pioneer
X-L09 — Pyramide antarctique</x:v>
      </x:c>
      <x:c r="T14" s="71" t="str">
        <x:v>Ne pas traiter Praetorian comme une simple reine miniature ; pas de transformation automatique entre continuités.</x:v>
      </x:c>
      <x:c r="U14" s="71" t="str">
        <x:v>P1</x:v>
      </x:c>
    </x:row>
    <x:row r="15" ht="103.5" customHeight="1">
      <x:c r="A15" s="70" t="str">
        <x:v>XEN-009</x:v>
      </x:c>
      <x:c r="B15" s="70" t="str">
        <x:v>Xénomorphes</x:v>
      </x:c>
      <x:c r="C15" s="70" t="str">
        <x:v>Carrier</x:v>
      </x:c>
      <x:c r="D15" s="70" t="str">
        <x:v>Caste de jeu</x:v>
      </x:c>
      <x:c r="E15" s="70" t="str">
        <x:v>élite</x:v>
      </x:c>
      <x:c r="F15" s="70" t="str">
        <x:v>Aliens versus Predator: Extinction</x:v>
      </x:c>
      <x:c r="G15" s="70" t="str">
        <x:v>Jeu</x:v>
      </x:c>
      <x:c r="H15" s="70" t="str">
        <x:v>Unité propre au roster Extinction.</x:v>
      </x:c>
      <x:c r="I15" s="70" t="str">
        <x:v>Confirmé dans l’œuvre référencée ; adaptation de gameplay distincte</x:v>
      </x:c>
      <x:c r="J15" s="70" t="str">
        <x:v>Carrier est une transformation disponible dans Extinction.</x:v>
      </x:c>
      <x:c r="K15"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5" s="77" t="str">
        <x:v>https://gamingalexandria.com/ps2/Aliens%20Versus%20Predator%20Extinction/Aliens%20Versus%20Predator%20Extinction%20-%20Manual.pdf</x:v>
      </x:c>
      <x:c r="M15" s="70" t="str">
        <x:v>Absent dans le périmètre audité — modèle/spawn/IA dédiés non trouvés</x:v>
      </x:c>
      <x:c r="N1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5" s="70" t="str">
        <x:v>Ajouter modèle, réserves de parasites transportées, lâcher télégraphié et comportement d’escorte ; aucune équivalence dans le code actuel.</x:v>
      </x:c>
      <x:c r="P15" s="70" t="str">
        <x:v>Proposition : transport biologique qui contourne une position tenue.</x:v>
      </x:c>
      <x:c r="Q15" s="70" t="str">
        <x:v>Proposition : un Carrier avec 4–8 gardes ; nombre de parasites embarqués limité par opération.</x:v>
      </x:c>
      <x:c r="R15" s="70" t="str">
        <x:v>X/H, X/Y, X/Y/H natifs dans Extinction.</x:v>
      </x:c>
      <x:c r="S15" s="70" t="str">
        <x:v>X-L01 — LV-742 — zones de guerre d’Extinction</x:v>
      </x:c>
      <x:c r="T15" s="70" t="str">
        <x:v>Le mot carrier présent dans AudioEngine et APCVehicle ne désigne pas cette caste. Taille et mécanique du transport restent à valider sur le jeu.</x:v>
      </x:c>
      <x:c r="U15" s="70" t="str">
        <x:v>P1</x:v>
      </x:c>
    </x:row>
    <x:row r="16" ht="103.5" customHeight="1">
      <x:c r="A16" s="71" t="str">
        <x:v>XEN-010</x:v>
      </x:c>
      <x:c r="B16" s="71" t="str">
        <x:v>Xénomorphes</x:v>
      </x:c>
      <x:c r="C16" s="71" t="str">
        <x:v>Ravager</x:v>
      </x:c>
      <x:c r="D16" s="71" t="str">
        <x:v>Caste de jeu</x:v>
      </x:c>
      <x:c r="E16" s="71" t="str">
        <x:v>élite</x:v>
      </x:c>
      <x:c r="F16" s="71" t="str">
        <x:v>Aliens versus Predator: Extinction</x:v>
      </x:c>
      <x:c r="G16" s="71" t="str">
        <x:v>Jeu</x:v>
      </x:c>
      <x:c r="H16" s="71" t="str">
        <x:v>Unité propre au roster Extinction.</x:v>
      </x:c>
      <x:c r="I16" s="71" t="str">
        <x:v>Confirmé dans l’œuvre référencée ; adaptation de gameplay distincte</x:v>
      </x:c>
      <x:c r="J16" s="71" t="str">
        <x:v>Ravager est une transformation disponible dans Extinction.</x:v>
      </x:c>
      <x:c r="K16"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6" s="76" t="str">
        <x:v>https://gamingalexandria.com/ps2/Aliens%20Versus%20Predator%20Extinction/Aliens%20Versus%20Predator%20Extinction%20-%20Manual.pdf</x:v>
      </x:c>
      <x:c r="M16" s="71" t="str">
        <x:v>Absent dans le périmètre audité — modèle/spawn/IA dédiés non trouvés</x:v>
      </x:c>
      <x:c r="N1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16" s="71" t="str">
        <x:v>Créer un modèle et un profil de brèche ; valider les capacités exactes dans le bestiaire avant reproduction détaillée.</x:v>
      </x:c>
      <x:c r="P16" s="71" t="str">
        <x:v>Proposition : élite de mêlée qui ouvre un passage fortifié.</x:v>
      </x:c>
      <x:c r="Q16" s="71" t="str">
        <x:v>Proposition : un Ravager par offensive annoncée, 4–8 escortes ; contre-jeu par déviation et accès latéraux.</x:v>
      </x:c>
      <x:c r="R16" s="71" t="str">
        <x:v>X/H, X/Y, X/Y/H natifs dans Extinction.</x:v>
      </x:c>
      <x:c r="S16" s="71" t="str">
        <x:v>X-L01 — LV-742 — zones de guerre d’Extinction</x:v>
      </x:c>
      <x:c r="T16" s="71" t="str">
        <x:v>La fonction de brèche proposée ne certifie aucune immunité ou statistique du jeu source.</x:v>
      </x:c>
      <x:c r="U16" s="71" t="str">
        <x:v>P1</x:v>
      </x:c>
    </x:row>
    <x:row r="17" ht="184.5" customHeight="1">
      <x:c r="A17" s="70" t="str">
        <x:v>XEN-011</x:v>
      </x:c>
      <x:c r="B17" s="70" t="str">
        <x:v>Xénomorphes</x:v>
      </x:c>
      <x:c r="C17" s="70" t="str">
        <x:v>Predalien</x:v>
      </x:c>
      <x:c r="D17" s="70" t="str">
        <x:v>Hybride d’hôte ; individu filmique ou unité selon l’œuvre</x:v>
      </x:c>
      <x:c r="E17" s="70" t="str">
        <x:v>unique</x:v>
      </x:c>
      <x:c r="F17" s="70" t="str">
        <x:v>Aliens vs. Predator: Requiem ; Aliens versus Predator: Extinction</x:v>
      </x:c>
      <x:c r="G17" s="70" t="str">
        <x:v>Film ; jeu</x:v>
      </x:c>
      <x:c r="H17" s="70" t="str">
        <x:v>Séparer le Predalien de Requiem des unités du RTS et de leurs règles reproductrices.</x:v>
      </x:c>
      <x:c r="I17" s="70" t="str">
        <x:v>Confirmé dans l’œuvre référencée ; adaptation de gameplay distincte</x:v>
      </x:c>
      <x:c r="J17" s="70" t="str">
        <x:v>Requiem présente un Predalien Hybrid.</x:v>
      </x:c>
      <x:c r="K17" s="70" t="str">
        <x:v>X-S10 — Aliens vs. Predator: Requiem — Predalien Hybrid
NECA ; Présentation officielle de produit licencié
Portée : Confirme le Predalien Hybrid associé au film Requiem ; ne valide pas les sous-types Queen, Elder ou Matriarch Titan du projet.
Consulté le 2026-10-26
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7" s="77" t="str">
        <x:v>https://store.necaonline.com/blogs/news/two-beasts-packaged
https://gamingalexandria.com/ps2/Aliens%20Versus%20Predator%20Extinction/Aliens%20Versus%20Predator%20Extinction%20-%20Manual.pdf</x:v>
      </x:c>
      <x:c r="M17" s="70" t="str">
        <x:v>Nominal ou voisin — forme apparentée présente ; identité officielle et profil dédié non établis</x:v>
      </x:c>
      <x:c r="N17" s="70" t="str">
        <x:v>0f37cc52f9d83a4abecc17b80f7bfc67701677cf — js/entities/XenomorphHorde.js:421–484 (ancient_predalien) ; https://github.com/darknigthmare/Yautja-hive-warriors/blob/0f37cc52f9d83a4abecc17b80f7bfc67701677cf/js/entities/XenomorphHorde.js#L421-L484 ; 0f37cc52f9d83a4abecc17b80f7bfc67701677cf — js/entities/Bosses.js:25–36 (aliases Predalien Queen/Abomination/Titan) ; https://github.com/darknigthmare/Yautja-hive-warriors/blob/0f37cc52f9d83a4abecc17b80f7bfc67701677cf/js/entities/Bosses.js#L25-L36 ; 0f37cc52f9d83a4abecc17b80f7bfc67701677cf — js/data/levelsData.js:4–20 (Gunnison) ; https://github.com/darknigthmare/Yautja-hive-warriors/blob/0f37cc52f9d83a4abecc17b80f7bfc67701677cf/js/data/levelsData.js#L4-L20</x:v>
      </x:c>
      <x:c r="O17" s="70" t="str">
        <x:v>Remplacer le mélange Queen/Elder/Titan par des profils documentés séparés ; rattacher l’apparition à un hôte Yautja et à un scénario compatible.</x:v>
      </x:c>
      <x:c r="P17" s="70" t="str">
        <x:v>Proposition : boss de traque pour Requiem ; unité rare de mêlée dans une adaptation Extinction.</x:v>
      </x:c>
      <x:c r="Q17" s="70" t="str">
        <x:v>Proposition : profil Requiem unique ; profil RTS rare avec origine et réserve explicites, jamais un ancien ajouté à toute vague.</x:v>
      </x:c>
      <x:c r="R17" s="70" t="str">
        <x:v>X/Y/H natif dans les œuvres AVP.</x:v>
      </x:c>
      <x:c r="S17" s="70" t="str">
        <x:v>X-L01 — LV-742 — zones de guerre d’Extinction
X-L09 — Pyramide antarctique</x:v>
      </x:c>
      <x:c r="T17" s="70" t="str">
        <x:v>Pyramide : crossover de scénario, pas présence historique du Predalien dans AVP 2004. Queen, Ancient Elder et Matriarch Titan ne sont pas établis par ces sources.</x:v>
      </x:c>
      <x:c r="U17" s="70" t="str">
        <x:v>P1</x:v>
      </x:c>
    </x:row>
    <x:row r="18" ht="130.5" customHeight="1">
      <x:c r="A18" s="71" t="str">
        <x:v>XEN-012</x:v>
      </x:c>
      <x:c r="B18" s="71" t="str">
        <x:v>Xénomorphes</x:v>
      </x:c>
      <x:c r="C18" s="71" t="str">
        <x:v>Spitter de Fireteam Elite</x:v>
      </x:c>
      <x:c r="D18" s="71" t="str">
        <x:v>Variante de jeu</x:v>
      </x:c>
      <x:c r="E18" s="71" t="str">
        <x:v>élite</x:v>
      </x:c>
      <x:c r="F18" s="71" t="str">
        <x:v>Aliens: Fireteam Elite</x:v>
      </x:c>
      <x:c r="G18" s="71" t="str">
        <x:v>Jeu</x:v>
      </x:c>
      <x:c r="H18" s="71" t="str">
        <x:v>Profil Fireteam Elite à distinguer du Spitter attribué à Colonial Marines dans les commentaires du projet.</x:v>
      </x:c>
      <x:c r="I18" s="71" t="str">
        <x:v>Confirmé dans l’œuvre référencée ; adaptation de gameplay distincte</x:v>
      </x:c>
      <x:c r="J18" s="71" t="str">
        <x:v>Les correctifs mentionnent les attaques acides du Spitter.</x:v>
      </x:c>
      <x:c r="K18" s="71" t="str">
        <x:v>X-S02 — Aliens: Fireteam Elite — Release Notes
Cold Iron Studios ; Documentation officielle du développeur
Portée : Identifiants d’ennemis et comportements explicitement cités dans les correctifs ; ne documente pas leur généalogie.
Consulté le 2026-10-26</x:v>
      </x:c>
      <x:c r="L18" s="76" t="str">
        <x:v>https://www.aliensfireteamelite.com/en/releasenotes/</x:v>
      </x:c>
      <x:c r="M18" s="71" t="str">
        <x:v>Partiel — modèle/spawn et comportement présents dans le code ; exécution non certifiée au SHA audité</x:v>
      </x:c>
      <x:c r="N18" s="71" t="str">
        <x:v>0f37cc52f9d83a4abecc17b80f7bfc67701677cf — js/entities/XenomorphHorde.js:144–178 (type spitter) ; https://github.com/darknigthmare/Yautja-hive-warriors/blob/0f37cc52f9d83a4abecc17b80f7bfc67701677cf/js/entities/XenomorphHorde.js#L144-L178 ; 0f37cc52f9d83a4abecc17b80f7bfc67701677cf — js/entities/XenomorphHorde.js:1374–1383 (mesh) ; https://github.com/darknigthmare/Yautja-hive-warriors/blob/0f37cc52f9d83a4abecc17b80f7bfc67701677cf/js/entities/XenomorphHorde.js#L1374-L1383 ; 0f37cc52f9d83a4abecc17b80f7bfc67701677cf — js/entities/XenomorphHorde.js:2461–2468 (mortier acide) ; https://github.com/darknigthmare/Yautja-hive-warriors/blob/0f37cc52f9d83a4abecc17b80f7bfc67701677cf/js/entities/XenomorphHorde.js#L2461-L2468</x:v>
      </x:c>
      <x:c r="O18" s="71" t="str">
        <x:v>Choisir l’œuvre et revalider silhouette, trajectoire, recul et cadence ; le mortier actuel ne suffit pas à reproduire le profil officiel.</x:v>
      </x:c>
      <x:c r="P18" s="71" t="str">
        <x:v>Proposition : tir de pression depuis une couverture avec fenêtre d’exposition.</x:v>
      </x:c>
      <x:c r="Q18" s="71" t="str">
        <x:v>Proposition : 1–2 tireurs pour 8–12 adultes ; lignes de tir testées sur passerelles et escaliers.</x:v>
      </x:c>
      <x:c r="R18" s="71" t="str">
        <x:v>X/H natif ; X/Y et X/Y/H en adaptation déclarée.</x:v>
      </x:c>
      <x:c r="S18" s="71" t="str">
        <x:v>X-L02 — Katanga — secteur industriel
X-L03 — LV-895 — ruines des Engineers et foyer Pathogen</x:v>
      </x:c>
      <x:c r="T18" s="71" t="str">
        <x:v>Ne pas affirmer qu’un même nom impose les mêmes propriétés dans Colonial Marines et Fireteam Elite.</x:v>
      </x:c>
      <x:c r="U18" s="71" t="str">
        <x:v>P1</x:v>
      </x:c>
    </x:row>
    <x:row r="19" ht="117" customHeight="1">
      <x:c r="A19" s="70" t="str">
        <x:v>XEN-013</x:v>
      </x:c>
      <x:c r="B19" s="70" t="str">
        <x:v>Xénomorphes</x:v>
      </x:c>
      <x:c r="C19" s="70" t="str">
        <x:v>Burster</x:v>
      </x:c>
      <x:c r="D19" s="70" t="str">
        <x:v>Variante de jeu</x:v>
      </x:c>
      <x:c r="E19" s="70" t="str">
        <x:v>élite</x:v>
      </x:c>
      <x:c r="F19" s="70" t="str">
        <x:v>Aliens: Fireteam Elite</x:v>
      </x:c>
      <x:c r="G19" s="70" t="str">
        <x:v>Jeu</x:v>
      </x:c>
      <x:c r="H19" s="70" t="str">
        <x:v>Variante Fireteam Elite ; aucun alias automatique avec Boiler.</x:v>
      </x:c>
      <x:c r="I19" s="70" t="str">
        <x:v>Confirmé dans l’œuvre référencée ; adaptation de gameplay distincte</x:v>
      </x:c>
      <x:c r="J19" s="70" t="str">
        <x:v>Les correctifs distinguent explosion et projection acide du Burster.</x:v>
      </x:c>
      <x:c r="K19" s="70" t="str">
        <x:v>X-S02 — Aliens: Fireteam Elite — Release Notes
Cold Iron Studios ; Documentation officielle du développeur
Portée : Identifiants d’ennemis et comportements explicitement cités dans les correctifs ; ne documente pas leur généalogie.
Consulté le 2026-10-26</x:v>
      </x:c>
      <x:c r="L19" s="77" t="str">
        <x:v>https://www.aliensfireteamelite.com/en/releasenotes/</x:v>
      </x:c>
      <x:c r="M19" s="70" t="str">
        <x:v>Absent dans le périmètre audité — modèle/spawn/IA dédiés non trouvés</x:v>
      </x:c>
      <x:c r="N1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js/entities/XenomorphHorde.js:2854–2912 (Boiler voisin, identité différente) ; https://github.com/darknigthmare/Yautja-hive-warriors/blob/0f37cc52f9d83a4abecc17b80f7bfc67701677cf/js/entities/XenomorphHorde.js#L2854-L2912</x:v>
      </x:c>
      <x:c r="O19" s="70" t="str">
        <x:v>Créer un identifiant propre, silhouette lisible et danger acide réglé ; garder une séparation explicite avec Boiler.</x:v>
      </x:c>
      <x:c r="P19" s="70" t="str">
        <x:v>Proposition : pression explosive que le joueur peut isoler du groupe.</x:v>
      </x:c>
      <x:c r="Q19" s="70" t="str">
        <x:v>Proposition : 1–2 par cellule ; délai minimal entre deux explosions et itinéraire alternatif sûr.</x:v>
      </x:c>
      <x:c r="R19" s="70" t="str">
        <x:v>X/H natif ; X/Y et X/Y/H en adaptation déclarée.</x:v>
      </x:c>
      <x:c r="S19" s="70" t="str">
        <x:v>X-L02 — Katanga — secteur industriel
X-L03 — LV-895 — ruines des Engineers et foyer Pathogen</x:v>
      </x:c>
      <x:c r="T19" s="70" t="str">
        <x:v>Un Boiler déjà codé ne constitue pas une implémentation du Burster ; les comportements précis restent à comparer au jeu.</x:v>
      </x:c>
      <x:c r="U19" s="70" t="str">
        <x:v>P1</x:v>
      </x:c>
    </x:row>
    <x:row r="20" ht="90" customHeight="1">
      <x:c r="A20" s="71" t="str">
        <x:v>XEN-014</x:v>
      </x:c>
      <x:c r="B20" s="71" t="str">
        <x:v>Xénomorphes</x:v>
      </x:c>
      <x:c r="C20" s="71" t="str">
        <x:v>Crusher de Fireteam Elite</x:v>
      </x:c>
      <x:c r="D20" s="71" t="str">
        <x:v>Variante de jeu</x:v>
      </x:c>
      <x:c r="E20" s="71" t="str">
        <x:v>élite</x:v>
      </x:c>
      <x:c r="F20" s="71" t="str">
        <x:v>Aliens: Fireteam Elite</x:v>
      </x:c>
      <x:c r="G20" s="71" t="str">
        <x:v>Jeu</x:v>
      </x:c>
      <x:c r="H20" s="71" t="str">
        <x:v>Profil documenté dans Fireteam Elite ; éventuelle autre incarnation à cataloguer séparément.</x:v>
      </x:c>
      <x:c r="I20" s="71" t="str">
        <x:v>Confirmé dans l’œuvre référencée ; adaptation de gameplay distincte</x:v>
      </x:c>
      <x:c r="J20" s="71" t="str">
        <x:v>Les correctifs officiels identifient le Crusher.</x:v>
      </x:c>
      <x:c r="K20" s="71" t="str">
        <x:v>X-S02 — Aliens: Fireteam Elite — Release Notes
Cold Iron Studios ; Documentation officielle du développeur
Portée : Identifiants d’ennemis et comportements explicitement cités dans les correctifs ; ne documente pas leur généalogie.
Consulté le 2026-10-26</x:v>
      </x:c>
      <x:c r="L20" s="76" t="str">
        <x:v>https://www.aliensfireteamelite.com/en/releasenotes/</x:v>
      </x:c>
      <x:c r="M20" s="71" t="str">
        <x:v>Partiel — modèle/spawn et comportement présents dans le code ; exécution non certifiée au SHA audité</x:v>
      </x:c>
      <x:c r="N20" s="71" t="str">
        <x:v>0f37cc52f9d83a4abecc17b80f7bfc67701677cf — js/entities/XenomorphHorde.js:986–1013 (spawn Crusher) ; https://github.com/darknigthmare/Yautja-hive-warriors/blob/0f37cc52f9d83a4abecc17b80f7bfc67701677cf/js/entities/XenomorphHorde.js#L986-L1013 ; 0f37cc52f9d83a4abecc17b80f7bfc67701677cf — js/entities/XenomorphHorde.js:2568–2598 (charge) ; https://github.com/darknigthmare/Yautja-hive-warriors/blob/0f37cc52f9d83a4abecc17b80f7bfc67701677cf/js/entities/XenomorphHorde.js#L2568-L2598</x:v>
      </x:c>
      <x:c r="O20" s="71" t="str">
        <x:v>Rendre la charge compatible avec les volumes, angles et unités alliées ; vérifier le profil visuel de la continuité choisie.</x:v>
      </x:c>
      <x:c r="P20" s="71" t="str">
        <x:v>Proposition : briseur de ligne que les alliés doivent esquiver et attirer.</x:v>
      </x:c>
      <x:c r="Q20" s="71" t="str">
        <x:v>Proposition : un Crusher sur un front large ; aucune apparition automatique dans un petit couloir ou à chaque vague.</x:v>
      </x:c>
      <x:c r="R20" s="71" t="str">
        <x:v>X/H natif ; X/Y et X/Y/H en adaptation déclarée.</x:v>
      </x:c>
      <x:c r="S20" s="71" t="str">
        <x:v>X-L02 — Katanga — secteur industriel
X-L03 — LV-895 — ruines des Engineers et foyer Pathogen</x:v>
      </x:c>
      <x:c r="T20" s="71" t="str">
        <x:v>La présence du nom ne valide pas les dégâts, résistances ou dimensions actuels.</x:v>
      </x:c>
      <x:c r="U20" s="71" t="str">
        <x:v>P1</x:v>
      </x:c>
    </x:row>
    <x:row r="21" ht="90" customHeight="1">
      <x:c r="A21" s="70" t="str">
        <x:v>XEN-015</x:v>
      </x:c>
      <x:c r="B21" s="70" t="str">
        <x:v>Xénomorphes</x:v>
      </x:c>
      <x:c r="C21" s="70" t="str">
        <x:v>Prowler</x:v>
      </x:c>
      <x:c r="D21" s="70" t="str">
        <x:v>Variante de jeu</x:v>
      </x:c>
      <x:c r="E21" s="70" t="str">
        <x:v>élite</x:v>
      </x:c>
      <x:c r="F21" s="70" t="str">
        <x:v>Aliens: Fireteam Elite</x:v>
      </x:c>
      <x:c r="G21" s="70" t="str">
        <x:v>Jeu</x:v>
      </x:c>
      <x:c r="H21" s="70" t="str">
        <x:v>Nom et design confirmés par produit officiel du jeu ; détails d’IA à vérifier dans l’œuvre.</x:v>
      </x:c>
      <x:c r="I21" s="70" t="str">
        <x:v>Confirmé : nom et représentation officiels ; comportement détaillé à vérifier</x:v>
      </x:c>
      <x:c r="J21" s="70" t="str">
        <x:v>Le Prowler figure dans la gamme officielle Fireteam Elite.</x:v>
      </x:c>
      <x:c r="K21" s="70" t="str">
        <x:v>X-S05 — Aliens: Fireteam Elite — Prowler Alien
NECA ; Fiche officielle du fabricant licencié
Portée : Confirme le nom et la représentation du Prowler dans Fireteam Elite. Produit dérivé : ne suffit pas à certifier sa biologie ou ses statistiques.
Consulté le 2026-10-26</x:v>
      </x:c>
      <x:c r="L21" s="77" t="str">
        <x:v>https://store.necaonline.com/products/aliens-fireteam-elite-7-scale-action-figure-prowler-alien</x:v>
      </x:c>
      <x:c r="M21" s="70" t="str">
        <x:v>Absent dans le périmètre audité — modèle/spawn/IA dédiés non trouvés</x:v>
      </x:c>
      <x:c r="N21"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1" s="70" t="str">
        <x:v>Créer le profil distinct et vérifier en jeu bond, immobilisation et réponse alliée avant de figer ses attaques.</x:v>
      </x:c>
      <x:c r="P21" s="70" t="str">
        <x:v>Proposition : embuscade rapprochée et opportunité de sauvetage.</x:v>
      </x:c>
      <x:c r="Q21" s="70" t="str">
        <x:v>Proposition : un prédateur par embranchement, annoncé par position ou son ; pas de chaîne de saisies sans contre-jeu.</x:v>
      </x:c>
      <x:c r="R21" s="70" t="str">
        <x:v>X/H natif ; X/Y et X/Y/H en adaptation déclarée.</x:v>
      </x:c>
      <x:c r="S21" s="70" t="str">
        <x:v>X-L02 — Katanga — secteur industriel
X-L03 — LV-895 — ruines des Engineers et foyer Pathogen</x:v>
      </x:c>
      <x:c r="T21" s="70" t="str">
        <x:v>NECA confirme la représentation ; les dimensions de la figurine ne sont pas celles de la créature.</x:v>
      </x:c>
      <x:c r="U21" s="70" t="str">
        <x:v>P1</x:v>
      </x:c>
    </x:row>
    <x:row r="22" ht="90" customHeight="1">
      <x:c r="A22" s="71" t="str">
        <x:v>XEN-016</x:v>
      </x:c>
      <x:c r="B22" s="71" t="str">
        <x:v>Xénomorphes infectés / Pathogène</x:v>
      </x:c>
      <x:c r="C22" s="71" t="str">
        <x:v>Pathogen Runner</x:v>
      </x:c>
      <x:c r="D22" s="71" t="str">
        <x:v>Phénotype muté de Xénomorphe</x:v>
      </x:c>
      <x:c r="E22" s="71" t="str">
        <x:v>commun</x:v>
      </x:c>
      <x:c r="F22" s="71" t="str">
        <x:v>Aliens: Fireteam Elite — Pathogen</x:v>
      </x:c>
      <x:c r="G22" s="71" t="str">
        <x:v>Jeu</x:v>
      </x:c>
      <x:c r="H22" s="71" t="str">
        <x:v>Infection Pathogen spécifique à cette campagne.</x:v>
      </x:c>
      <x:c r="I22" s="71" t="str">
        <x:v>Confirmé dans l’œuvre référencée ; adaptation de gameplay distincte</x:v>
      </x:c>
      <x:c r="J22" s="71" t="str">
        <x:v>Le Runner infecté est plus robuste et plus lent.</x:v>
      </x:c>
      <x:c r="K22"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2" s="76" t="str">
        <x:v>https://www.aliensfireteamelite.com/en/community/pathogen-deep-dive-an-exhilarating-new-story/</x:v>
      </x:c>
      <x:c r="M22" s="71" t="str">
        <x:v>Absent dans le périmètre audité — modèle/spawn/IA dédiés non trouvés</x:v>
      </x:c>
      <x:c r="N2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2" s="71" t="str">
        <x:v>Ajouter sous-faction infectée, matériau, locomotion, réactions à l’acide et règles d’hostilité distinctes des Xénomorphes non infectés.</x:v>
      </x:c>
      <x:c r="P22" s="71" t="str">
        <x:v>Proposition : masse irrégulière des secteurs contaminés.</x:v>
      </x:c>
      <x:c r="Q22" s="71" t="str">
        <x:v>Proposition : 6–12 infectés issus d’un foyer ; aucun mélange aléatoire hors zone Pathogen.</x:v>
      </x:c>
      <x:c r="R22" s="71" t="str">
        <x:v>Pathogen/H et Pathogen/X attestés ; présence Yautja proposée en crossover.</x:v>
      </x:c>
      <x:c r="S22" s="71" t="str">
        <x:v>X-L03 — LV-895 — ruines des Engineers et foyer Pathogen</x:v>
      </x:c>
      <x:c r="T22" s="71" t="str">
        <x:v>Le système de flaques pathogen du projet ne crée pas cette variante ; les limites d’effectifs sont des objectifs de conception.</x:v>
      </x:c>
      <x:c r="U22" s="71" t="str">
        <x:v>P1</x:v>
      </x:c>
    </x:row>
    <x:row r="23" ht="90" customHeight="1">
      <x:c r="A23" s="70" t="str">
        <x:v>XEN-017</x:v>
      </x:c>
      <x:c r="B23" s="70" t="str">
        <x:v>Pathogène — espèce d’origine non établie</x:v>
      </x:c>
      <x:c r="C23" s="70" t="str">
        <x:v>Pathogen Blight</x:v>
      </x:c>
      <x:c r="D23" s="70" t="str">
        <x:v>Organisme muté — ascendance inconnue</x:v>
      </x:c>
      <x:c r="E23" s="70" t="str">
        <x:v>élite</x:v>
      </x:c>
      <x:c r="F23" s="70" t="str">
        <x:v>Aliens: Fireteam Elite — Pathogen</x:v>
      </x:c>
      <x:c r="G23" s="70" t="str">
        <x:v>Jeu</x:v>
      </x:c>
      <x:c r="H23" s="70" t="str">
        <x:v>Le développeur laisse l’espèce d’origine indéterminée.</x:v>
      </x:c>
      <x:c r="I23" s="70" t="str">
        <x:v>Confirmé dans l’œuvre référencée ; adaptation de gameplay distincte</x:v>
      </x:c>
      <x:c r="J23" s="70" t="str">
        <x:v>Le Blight est une créature mutée inconnue projetant un acide explosif.</x:v>
      </x:c>
      <x:c r="K23"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3" s="77" t="str">
        <x:v>https://www.aliensfireteamelite.com/en/community/pathogen-deep-dive-an-exhilarating-new-story/</x:v>
      </x:c>
      <x:c r="M23" s="70" t="str">
        <x:v>Absent dans le périmètre audité — modèle/spawn/IA dédiés non trouvés</x:v>
      </x:c>
      <x:c r="N23"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3" s="70" t="str">
        <x:v>Créer profil autonome sans le forcer dans l’arbre généalogique des Xénomorphes ; réserver ses projectiles à sa faction.</x:v>
      </x:c>
      <x:c r="P23" s="70" t="str">
        <x:v>Proposition : menace cachée qui contrôle une route.</x:v>
      </x:c>
      <x:c r="Q23" s="70" t="str">
        <x:v>Proposition : 1–2 sur un front contaminé ; trajectoires destructibles et abris praticables.</x:v>
      </x:c>
      <x:c r="R23" s="70" t="str">
        <x:v>Pathogen/H et hostilité infectés/X ; Yautja en adaptation déclarée.</x:v>
      </x:c>
      <x:c r="S23" s="70" t="str">
        <x:v>X-L03 — LV-895 — ruines des Engineers et foyer Pathogen</x:v>
      </x:c>
      <x:c r="T23" s="70" t="str">
        <x:v>Ne pas présenter le Blight comme une caste Xénomorphe prouvée. La parenté avec Stalker n’est qu’une ressemblance annoncée.</x:v>
      </x:c>
      <x:c r="U23" s="70" t="str">
        <x:v>P1</x:v>
      </x:c>
    </x:row>
    <x:row r="24" ht="90" customHeight="1">
      <x:c r="A24" s="71" t="str">
        <x:v>XEN-018</x:v>
      </x:c>
      <x:c r="B24" s="71" t="str">
        <x:v>Xénomorphes infectés / Pathogène</x:v>
      </x:c>
      <x:c r="C24" s="71" t="str">
        <x:v>Pathogen Brute</x:v>
      </x:c>
      <x:c r="D24" s="71" t="str">
        <x:v>Xénomorphe muté non identifié</x:v>
      </x:c>
      <x:c r="E24" s="71" t="str">
        <x:v>élite</x:v>
      </x:c>
      <x:c r="F24" s="71" t="str">
        <x:v>Aliens: Fireteam Elite — Pathogen</x:v>
      </x:c>
      <x:c r="G24" s="71" t="str">
        <x:v>Jeu</x:v>
      </x:c>
      <x:c r="H24" s="71" t="str">
        <x:v>Le développeur confirme Xénomorphe, sans identifier sa forme antérieure.</x:v>
      </x:c>
      <x:c r="I24" s="71" t="str">
        <x:v>Confirmé dans l’œuvre référencée ; adaptation de gameplay distincte</x:v>
      </x:c>
      <x:c r="J24" s="71" t="str">
        <x:v>La Brute est un Xénomorphe muté aux bras massifs.</x:v>
      </x:c>
      <x:c r="K24"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4" s="76" t="str">
        <x:v>https://www.aliensfireteamelite.com/en/community/pathogen-deep-dive-an-exhilarating-new-story/</x:v>
      </x:c>
      <x:c r="M24" s="71" t="str">
        <x:v>Absent dans le périmètre audité — modèle/spawn/IA dédiés non trouvés</x:v>
      </x:c>
      <x:c r="N24"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24" s="71" t="str">
        <x:v>Créer modèle, impacts avec zones sûres et collision adaptée ; conserver la forme d’origine comme inconnue.</x:v>
      </x:c>
      <x:c r="P24" s="71" t="str">
        <x:v>Proposition : élite de mêlée des espaces contaminés.</x:v>
      </x:c>
      <x:c r="Q24" s="71" t="str">
        <x:v>Proposition : une Brute et une escorte modeste ; pas de superposition avec une reine dans la même arène exiguë.</x:v>
      </x:c>
      <x:c r="R24" s="71" t="str">
        <x:v>Pathogen/H et hostilité infectés/X ; Yautja en adaptation déclarée.</x:v>
      </x:c>
      <x:c r="S24" s="71" t="str">
        <x:v>X-L03 — LV-895 — ruines des Engineers et foyer Pathogen</x:v>
      </x:c>
      <x:c r="T24" s="71" t="str">
        <x:v>Ne pas l’appeler automatiquement Crusher infecté : cette filiation n’est pas établie par la source.</x:v>
      </x:c>
      <x:c r="U24" s="71" t="str">
        <x:v>P1</x:v>
      </x:c>
    </x:row>
    <x:row r="25" ht="184.5" customHeight="1">
      <x:c r="A25" s="70" t="str">
        <x:v>XEN-019</x:v>
      </x:c>
      <x:c r="B25" s="70" t="str">
        <x:v>Xénomorphes infectés / Pathogène</x:v>
      </x:c>
      <x:c r="C25" s="70" t="str">
        <x:v>Pathogen Queen</x:v>
      </x:c>
      <x:c r="D25" s="70" t="str">
        <x:v>Reine mutée / boss de campagne</x:v>
      </x:c>
      <x:c r="E25" s="70" t="str">
        <x:v>unique</x:v>
      </x:c>
      <x:c r="F25" s="70" t="str">
        <x:v>Aliens: Fireteam Elite — Pathogen</x:v>
      </x:c>
      <x:c r="G25" s="70" t="str">
        <x:v>Jeu</x:v>
      </x:c>
      <x:c r="H25" s="70" t="str">
        <x:v>Rencontre de campagne Pathogen ; ne remplace pas toutes les reines.</x:v>
      </x:c>
      <x:c r="I25" s="70" t="str">
        <x:v>Confirmé dans l’œuvre référencée ; adaptation de gameplay distincte</x:v>
      </x:c>
      <x:c r="J25" s="70" t="str">
        <x:v>La reine infectée est le boss de l’expansion Pathogen.</x:v>
      </x:c>
      <x:c r="K25" s="70" t="str">
        <x:v>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
X-S04 — Aliens: Fireteam Elite reveals its first ever boss fight
Focus Entertainment ; Annonce officielle de l’éditeur
Portée : Le Pathogène affecte plusieurs organismes ; les infectés peuvent attaquer les Xénomorphes non infectés.
Consulté le 2026-10-26</x:v>
      </x:c>
      <x:c r="L25" s="77" t="str">
        <x:v>https://news.xbox.com/en-us/2022/08/30/the-aliens-fireteam-elite-pathogen-expansion-is-available-now/
https://www.focus-entmt.com/fr/news/aliens-fireteam-elite-reveals-its-first-ever-boss-fight</x:v>
      </x:c>
      <x:c r="M25" s="70" t="str">
        <x:v>Absent dans le périmètre audité — modèle/spawn/IA dédiés non trouvés</x:v>
      </x:c>
      <x:c r="N25"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js/entities/Bosses.js:23–36 (aucun type Pathogen Queen) ; https://github.com/darknigthmare/Yautja-hive-warriors/blob/0f37cc52f9d83a4abecc17b80f7bfc67701677cf/js/entities/Bosses.js#L23-L36</x:v>
      </x:c>
      <x:c r="O25" s="70" t="str">
        <x:v>Créer un boss et une arène propres, des segments d’armure, l’arrêt des renforts par objectifs et une identité de faction.</x:v>
      </x:c>
      <x:c r="P25" s="70" t="str">
        <x:v>Proposition : verrou final du secteur contaminé.</x:v>
      </x:c>
      <x:c r="Q25" s="70" t="str">
        <x:v>Proposition : un boss par opération ; renforts tirés des foyers encore intacts, sans réserve infinie.</x:v>
      </x:c>
      <x:c r="R25" s="70" t="str">
        <x:v>Pathogen/H natif ; Pathogen/X cohérent avec l’expansion ; Yautja en crossover.</x:v>
      </x:c>
      <x:c r="S25" s="70" t="str">
        <x:v>X-L03 — LV-895 — ruines des Engineers et foyer Pathogen</x:v>
      </x:c>
      <x:c r="T25" s="70" t="str">
        <x:v>Ne pas lui transférer automatiquement vol, vortex ou pouvoirs des aliases Empress/Imperial présents dans le code.</x:v>
      </x:c>
      <x:c r="U25" s="70" t="str">
        <x:v>P1</x:v>
      </x:c>
    </x:row>
    <x:row r="26" ht="117" customHeight="1">
      <x:c r="A26" s="71" t="str">
        <x:v>XEN-020</x:v>
      </x:c>
      <x:c r="B26" s="71" t="str">
        <x:v>Pathogène — espèce d’origine non établie</x:v>
      </x:c>
      <x:c r="C26" s="71" t="str">
        <x:v>Pathogen Popper</x:v>
      </x:c>
      <x:c r="D26" s="71" t="str">
        <x:v>Organisme du Pathogène — lignée non établie</x:v>
      </x:c>
      <x:c r="E26" s="71" t="str">
        <x:v>commun</x:v>
      </x:c>
      <x:c r="F26" s="71" t="str">
        <x:v>Aliens: Fireteam Elite — Pathogen</x:v>
      </x:c>
      <x:c r="G26" s="71" t="str">
        <x:v>Jeu</x:v>
      </x:c>
      <x:c r="H26" s="71" t="str">
        <x:v>Ennemi confirmé ; origine biologique non fixée par les sources retenues.</x:v>
      </x:c>
      <x:c r="I26" s="71" t="str">
        <x:v>Confirmé dans l’œuvre référencée ; adaptation de gameplay distincte</x:v>
      </x:c>
      <x:c r="J26" s="71" t="str">
        <x:v>Les développeurs citent les Poppers dans les groupes Pathogen.</x:v>
      </x:c>
      <x:c r="K26"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6" s="76" t="str">
        <x:v>https://www.aliensfireteamelite.com/en/community/pathogen-deep-dive-an-exhilarating-new-story/</x:v>
      </x:c>
      <x:c r="M26" s="71" t="str">
        <x:v>Absent dans le périmètre audité — modèle/spawn/IA dédiés non trouvés</x:v>
      </x:c>
      <x:c r="N26"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js/entities/XenomorphHorde.js:877–937 (microSwarm voisin sans identité Popper) ; https://github.com/darknigthmare/Yautja-hive-warriors/blob/0f37cc52f9d83a4abecc17b80f7bfc67701677cf/js/entities/XenomorphHorde.js#L877-L937</x:v>
      </x:c>
      <x:c r="O26" s="71" t="str">
        <x:v>Créer un profil distinct après vérification de ses attaques dans le jeu ; ne pas renommer simplement microSwarm.</x:v>
      </x:c>
      <x:c r="P26" s="71" t="str">
        <x:v>Proposition : petite menace de saturation dans un corridor contaminé.</x:v>
      </x:c>
      <x:c r="Q26" s="71" t="str">
        <x:v>Proposition : petits paquets plafonnés ; compter chaque acteur actif, même de petite taille.</x:v>
      </x:c>
      <x:c r="R26" s="71" t="str">
        <x:v>Pathogen/H ; interaction avec X et Y à régler selon scénario documenté.</x:v>
      </x:c>
      <x:c r="S26" s="71" t="str">
        <x:v>X-L03 — LV-895 — ruines des Engineers et foyer Pathogen</x:v>
      </x:c>
      <x:c r="T26" s="71" t="str">
        <x:v>Ni stade larvaire de Xénomorphe ni nanodrone établis ; comportement explosif à valider avant reproduction détaillée.</x:v>
      </x:c>
      <x:c r="U26" s="71" t="str">
        <x:v>P1</x:v>
      </x:c>
    </x:row>
    <x:row r="27" ht="117" customHeight="1">
      <x:c r="A27" s="70" t="str">
        <x:v>XEN-021</x:v>
      </x:c>
      <x:c r="B27" s="70" t="str">
        <x:v>Pathogène — espèce d’origine non établie</x:v>
      </x:c>
      <x:c r="C27" s="70" t="str">
        <x:v>Pathogen Stalker</x:v>
      </x:c>
      <x:c r="D27" s="70" t="str">
        <x:v>Organisme du Pathogène — lignée non établie</x:v>
      </x:c>
      <x:c r="E27" s="70" t="str">
        <x:v>élite</x:v>
      </x:c>
      <x:c r="F27" s="70" t="str">
        <x:v>Aliens: Fireteam Elite — Pathogen</x:v>
      </x:c>
      <x:c r="G27" s="70" t="str">
        <x:v>Jeu</x:v>
      </x:c>
      <x:c r="H27" s="70" t="str">
        <x:v>Ennemi du jeu ; aucune équivalence prouvée avec Chameleon Stalker.</x:v>
      </x:c>
      <x:c r="I27" s="70" t="str">
        <x:v>Confirmé dans l’œuvre référencée ; adaptation de gameplay distincte</x:v>
      </x:c>
      <x:c r="J27" s="70" t="str">
        <x:v>Les développeurs citent les Stalkers dans les groupes Pathogen.</x:v>
      </x:c>
      <x:c r="K27"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7" s="77" t="str">
        <x:v>https://www.aliensfireteamelite.com/en/community/pathogen-deep-dive-an-exhilarating-new-story/</x:v>
      </x:c>
      <x:c r="M27" s="70" t="str">
        <x:v>Absent dans le périmètre audité — modèle/spawn/IA dédiés non trouvés</x:v>
      </x:c>
      <x:c r="N27"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 ; 0f37cc52f9d83a4abecc17b80f7bfc67701677cf — js/entities/XenomorphHorde.js:583–651 (chameleon_stalker distinct) ; https://github.com/darknigthmare/Yautja-hive-warriors/blob/0f37cc52f9d83a4abecc17b80f7bfc67701677cf/js/entities/XenomorphHorde.js#L583-L651</x:v>
      </x:c>
      <x:c r="O27" s="70" t="str">
        <x:v>Créer identité, rig et capacités spécifiques ; vérifier les séquences de chasse dans l’œuvre et supprimer toute équivalence nominale.</x:v>
      </x:c>
      <x:c r="P27" s="70" t="str">
        <x:v>Proposition : chasseur qui détourne l’attention pendant une évacuation.</x:v>
      </x:c>
      <x:c r="Q27" s="70" t="str">
        <x:v>Proposition : un Stalker par zone d’embuscade ; délai de repli entre attaques.</x:v>
      </x:c>
      <x:c r="R27" s="70" t="str">
        <x:v>Pathogen/H ; confrontation Yautja en crossover déclaré.</x:v>
      </x:c>
      <x:c r="S27" s="70" t="str">
        <x:v>X-L03 — LV-895 — ruines des Engineers et foyer Pathogen</x:v>
      </x:c>
      <x:c r="T27" s="70" t="str">
        <x:v>Le mot stalker décrit plusieurs créatures ; chameleon_stalker et wallStalker du projet ne prouvent aucune implémentation de ce profil.</x:v>
      </x:c>
      <x:c r="U27" s="70" t="str">
        <x:v>P1</x:v>
      </x:c>
    </x:row>
    <x:row r="28" ht="130.5" customHeight="1">
      <x:c r="A28" s="71" t="str">
        <x:v>XEN-022</x:v>
      </x:c>
      <x:c r="B28" s="71" t="str">
        <x:v>Organismes de Covenant — Neomorph</x:v>
      </x:c>
      <x:c r="C28" s="71" t="str">
        <x:v>Neomorph</x:v>
      </x:c>
      <x:c r="D28" s="71" t="str">
        <x:v>Autre lignée biologique ; formes jeune et adulte</x:v>
      </x:c>
      <x:c r="E28" s="71" t="str">
        <x:v>élite</x:v>
      </x:c>
      <x:c r="F28" s="71" t="str">
        <x:v>Alien: Covenant</x:v>
      </x:c>
      <x:c r="G28" s="71" t="str">
        <x:v>Film</x:v>
      </x:c>
      <x:c r="H28" s="71" t="str">
        <x:v>Créature propre à Covenant, séparée ici du cycle œuf/Facehugger classique.</x:v>
      </x:c>
      <x:c r="I28" s="71" t="str">
        <x:v>Confirmé dans l’œuvre référencée ; adaptation de gameplay distincte</x:v>
      </x:c>
      <x:c r="J28" s="71" t="str">
        <x:v>La gamme Covenant distingue Neomorph adulte et jeune.</x:v>
      </x:c>
      <x:c r="K28" s="71" t="str">
        <x:v>X-S06 — Alien: Covenant products revealed
NECA ; Présentation officielle de produits licenciés
Portée : Confirme les appellations Xenomorph et Neomorph, les formes jeune/adulte et le Creature Pack ; pas une taxonomie universelle.
Consulté le 2026-10-26</x:v>
      </x:c>
      <x:c r="L28" s="76" t="str">
        <x:v>https://store.necaonline.com/blogs/news/massive-photo-gallery-alien-covenant-products-revealed-1</x:v>
      </x:c>
      <x:c r="M28" s="71" t="str">
        <x:v>Partiel — modèle/spawn et comportement présents dans le code ; exécution non certifiée au SHA audité</x:v>
      </x:c>
      <x:c r="N28" s="71" t="str">
        <x:v>0f37cc52f9d83a4abecc17b80f7bfc67701677cf — js/entities/XenomorphHorde.js:141–188 (type neomorph) ; https://github.com/darknigthmare/Yautja-hive-warriors/blob/0f37cc52f9d83a4abecc17b80f7bfc67701677cf/js/entities/XenomorphHorde.js#L141-L188 ; 0f37cc52f9d83a4abecc17b80f7bfc67701677cf — js/entities/XenomorphHorde.js:1290–1313 (mesh) ; https://github.com/darknigthmare/Yautja-hive-warriors/blob/0f37cc52f9d83a4abecc17b80f7bfc67701677cf/js/entities/XenomorphHorde.js#L1290-L1313 ; 0f37cc52f9d83a4abecc17b80f7bfc67701677cf — js/entities/XenomorphHorde.js:2710–2743 (bond et poursuite) ; https://github.com/darknigthmare/Yautja-hive-warriors/blob/0f37cc52f9d83a4abecc17b80f7bfc67701677cf/js/entities/XenomorphHorde.js#L2710-L2743</x:v>
      </x:c>
      <x:c r="O28" s="71" t="str">
        <x:v>Séparer croissance, source d’apparition et faction ; documenter le cycle précis avant de le brancher sur les œufs classiques.</x:v>
      </x:c>
      <x:c r="P28" s="71" t="str">
        <x:v>Proposition : traque mobile dans la végétation et les salles ouvertes.</x:v>
      </x:c>
      <x:c r="Q28" s="71" t="str">
        <x:v>Proposition : individus ou petit groupe scénarisé, avec origine ; retirer du tirage global commun à toutes les cartes.</x:v>
      </x:c>
      <x:c r="R28" s="71" t="str">
        <x:v>Organismes Covenant/H natif ; X/Y/H uniquement en adaptation explicite.</x:v>
      </x:c>
      <x:c r="S28" s="71" t="str">
        <x:v>X-L10 — Monde exploré par Covenant</x:v>
      </x:c>
      <x:c r="T28" s="71" t="str">
        <x:v>L’origine exacte et les appellations Bloodburster/Backburster ne sont pas établies par la fiche produit utilisée ; aucune sous-caste supplémentaire créée.</x:v>
      </x:c>
      <x:c r="U28" s="71" t="str">
        <x:v>P1</x:v>
      </x:c>
    </x:row>
    <x:row r="29" ht="130.5" customHeight="1">
      <x:c r="A29" s="70" t="str">
        <x:v>XEN-023</x:v>
      </x:c>
      <x:c r="B29" s="70" t="str">
        <x:v>Xénomorphes</x:v>
      </x:c>
      <x:c r="C29" s="70" t="str">
        <x:v>Xénomorphe de Covenant</x:v>
      </x:c>
      <x:c r="D29" s="70" t="str">
        <x:v>Phénotype filmique ; alias de code à clarifier</x:v>
      </x:c>
      <x:c r="E29" s="70" t="str">
        <x:v>élite</x:v>
      </x:c>
      <x:c r="F29" s="70" t="str">
        <x:v>Alien: Covenant</x:v>
      </x:c>
      <x:c r="G29" s="70" t="str">
        <x:v>Film</x:v>
      </x:c>
      <x:c r="H29" s="70" t="str">
        <x:v>NECA le nomme Xenomorph ; le label Praetomorph reste un alias du projet dans ce dossier.</x:v>
      </x:c>
      <x:c r="I29" s="70" t="str">
        <x:v>Confirmé dans l’œuvre référencée ; adaptation de gameplay distincte</x:v>
      </x:c>
      <x:c r="J29" s="70" t="str">
        <x:v>La gamme Covenant nomme séparément Xenomorph et Neomorph.</x:v>
      </x:c>
      <x:c r="K29" s="70" t="str">
        <x:v>X-S06 — Alien: Covenant products revealed
NECA ; Présentation officielle de produits licenciés
Portée : Confirme les appellations Xenomorph et Neomorph, les formes jeune/adulte et le Creature Pack ; pas une taxonomie universelle.
Consulté le 2026-10-26</x:v>
      </x:c>
      <x:c r="L29" s="77" t="str">
        <x:v>https://store.necaonline.com/blogs/news/massive-photo-gallery-alien-covenant-products-revealed-1</x:v>
      </x:c>
      <x:c r="M29" s="70" t="str">
        <x:v>Partiel — modèle/spawn et comportement présents dans le code ; exécution non certifiée au SHA audité</x:v>
      </x:c>
      <x:c r="N29" s="70" t="str">
        <x:v>0f37cc52f9d83a4abecc17b80f7bfc67701677cf — js/entities/XenomorphHorde.js:142–188 (type praetomorph) ; https://github.com/darknigthmare/Yautja-hive-warriors/blob/0f37cc52f9d83a4abecc17b80f7bfc67701677cf/js/entities/XenomorphHorde.js#L142-L188 ; 0f37cc52f9d83a4abecc17b80f7bfc67701677cf — js/entities/XenomorphHorde.js:1314–1373 (mesh) ; https://github.com/darknigthmare/Yautja-hive-warriors/blob/0f37cc52f9d83a4abecc17b80f7bfc67701677cf/js/entities/XenomorphHorde.js#L1314-L1373 ; 0f37cc52f9d83a4abecc17b80f7bfc67701677cf — js/entities/XenomorphHorde.js:2744–2774 (profil agressif) ; https://github.com/darknigthmare/Yautja-hive-warriors/blob/0f37cc52f9d83a4abecc17b80f7bfc67701677cf/js/entities/XenomorphHorde.js#L2744-L2774</x:v>
      </x:c>
      <x:c r="O29" s="70" t="str">
        <x:v>Renommer le profil dans le registre de continuité, vérifier les proportions et limiter ses apparitions au contexte choisi.</x:v>
      </x:c>
      <x:c r="P29" s="70" t="str">
        <x:v>Proposition : adulte puissant d’une séquence de poursuite.</x:v>
      </x:c>
      <x:c r="Q29" s="70" t="str">
        <x:v>Proposition : individu scénarisé ou faible groupe justifié par l’opération, jamais variante universelle aléatoire.</x:v>
      </x:c>
      <x:c r="R29" s="70" t="str">
        <x:v>X/H filmique ; X/Y et X/Y/H en adaptation déclarée.</x:v>
      </x:c>
      <x:c r="S29" s="70" t="str">
        <x:v>X-L10 — Monde exploré par Covenant</x:v>
      </x:c>
      <x:c r="T29" s="70" t="str">
        <x:v>Ne pas présenter Praetomorph comme caste officielle universelle sur la seule foi des commentaires du code.</x:v>
      </x:c>
      <x:c r="U29" s="70" t="str">
        <x:v>P1</x:v>
      </x:c>
    </x:row>
    <x:row r="30" ht="90" customHeight="1">
      <x:c r="A30" s="71" t="str">
        <x:v>XEN-024</x:v>
      </x:c>
      <x:c r="B30" s="71" t="str">
        <x:v>Organismes de Prometheus</x:v>
      </x:c>
      <x:c r="C30" s="71" t="str">
        <x:v>Deacon</x:v>
      </x:c>
      <x:c r="D30" s="71" t="str">
        <x:v>Organisme singulier / proto-Xénomorphe</x:v>
      </x:c>
      <x:c r="E30" s="71" t="str">
        <x:v>unique</x:v>
      </x:c>
      <x:c r="F30" s="71" t="str">
        <x:v>Prometheus</x:v>
      </x:c>
      <x:c r="G30" s="71" t="str">
        <x:v>Film</x:v>
      </x:c>
      <x:c r="H30" s="71" t="str">
        <x:v>Existence et design confirmés ; pas de filiation universelle établie.</x:v>
      </x:c>
      <x:c r="I30" s="71" t="str">
        <x:v>Confirmé dans l’œuvre référencée ; adaptation de gameplay distincte</x:v>
      </x:c>
      <x:c r="J30" s="71" t="str">
        <x:v>Le Deacon est présenté comme créature de Prometheus.</x:v>
      </x:c>
      <x:c r="K30" s="71" t="str">
        <x:v>X-S07 — Prometheus Series 2 — Deacon
NECA ; Présentation officielle de produits licenciés
Portée : Confirme Deacon dans Prometheus et l’appellation commerciale proto-Xenomorph ; aucun statut Titan ou ancêtre universel démontré.
Consulté le 2026-10-26</x:v>
      </x:c>
      <x:c r="L30" s="76" t="str">
        <x:v>https://store.necaonline.com/blogs/news/174242631-shipping-now-prometheus-series-2-figures-check-out-the-action-shots</x:v>
      </x:c>
      <x:c r="M30" s="71" t="str">
        <x:v>Nominal ou voisin — forme apparentée présente ; identité officielle et profil dédié non établis</x:v>
      </x:c>
      <x:c r="N30" s="71" t="str">
        <x:v>0f37cc52f9d83a4abecc17b80f7bfc67701677cf — js/entities/XenomorphHorde.js:653–746 (Deacon Titan) ; https://github.com/darknigthmare/Yautja-hive-warriors/blob/0f37cc52f9d83a4abecc17b80f7bfc67701677cf/js/entities/XenomorphHorde.js#L653-L746 ; 0f37cc52f9d83a4abecc17b80f7bfc67701677cf — js/entities/XenomorphHorde.js:81–134 (apparition fixe dans les vagues) ; https://github.com/darknigthmare/Yautja-hive-warriors/blob/0f37cc52f9d83a4abecc17b80f7bfc67701677cf/js/entities/XenomorphHorde.js#L81-L134</x:v>
      </x:c>
      <x:c r="O30" s="71" t="str">
        <x:v>Reconstituer un profil fidèle au design sourcé ; retirer le suffixe Titan et ses extrapolations non justifiées du mode fidélité.</x:v>
      </x:c>
      <x:c r="P30" s="71" t="str">
        <x:v>Proposition : rencontre singulière de sortie de laboratoire.</x:v>
      </x:c>
      <x:c r="Q30" s="71" t="str">
        <x:v>Proposition : une occurrence de scénario ; aucune reproduction en vague générique.</x:v>
      </x:c>
      <x:c r="R30" s="71" t="str">
        <x:v>Organisme/H dans son contexte ; X/Y/H en crossover annoncé seulement.</x:v>
      </x:c>
      <x:c r="S30" s="71" t="str">
        <x:v>X-L11 — LV-223 — structures des Engineers</x:v>
      </x:c>
      <x:c r="T30" s="71" t="str">
        <x:v>Titan, taille de raid et pouvoirs offensifs extrapolés ne sont pas attestés ; aucune caste reproductrice Deacon déduite.</x:v>
      </x:c>
      <x:c r="U30" s="71" t="str">
        <x:v>P1</x:v>
      </x:c>
    </x:row>
    <x:row r="31" ht="130.5" customHeight="1">
      <x:c r="A31" s="70" t="str">
        <x:v>XEN-025</x:v>
      </x:c>
      <x:c r="B31" s="70" t="str">
        <x:v>Organismes de Prometheus</x:v>
      </x:c>
      <x:c r="C31" s="70" t="str">
        <x:v>Trilobite</x:v>
      </x:c>
      <x:c r="D31" s="70" t="str">
        <x:v>Organisme parasitoïde distinct</x:v>
      </x:c>
      <x:c r="E31" s="70" t="str">
        <x:v>unique</x:v>
      </x:c>
      <x:c r="F31" s="70" t="str">
        <x:v>Prometheus</x:v>
      </x:c>
      <x:c r="G31" s="70" t="str">
        <x:v>Film</x:v>
      </x:c>
      <x:c r="H31" s="70" t="str">
        <x:v>Créature du film ; Prime n’est pas un stade démontré.</x:v>
      </x:c>
      <x:c r="I31" s="70" t="str">
        <x:v>Confirmé dans l’œuvre référencée ; adaptation de gameplay distincte</x:v>
      </x:c>
      <x:c r="J31" s="70" t="str">
        <x:v>Le Trilobite affronte l’Engineer dans Prometheus.</x:v>
      </x:c>
      <x:c r="K31" s="70" t="str">
        <x:v>X-S08 — Prometheus — Engineer vs. Trilobite
NECA ; Présentation officielle de produit licencié
Portée : Confirme le Trilobite et son affrontement avec l’Engineer dans Prometheus ; pas de forme Prime documentée.
Consulté le 2026-10-26</x:v>
      </x:c>
      <x:c r="L31" s="77" t="str">
        <x:v>https://necaonline.com/2012/11/our-toys-r-us-exclusive-action-figures-now-have-shipping-dates/</x:v>
      </x:c>
      <x:c r="M31" s="70" t="str">
        <x:v>Partiel — modèle/spawn et comportement présents dans le code ; exécution non certifiée au SHA audité</x:v>
      </x:c>
      <x:c r="N31" s="70" t="str">
        <x:v>0f37cc52f9d83a4abecc17b80f7bfc67701677cf — js/entities/Bosses.js:84–177 (constructeur Trilobite) ; https://github.com/darknigthmare/Yautja-hive-warriors/blob/0f37cc52f9d83a4abecc17b80f7bfc67701677cf/js/entities/Bosses.js#L84-L177 ; 0f37cc52f9d83a4abecc17b80f7bfc67701677cf — js/entities/Bosses.js:780–782 (type trilobite_prime) ; https://github.com/darknigthmare/Yautja-hive-warriors/blob/0f37cc52f9d83a4abecc17b80f7bfc67701677cf/js/entities/Bosses.js#L780-L782 ; 0f37cc52f9d83a4abecc17b80f7bfc67701677cf — js/entities/Bosses.js:1666–1682 (attaques spécifiques) ; https://github.com/darknigthmare/Yautja-hive-warriors/blob/0f37cc52f9d83a4abecc17b80f7bfc67701677cf/js/entities/Bosses.js#L1666-L1682</x:v>
      </x:c>
      <x:c r="O31" s="70" t="str">
        <x:v>Conserver la créature identifiable, retirer le statut Prime non sourcé et valider les attaques avant intégration fidèle.</x:v>
      </x:c>
      <x:c r="P31" s="70" t="str">
        <x:v>Proposition : danger de saisie dans un espace clos avec secours possible.</x:v>
      </x:c>
      <x:c r="Q31" s="70" t="str">
        <x:v>Proposition : une créature scénarisée, sans groupe de soldats Trilobite.</x:v>
      </x:c>
      <x:c r="R31" s="70" t="str">
        <x:v>Trilobite/Engineer attesté ; H, X ou Y comme adversaires de jeu uniquement en adaptation explicite.</x:v>
      </x:c>
      <x:c r="S31" s="70" t="str">
        <x:v>X-L11 — LV-223 — structures des Engineers</x:v>
      </x:c>
      <x:c r="T31" s="70" t="str">
        <x:v>Ne pas le classer comme reine Xénomorphe ; le spray mutagène et le nombre exact de tentacules du code restent à justifier.</x:v>
      </x:c>
      <x:c r="U31" s="70" t="str">
        <x:v>P1</x:v>
      </x:c>
    </x:row>
    <x:row r="32" ht="76.5" customHeight="1">
      <x:c r="A32" s="71" t="str">
        <x:v>XEN-026</x:v>
      </x:c>
      <x:c r="B32" s="71" t="str">
        <x:v>Hybrides singuliers</x:v>
      </x:c>
      <x:c r="C32" s="71" t="str">
        <x:v>Newborn</x:v>
      </x:c>
      <x:c r="D32" s="71" t="str">
        <x:v>Hybride humain/Alien ; individu unique</x:v>
      </x:c>
      <x:c r="E32" s="71" t="str">
        <x:v>unique</x:v>
      </x:c>
      <x:c r="F32" s="71" t="str">
        <x:v>Alien Resurrection</x:v>
      </x:c>
      <x:c r="G32" s="71" t="str">
        <x:v>Film</x:v>
      </x:c>
      <x:c r="H32" s="71" t="str">
        <x:v>Individu issu du contexte spécifique de Resurrection.</x:v>
      </x:c>
      <x:c r="I32" s="71" t="str">
        <x:v>Confirmé dans l’œuvre référencée ; adaptation de gameplay distincte</x:v>
      </x:c>
      <x:c r="J32" s="71" t="str">
        <x:v>Newborn est un hybride humain/Alien lié à l’ADN de Ripley.</x:v>
      </x:c>
      <x:c r="K32" s="71" t="str">
        <x:v>X-S09 — Alien Resurrection — Deluxe Newborn
NECA ; Présentation officielle de produit licencié
Portée : Le descriptif relie explicitement Newborn au mélange humain/Alien et à l’ADN de Ripley dans Alien Resurrection.
Consulté le 2026-10-26</x:v>
      </x:c>
      <x:c r="L32" s="76" t="str">
        <x:v>https://necaonline.com/2019/02/alien-resurrection-7-scale-action-figure-deluxe-newborn/</x:v>
      </x:c>
      <x:c r="M32" s="71" t="str">
        <x:v>Absent dans le périmètre audité — modèle/spawn/IA dédiés non trouvés</x:v>
      </x:c>
      <x:c r="N32" s="71"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2" s="71" t="str">
        <x:v>Créer un modèle et une rencontre propres ; documenter le lieu et la mise en scène avant création de carte dédiée.</x:v>
      </x:c>
      <x:c r="P32" s="71" t="str">
        <x:v>Proposition : rencontre narrative avec interactions et possibilités d’évitement.</x:v>
      </x:c>
      <x:c r="Q32" s="71" t="str">
        <x:v>Proposition : un seul individu de scénario ; aucune production par reine standard.</x:v>
      </x:c>
      <x:c r="R32" s="71" t="str">
        <x:v>Hybride/H et interactions Alien de l’œuvre ; présence Yautja proposée uniquement en crossover.</x:v>
      </x:c>
      <x:c r="S32" s="71" t="str"/>
      <x:c r="T32" s="71" t="str">
        <x:v>Newborn et Offspring sont deux créatures différentes. Aucun lieu existant n’est automatiquement homologué pour ce personnage.</x:v>
      </x:c>
      <x:c r="U32" s="71" t="str">
        <x:v>P2</x:v>
      </x:c>
    </x:row>
    <x:row r="33" ht="171" customHeight="1">
      <x:c r="A33" s="70" t="str">
        <x:v>XEN-027</x:v>
      </x:c>
      <x:c r="B33" s="70" t="str">
        <x:v>Hybrides et créatures singulières</x:v>
      </x:c>
      <x:c r="C33" s="70" t="str">
        <x:v>Offspring</x:v>
      </x:c>
      <x:c r="D33" s="70" t="str">
        <x:v>Créature singulière ; généalogie détaillée à documenter</x:v>
      </x:c>
      <x:c r="E33" s="70" t="str">
        <x:v>unique</x:v>
      </x:c>
      <x:c r="F33" s="70" t="str">
        <x:v>Alien: Romulus</x:v>
      </x:c>
      <x:c r="G33" s="70" t="str">
        <x:v>Film</x:v>
      </x:c>
      <x:c r="H33" s="70" t="str">
        <x:v>Design attesté directement par les créateurs des effets ; pas de caste reproductrice générale.</x:v>
      </x:c>
      <x:c r="I33" s="70" t="str">
        <x:v>Confirmé dans l’œuvre référencée ; adaptation de gameplay distincte</x:v>
      </x:c>
      <x:c r="J33" s="70" t="str">
        <x:v>Legacy Effects a créé le design et le maquillage de l’Offspring.</x:v>
      </x:c>
      <x:c r="K33" s="70" t="str">
        <x:v>X-S14 — Alien: Romulus — creature production
Legacy Effects ; Source primaire des créateurs des effets physiques
Portée : Studio ayant réalisé costumes, animatroniques et design/makeup Offspring ; confirme la créature et sa fabrication, sans établir sa généalogie complète.
Consulté le 2026-10-26</x:v>
      </x:c>
      <x:c r="L33" s="77" t="str">
        <x:v>https://www.legacyefx.com/alien-romulus</x:v>
      </x:c>
      <x:c r="M33" s="70" t="str">
        <x:v>Partiel — modèle/spawn et comportement présents dans le code ; exécution non certifiée au SHA audité</x:v>
      </x:c>
      <x:c r="N33" s="70" t="str">
        <x:v>0f37cc52f9d83a4abecc17b80f7bfc67701677cf — js/entities/Bosses.js:30–36 (identifiant et PV) ; https://github.com/darknigthmare/Yautja-hive-warriors/blob/0f37cc52f9d83a4abecc17b80f7bfc67701677cf/js/entities/Bosses.js#L30-L36 ; 0f37cc52f9d83a4abecc17b80f7bfc67701677cf — js/entities/Bosses.js:793–835 (variante de modèle partagée) ; https://github.com/darknigthmare/Yautja-hive-warriors/blob/0f37cc52f9d83a4abecc17b80f7bfc67701677cf/js/entities/Bosses.js#L793-L835 ; 0f37cc52f9d83a4abecc17b80f7bfc67701677cf — js/entities/Bosses.js:1951–1963 (cri avec drain d’énergie plasma) ; https://github.com/darknigthmare/Yautja-hive-warriors/blob/0f37cc52f9d83a4abecc17b80f7bfc67701677cf/js/entities/Bosses.js#L1951-L1963 ; 0f37cc52f9d83a4abecc17b80f7bfc67701677cf — js/data/levelsData.js:94–110 (boss Romulus) ; https://github.com/darknigthmare/Yautja-hive-warriors/blob/0f37cc52f9d83a4abecc17b80f7bfc67701677cf/js/data/levelsData.js#L94-L110</x:v>
      </x:c>
      <x:c r="O33" s="70" t="str">
        <x:v>Créer silhouette/rig spécifiques, documenter ses interactions filmées et retirer les pouvoirs attribués sans preuve.</x:v>
      </x:c>
      <x:c r="P33" s="70" t="str">
        <x:v>Proposition : rencontre d’évacuation, distance et protection d’un passage.</x:v>
      </x:c>
      <x:c r="Q33" s="70" t="str">
        <x:v>Proposition : un seul individu ; pas de renforts de copies Offspring.</x:v>
      </x:c>
      <x:c r="R33" s="70" t="str">
        <x:v>Créature/H dans Romulus ; combat Yautja proposé en crossover.</x:v>
      </x:c>
      <x:c r="S33" s="70" t="str">
        <x:v>X-L06 — Station abandonnée de Romulus — évacuation et laboratoires</x:v>
      </x:c>
      <x:c r="T33" s="70" t="str">
        <x:v>La preuve production ne justifie ni absorption d’énergie plasma ni cri surnaturel. Ne pas fusionner avec Newborn.</x:v>
      </x:c>
      <x:c r="U33" s="70" t="str">
        <x:v>P1</x:v>
      </x:c>
    </x:row>
    <x:row r="34" ht="103.5" customHeight="1">
      <x:c r="A34" s="71" t="str">
        <x:v>XEN-028</x:v>
      </x:c>
      <x:c r="B34" s="71" t="str">
        <x:v>Xénomorphes</x:v>
      </x:c>
      <x:c r="C34" s="71" t="str">
        <x:v>Grid</x:v>
      </x:c>
      <x:c r="D34" s="71" t="str">
        <x:v>Individu nommé</x:v>
      </x:c>
      <x:c r="E34" s="71" t="str">
        <x:v>unique</x:v>
      </x:c>
      <x:c r="F34" s="71" t="str">
        <x:v>Alien vs. Predator</x:v>
      </x:c>
      <x:c r="G34" s="71" t="str">
        <x:v>Film</x:v>
      </x:c>
      <x:c r="H34" s="71" t="str">
        <x:v>Individu d’AVP 2004, pas une caste répétable.</x:v>
      </x:c>
      <x:c r="I34" s="71" t="str">
        <x:v>Confirmé dans l’œuvre référencée ; adaptation de gameplay distincte</x:v>
      </x:c>
      <x:c r="J34" s="71" t="str">
        <x:v>Grid Alien figure parmi les personnages AVP représentés officiellement.</x:v>
      </x:c>
      <x:c r="K34" s="71" t="str">
        <x:v>X-S11 — Aliens Series 7 — AVP Warrior Alien et Grid Alien
NECA ; Présentation officielle de produits licenciés
Portée : Confirme Grid Alien comme représentation nommée du film AVP ; ne documente aucune immunité au netgun.
Consulté le 2026-10-26</x:v>
      </x:c>
      <x:c r="L34" s="76" t="str">
        <x:v>https://necaonline.com/2016/02/shipping-this-week-god-of-war-iii-ultimate-kratos-deluxe-bat-gremlin-aliens-series-7-action-figures/</x:v>
      </x:c>
      <x:c r="M34" s="71" t="str">
        <x:v>Partiel — modèle/spawn et comportement présents dans le code ; exécution non certifiée au SHA audité</x:v>
      </x:c>
      <x:c r="N34" s="71" t="str">
        <x:v>0f37cc52f9d83a4abecc17b80f7bfc67701677cf — js/entities/XenomorphHorde.js:1110–1154 (spawn Grid et isNetgunImmune) ; https://github.com/darknigthmare/Yautja-hive-warriors/blob/0f37cc52f9d83a4abecc17b80f7bfc67701677cf/js/entities/XenomorphHorde.js#L1110-L1154 ; 0f37cc52f9d83a4abecc17b80f7bfc67701677cf — js/entities/XenomorphHorde.js:81–100 (un Grid ajouté à chaque vague) ; https://github.com/darknigthmare/Yautja-hive-warriors/blob/0f37cc52f9d83a4abecc17b80f7bfc67701677cf/js/entities/XenomorphHorde.js#L81-L100</x:v>
      </x:c>
      <x:c r="O34" s="71" t="str">
        <x:v>Créer une instance persistante avec état de rencontre ; retirer la duplication par vague et l’immunité automatique non documentée.</x:v>
      </x:c>
      <x:c r="P34" s="71" t="str">
        <x:v>Proposition : duel de mini-boss qui ouvre un chemin de fuite.</x:v>
      </x:c>
      <x:c r="Q34" s="71" t="str">
        <x:v>Proposition : un Grid par scénario AVP ; son élimination persiste sur les fronts.</x:v>
      </x:c>
      <x:c r="R34" s="71" t="str">
        <x:v>X/Y/H natif dans AVP.</x:v>
      </x:c>
      <x:c r="S34" s="71" t="str">
        <x:v>X-L09 — Pyramide antarctique</x:v>
      </x:c>
      <x:c r="T34" s="71" t="str">
        <x:v>L’apparence marquée ne prouve pas une immunité aux filets ; aucun clone Grid dans le roster courant.</x:v>
      </x:c>
      <x:c r="U34" s="71" t="str">
        <x:v>P1</x:v>
      </x:c>
    </x:row>
    <x:row r="35" ht="103.5" customHeight="1">
      <x:c r="A35" s="70" t="str">
        <x:v>XEN-029</x:v>
      </x:c>
      <x:c r="B35" s="70" t="str">
        <x:v>Xénomorphes</x:v>
      </x:c>
      <x:c r="C35" s="70" t="str">
        <x:v>Alpha de Marvel</x:v>
      </x:c>
      <x:c r="D35" s="70" t="str">
        <x:v>Individu nommé</x:v>
      </x:c>
      <x:c r="E35" s="70" t="str">
        <x:v>unique</x:v>
      </x:c>
      <x:c r="F35" s="70" t="str">
        <x:v>Alien (2021) #5</x:v>
      </x:c>
      <x:c r="G35" s="70" t="str">
        <x:v>Comic</x:v>
      </x:c>
      <x:c r="H35" s="70" t="str">
        <x:v>Continuité de la série Marvel concernée ; aucun statut de chef universel de ruche déduit.</x:v>
      </x:c>
      <x:c r="I35" s="70" t="str">
        <x:v>Confirmé dans l’œuvre référencée ; adaptation de gameplay distincte</x:v>
      </x:c>
      <x:c r="J35" s="70" t="str">
        <x:v>L’éditeur présente l’Alpha comme la créature menaçant Cruz.</x:v>
      </x:c>
      <x:c r="K35" s="70" t="str">
        <x:v>X-S15 — Alien (2021) #5
Marvel ; Notice officielle de l’éditeur du comic
Portée : Extrait indexé officiel nommant l’Alpha et son rapport à Cruz ; ouverture directe refusée par le site. Aucun pouvoir chiffré extrapolé.
Consulté le 2026-10-26</x:v>
      </x:c>
      <x:c r="L35" s="77" t="str">
        <x:v>https://www.marvel.com/comics/issue/89576/alien_2021_5</x:v>
      </x:c>
      <x:c r="M35" s="70" t="str">
        <x:v>Partiel — modèle/spawn et comportement présents dans le code ; exécution non certifiée au SHA audité</x:v>
      </x:c>
      <x:c r="N35" s="70" t="str">
        <x:v>0f37cc52f9d83a4abecc17b80f7bfc67701677cf — js/entities/XenomorphHorde.js:193–271 (spawnMarvelAlpha et blindage) ; https://github.com/darknigthmare/Yautja-hive-warriors/blob/0f37cc52f9d83a4abecc17b80f7bfc67701677cf/js/entities/XenomorphHorde.js#L193-L271 ; 0f37cc52f9d83a4abecc17b80f7bfc67701677cf — js/entities/XenomorphHorde.js:2470–2488 (bonus de vitesse de meute) ; https://github.com/darknigthmare/Yautja-hive-warriors/blob/0f37cc52f9d83a4abecc17b80f7bfc67701677cf/js/entities/XenomorphHorde.js#L2470-L2488</x:v>
      </x:c>
      <x:c r="O35" s="70" t="str">
        <x:v>Documenter les capacités dans les numéros concernés ; convertir en rencontre unique et supprimer les bonus de commandement présentés comme canoniques sans preuve.</x:v>
      </x:c>
      <x:c r="P35" s="70" t="str">
        <x:v>Proposition : menace persistante d’un scénario inspiré du comic.</x:v>
      </x:c>
      <x:c r="Q35" s="70" t="str">
        <x:v>Proposition : une instance nommée ; les gardes éventuels appartiennent au budget de l’opération.</x:v>
      </x:c>
      <x:c r="R35" s="70" t="str">
        <x:v>X/H dans la série ; X/Y et X/Y/H en adaptation déclarée.</x:v>
      </x:c>
      <x:c r="S35" s="70" t="str"/>
      <x:c r="T35" s="70" t="str">
        <x:v>La notice ne valide ni réduction des dégâts de 50 %, ni ordre de meute, ni caste Alpha reproductible.</x:v>
      </x:c>
      <x:c r="U35" s="70" t="str">
        <x:v>P2</x:v>
      </x:c>
    </x:row>
    <x:row r="36" ht="184.5" customHeight="1">
      <x:c r="A36" s="71" t="str">
        <x:v>XEN-030</x:v>
      </x:c>
      <x:c r="B36" s="71" t="str">
        <x:v>Xénomorphes</x:v>
      </x:c>
      <x:c r="C36" s="71" t="str">
        <x:v>Rogue — création de Kleist</x:v>
      </x:c>
      <x:c r="D36" s="71" t="str">
        <x:v>Individu expérimental</x:v>
      </x:c>
      <x:c r="E36" s="71" t="str">
        <x:v>unique</x:v>
      </x:c>
      <x:c r="F36" s="71" t="str">
        <x:v>Aliens: Rogue ; roman Rogue</x:v>
      </x:c>
      <x:c r="G36" s="71" t="str">
        <x:v>Comic ; roman adapté</x:v>
      </x:c>
      <x:c r="H36" s="71" t="str">
        <x:v>Comic et adaptation romanesque conservés comme sources distinctes ; détails non automatiquement interchangeables.</x:v>
      </x:c>
      <x:c r="I36" s="71" t="str">
        <x:v>Confirmé dans l’œuvre référencée ; adaptation de gameplay distincte</x:v>
      </x:c>
      <x:c r="J36" s="71" t="str">
        <x:v>Les éditeurs rattachent Rogue aux expériences de Kleist.</x:v>
      </x:c>
      <x:c r="K36" s="71" t="str">
        <x:v>X-S16 — Aliens Epic Collection: The Original Years Vol. 3
Marvel ; Notice officielle d’une réédition de comics Dark Horse
Portée : Confirme la réédition Rogue #1–4 et les expériences de Kleist. Les détails du roman sont référencés séparément.
Consulté le 2026-10-26
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x:v>
      </x:c>
      <x:c r="L36" s="76" t="str">
        <x:v>https://www.marvel.com/comics/collection/127157/aliens_epic_collection_the_original_years_vol_3_trade_paperback
https://www.penguinrandomhouse.com/books/539667/the-complete-aliens-omnibus-volume-three-rogue-labyrinth-by-sandy-schofield/</x:v>
      </x:c>
      <x:c r="M36" s="71" t="str">
        <x:v>Partiel — modèle/spawn et comportement présents dans le code ; exécution non certifiée au SHA audité</x:v>
      </x:c>
      <x:c r="N36" s="71" t="str">
        <x:v>0f37cc52f9d83a4abecc17b80f7bfc67701677cf — js/entities/XenomorphHorde.js:273–349 (Rogue King Titan dans les vagues) ; https://github.com/darknigthmare/Yautja-hive-warriors/blob/0f37cc52f9d83a4abecc17b80f7bfc67701677cf/js/entities/XenomorphHorde.js#L273-L349 ; 0f37cc52f9d83a4abecc17b80f7bfc67701677cf — js/entities/Bosses.js:773–776 (boss rogue_king_prime) ; https://github.com/darknigthmare/Yautja-hive-warriors/blob/0f37cc52f9d83a4abecc17b80f7bfc67701677cf/js/entities/Bosses.js#L773-L776 ; 0f37cc52f9d83a4abecc17b80f7bfc67701677cf — js/data/levelsData.js:112–128 (Charon) ; https://github.com/darknigthmare/Yautja-hive-warriors/blob/0f37cc52f9d83a4abecc17b80f7bfc67701677cf/js/data/levelsData.js#L112-L128</x:v>
      </x:c>
      <x:c r="O36" s="71" t="str">
        <x:v>Unifier l’identité narrative sans dupliquer horde et boss ; vérifier le design et les capacités dans le support retenu.</x:v>
      </x:c>
      <x:c r="P36" s="71" t="str">
        <x:v>Proposition : expérience centrale dont la libération bouleverse les factions.</x:v>
      </x:c>
      <x:c r="Q36" s="71" t="str">
        <x:v>Proposition : un individu suivi par identifiant ; alliés, gardes et autres Xénomorphes peuvent changer de cible selon scénario.</x:v>
      </x:c>
      <x:c r="R36" s="71" t="str">
        <x:v>X/H et confrontation d’organismes du récit ; ajout Yautja explicitement adapté.</x:v>
      </x:c>
      <x:c r="S36" s="71" t="str">
        <x:v>X-L07 — Charon — complexe expérimental et ruche souterraine</x:v>
      </x:c>
      <x:c r="T36" s="71" t="str">
        <x:v>King Prime/Titan, domination générale et ondes sismiques ne sont pas établis par les notices officielles. Ne pas généraliser une nouvelle caste royale.</x:v>
      </x:c>
      <x:c r="U36" s="71" t="str">
        <x:v>P1</x:v>
      </x:c>
    </x:row>
    <x:row r="37" ht="103.5" customHeight="1">
      <x:c r="A37" s="70" t="str">
        <x:v>XEN-031</x:v>
      </x:c>
      <x:c r="B37" s="70" t="str">
        <x:v>Xénomorphes</x:v>
      </x:c>
      <x:c r="C37" s="70" t="str">
        <x:v>Warriors rouges de Genocide</x:v>
      </x:c>
      <x:c r="D37" s="70" t="str">
        <x:v>Population / phénotype d’une continuité de comic</x:v>
      </x:c>
      <x:c r="E37" s="70" t="str">
        <x:v>commun</x:v>
      </x:c>
      <x:c r="F37" s="70" t="str">
        <x:v>Aliens: Genocide</x:v>
      </x:c>
      <x:c r="G37" s="70" t="str">
        <x:v>Comic</x:v>
      </x:c>
      <x:c r="H37" s="70" t="str">
        <x:v>Population du récit Genocide ; la couleur seule ne définit pas toutes les allégeances.</x:v>
      </x:c>
      <x:c r="I37" s="70" t="str">
        <x:v>Confirmé dans l’œuvre référencée ; adaptation de gameplay distincte</x:v>
      </x:c>
      <x:c r="J37" s="70" t="str">
        <x:v>Genocide est représenté par des Warriors noirs et rouges.</x:v>
      </x:c>
      <x:c r="K37" s="70" t="str">
        <x:v>X-S12 — Aliens Series 5 — Genocide Black and Red Xenomorph Warriors
NECA ; Présentation officielle de produits licenciés
Portée : Confirme les Warriors rouges/noirs de la bande dessinée Genocide ; couleur et population ne deviennent pas une caste universelle.
Consulté le 2026-10-26</x:v>
      </x:c>
      <x:c r="L37" s="77" t="str">
        <x:v>https://store.necaonline.com/blogs/behind-the-scenes/closer-look-aliens-series-5-action-figures</x:v>
      </x:c>
      <x:c r="M37" s="70" t="str">
        <x:v>Partiel — modèle/spawn et comportement présents dans le code ; exécution non certifiée au SHA audité</x:v>
      </x:c>
      <x:c r="N37" s="70" t="str">
        <x:v>0f37cc52f9d83a4abecc17b80f7bfc67701677cf — js/entities/XenomorphHorde.js:143–188 (red_warrior aléatoire) ; https://github.com/darknigthmare/Yautja-hive-warriors/blob/0f37cc52f9d83a4abecc17b80f7bfc67701677cf/js/entities/XenomorphHorde.js#L143-L188 ; 0f37cc52f9d83a4abecc17b80f7bfc67701677cf — js/entities/XenomorphHorde.js:2775–2798 (attaque contre d’autres types) ; https://github.com/darknigthmare/Yautja-hive-warriors/blob/0f37cc52f9d83a4abecc17b80f7bfc67701677cf/js/entities/XenomorphHorde.js#L2775-L2798</x:v>
      </x:c>
      <x:c r="O37" s="70" t="str">
        <x:v>Remplacer la décision d’hostilité par couleur par des identifiants de ruches ; documenter le conflit et verrouiller cette population à son scénario.</x:v>
      </x:c>
      <x:c r="P37" s="70" t="str">
        <x:v>Proposition : front de rivalité entre ruches que le joueur peut exploiter.</x:v>
      </x:c>
      <x:c r="Q37" s="70" t="str">
        <x:v>Proposition : cellule cohérente d’une ruche avec commandement et réserve ; pas de mélange hostile automatique au milieu d’une même vague.</x:v>
      </x:c>
      <x:c r="R37" s="70" t="str">
        <x:v>X/X et H selon scénario Genocide ; Y et trois camps en crossover déclaré.</x:v>
      </x:c>
      <x:c r="S37" s="70" t="str"/>
      <x:c r="T37" s="70" t="str">
        <x:v>La fiche produit confirme les représentations ; elle ne suffit pas à définir tous les liens sociaux ni pouvoirs de cette population.</x:v>
      </x:c>
      <x:c r="U37" s="70" t="str">
        <x:v>P2</x:v>
      </x:c>
    </x:row>
    <x:row r="38" ht="90" customHeight="1">
      <x:c r="A38" s="71" t="str">
        <x:v>XEN-032</x:v>
      </x:c>
      <x:c r="B38" s="71" t="str">
        <x:v>Xénomorphes</x:v>
      </x:c>
      <x:c r="C38" s="71" t="str">
        <x:v>Red Queen Mother de Genocide</x:v>
      </x:c>
      <x:c r="D38" s="71" t="str">
        <x:v>Individu royal nommé / forme de comic</x:v>
      </x:c>
      <x:c r="E38" s="71" t="str">
        <x:v>unique</x:v>
      </x:c>
      <x:c r="F38" s="71" t="str">
        <x:v>Aliens: Genocide</x:v>
      </x:c>
      <x:c r="G38" s="71" t="str">
        <x:v>Comic</x:v>
      </x:c>
      <x:c r="H38" s="71" t="str">
        <x:v>Identité confirmée dans la gamme officielle tirée du comic, sans assimilation automatique à Empress.</x:v>
      </x:c>
      <x:c r="I38" s="71" t="str">
        <x:v>Confirmé : nom et représentation liés au comic ; pouvoirs précis à vérifier</x:v>
      </x:c>
      <x:c r="J38" s="71" t="str">
        <x:v>La Red Queen Mother est représentée d’après Genocide.</x:v>
      </x:c>
      <x:c r="K38" s="71" t="str">
        <x:v>X-S13 — Aliens: Genocide — Red Queen Mother
NECA ; Présentation officielle de produit licencié
Portée : Appellation et design associés à Genocide de Dark Horse ; ne prouve ni vol ni identité avec les aliases Empress/Imperial du code.
Consulté le 2026-10-26</x:v>
      </x:c>
      <x:c r="L38" s="76" t="str">
        <x:v>https://store.necaonline.com/blogs/behind-the-scenes/172394311-closer-look-aliens-genocide-red-queen-mother-ultra-deluxe-action-figure</x:v>
      </x:c>
      <x:c r="M38" s="71" t="str">
        <x:v>Nominal ou voisin — forme apparentée présente ; identité officielle et profil dédié non établis</x:v>
      </x:c>
      <x:c r="N38" s="71" t="str">
        <x:v>0f37cc52f9d83a4abecc17b80f7bfc67701677cf — js/entities/Bosses.js:26–36 (empress_matriarch et imperial_queen) ; https://github.com/darknigthmare/Yautja-hive-warriors/blob/0f37cc52f9d83a4abecc17b80f7bfc67701677cf/js/entities/Bosses.js#L26-L36 ; 0f37cc52f9d83a4abecc17b80f7bfc67701677cf — js/entities/Bosses.js:1965–1968 (pouvoir de souffle Empress) ; https://github.com/darknigthmare/Yautja-hive-warriors/blob/0f37cc52f9d83a4abecc17b80f7bfc67701677cf/js/entities/Bosses.js#L1965-L1968</x:v>
      </x:c>
      <x:c r="O38" s="71" t="str">
        <x:v>Déterminer si le projet veut ce personnage précis ; créer son profil seulement après contrôle de l’œuvre complète, de l’allégeance et du design.</x:v>
      </x:c>
      <x:c r="P38" s="71" t="str">
        <x:v>Proposition : centre stratégique d’une ruche dans une opération dédiée.</x:v>
      </x:c>
      <x:c r="Q38" s="71" t="str">
        <x:v>Proposition : une dirigeante de scénario, avec gardes issus de la même population.</x:v>
      </x:c>
      <x:c r="R38" s="71" t="str">
        <x:v>Récit Genocide ; H/Y/trois camps seulement par adaptation explicitement définie.</x:v>
      </x:c>
      <x:c r="S38" s="71" t="str"/>
      <x:c r="T38" s="71" t="str">
        <x:v>Le nom ne prouve pas une forme volante, un vortex, ni une identité avec les aliases Empress ou Imperial du code.</x:v>
      </x:c>
      <x:c r="U38" s="71" t="str">
        <x:v>P2</x:v>
      </x:c>
    </x:row>
    <x:row r="39" ht="76.5" customHeight="1">
      <x:c r="A39" s="70" t="str">
        <x:v>XEN-033</x:v>
      </x:c>
      <x:c r="B39" s="70" t="str">
        <x:v>Autres espèces extraterrestres</x:v>
      </x:c>
      <x:c r="C39" s="70" t="str">
        <x:v>Eye Midge / The Eye</x:v>
      </x:c>
      <x:c r="D39" s="70" t="str">
        <x:v>Autre espèce — parasite oculaire</x:v>
      </x:c>
      <x:c r="E39" s="70" t="str">
        <x:v>unique</x:v>
      </x:c>
      <x:c r="F39" s="70" t="str">
        <x:v>Alien: Earth</x:v>
      </x:c>
      <x:c r="G39" s="70" t="str">
        <x:v>Série</x:v>
      </x:c>
      <x:c r="H39" s="70" t="str">
        <x:v>Organisme de la série, distinct des Xénomorphes.</x:v>
      </x:c>
      <x:c r="I39" s="70" t="str">
        <x:v>Confirmé par entretien officiel du créateur ; adaptation de gameplay distincte</x:v>
      </x:c>
      <x:c r="J39" s="70" t="str">
        <x:v>Noah Hawley décrit Eye Midge comme un parasite oculaire intelligent.</x:v>
      </x:c>
      <x:c r="K39" s="70" t="str">
        <x:v>X-S18 — Alien: Earth — Official Podcast, Episode 5
FX ; Entretien officiel avec Noah Hawley
Portée : Nomme Eye Midge et Maginot ; le créateur décrit le parasite oculaire. Ne l’identifie pas comme Xénomorphe.
Consulté le 2026-10-26</x:v>
      </x:c>
      <x:c r="L39" s="77" t="str">
        <x:v>https://www.fxnetworks.com/shows/alien-earth/podcast/episode-5</x:v>
      </x:c>
      <x:c r="M39" s="70" t="str">
        <x:v>Absent dans le périmètre audité — modèle/spawn/IA dédiés non trouvés</x:v>
      </x:c>
      <x:c r="N39" s="70" t="str">
        <x:v>Recherche des identifiants concernés dans js au SHA 0f37cc52f9d83a4abecc17b80f7bfc67701677cf : aucun modèle, spawn ou branche d’IA correspondant trouvé ; 0f37cc52f9d83a4abecc17b80f7bfc67701677cf — js/entities/XenomorphHorde.js:81–188 (registre global des vagues) ; https://github.com/darknigthmare/Yautja-hive-warriors/blob/0f37cc52f9d83a4abecc17b80f7bfc67701677cf/js/entities/XenomorphHorde.js#L81-L188</x:v>
      </x:c>
      <x:c r="O39" s="70" t="str">
        <x:v>Créer un système d’hôte contrôlé, détection et extraction ; ne pas réutiliser une vague Xénomorphe ni multiplier le parasite sans scénario.</x:v>
      </x:c>
      <x:c r="P39" s="70" t="str">
        <x:v>Proposition : infiltration et menace intérieure à un groupe humain.</x:v>
      </x:c>
      <x:c r="Q39" s="70" t="str">
        <x:v>Proposition : un parasite actif lié à un hôte identifié ; conserver l’état de possession entre secteurs.</x:v>
      </x:c>
      <x:c r="R39" s="70" t="str">
        <x:v>Autre/H dans la série ; interactions avec X ou Y proposées en crossover seulement.</x:v>
      </x:c>
      <x:c r="S39" s="70" t="str">
        <x:v>X-L08 — USCSS Maginot — confinement des spécimens</x:v>
      </x:c>
      <x:c r="T39" s="70" t="str">
        <x:v>Ne pas le ranger dans une caste Xénomorphe ; aucun nom latin non vérifié ajouté. Transfert entre espèces et pouvoirs doivent rester bornés aux scènes documentées.</x:v>
      </x:c>
      <x:c r="U39" s="70" t="str">
        <x:v>P2</x:v>
      </x:c>
    </x:row>
    <x:row r="40" ht="76.5" customHeight="1">
      <x:c r="A40" s="71" t="str">
        <x:v>XEN-034</x:v>
      </x:c>
      <x:c r="B40" s="71" t="str">
        <x:v>Xénomorphes</x:v>
      </x:c>
      <x:c r="C40" s="71" t="str">
        <x:v>Xénomorphe de Sevastopol</x:v>
      </x:c>
      <x:c r="D40" s="71" t="str">
        <x:v>Profil adulte local attesté ; caste détaillée non affirmée</x:v>
      </x:c>
      <x:c r="E40" s="71" t="str">
        <x:v>Adulte local ; effectifs de guerre uniquement en variante originale</x:v>
      </x:c>
      <x:c r="F40" s="71" t="str">
        <x:v>Alien: Isolation — The Trigger</x:v>
      </x:c>
      <x:c r="G40" s="71" t="str">
        <x:v>Jeu</x:v>
      </x:c>
      <x:c r="H40" s="71" t="str">
        <x:v>Alien / Isolation</x:v>
      </x:c>
      <x:c r="I40" s="71" t="str">
        <x:v>Présence attestée dans l’œuvre ; comportement fin à documenter</x:v>
      </x:c>
      <x:c r="J40" s="71" t="str">
        <x:v>Le contenu présente un Alien à Sevastopol.</x:v>
      </x:c>
      <x:c r="K40" s="71" t="str">
        <x:v>H-S06 — Alien: Isolation — The Trigger
SEGA / page éditeur Epic Games Store ; Source primaire officielle
Portée : Sevastopol et Working Joes dans le texte commercial du contenu officiel ; ne prouve pas toutes leurs règles d’IA.
Consulté le 2026-10-26</x:v>
      </x:c>
      <x:c r="L40" s="76" t="str">
        <x:v>https://store.epicgames.com/p/alien-isolation--the-trigger?lang=en-US</x:v>
      </x:c>
      <x:c r="M40" s="71" t="str">
        <x:v>Profil d’œuvre distinct non établi dans le registre inspecté ; classes génériques déjà présentes.</x:v>
      </x:c>
      <x:c r="N40" s="71" t="str">
        <x:v>https://github.com/darknigthmare/Yautja-hive-warriors/blob/0f37cc52f9d83a4abecc17b80f7bfc67701677cf/js/entities/XenomorphHorde.js</x:v>
      </x:c>
      <x:c r="O40" s="71" t="str">
        <x:v>Séparer identité visuelle, vitesse, attaques et navigation par œuvre ; documenter les scènes avant de revendiquer une reconstitution.</x:v>
      </x:c>
      <x:c r="P40" s="71" t="str">
        <x:v>Proposition : Traque persistante, voies techniques et pressions rares ; ne pas reprendre les statistiques du Drone Fireteam.</x:v>
      </x:c>
      <x:c r="Q40" s="71" t="str">
        <x:v>Petits ou grands groupes selon le théâtre et le mode ; ne pas déduire une population canonique du budget de conception.</x:v>
      </x:c>
      <x:c r="R40" s="71" t="str">
        <x:v>X-H ; ajout Y-X ou X-Y-H seulement en scénario original annoncé</x:v>
      </x:c>
      <x:c r="S40" s="71" t="str">
        <x:v>H-L01 — Sevastopol
X-L05 — Sevastopol</x:v>
      </x:c>
      <x:c r="T40" s="71" t="str">
        <x:v>La présence d’un Xénomorphe ne prouve pas Carrier, Ravager, Praetorian ou Queen dans ce lieu. Pas de taxon distinct inventé ; cet identifiant sert à sélectionner la bonne incarnation.</x:v>
      </x:c>
      <x:c r="U40" s="71" t="str">
        <x:v>P1</x:v>
      </x:c>
    </x:row>
    <x:row r="41" ht="238.5" customHeight="1">
      <x:c r="A41" s="70" t="str">
        <x:v>XEN-035</x:v>
      </x:c>
      <x:c r="B41" s="70" t="str">
        <x:v>Xénomorphes</x:v>
      </x:c>
      <x:c r="C41" s="70" t="str">
        <x:v>Xénomorphes des récits Marvel retenus</x:v>
      </x:c>
      <x:c r="D41" s="70" t="str">
        <x:v>Profil adulte local attesté ; caste détaillée non affirmée</x:v>
      </x:c>
      <x:c r="E41" s="70" t="str">
        <x:v>Adulte local ; effectifs de guerre uniquement en variante originale</x:v>
      </x:c>
      <x:c r="F41" s="70" t="str">
        <x:v>Alien (2021) #3, #10 ; Alien (2022) #3</x:v>
      </x:c>
      <x:c r="G41" s="70" t="str">
        <x:v>Comics</x:v>
      </x:c>
      <x:c r="H41" s="70" t="str">
        <x:v>Profils séparés par arc Marvel ; nomenclature de caste non certifiée</x:v>
      </x:c>
      <x:c r="I41" s="70" t="str">
        <x:v>Présence attestée dans l’œuvre ; comportement fin à documenter</x:v>
      </x:c>
      <x:c r="J41" s="70" t="str">
        <x:v>Ces récits montrent une menace xénomorphe.</x:v>
      </x:c>
      <x:c r="K41" s="70" t="str">
        <x:v>H-S11 — Alien (2022) #3
Marvel ; Source primaire officielle
Portée : Steel Team, survivants de Tobler-9 et coopération conditionnelle ; pas un effectif de bataille certifié.
Consulté le 2026-10-26
H-S13 — Alien (2021) #3
Marvel ; Source primaire officielle
Portée : Cruz, soldats et station Epsilon ; ne certifie pas son plan intégral.
Consulté le 2026-10-26
R-S02 — Alien (2021) #10
Marvel ; Source primaire officielle
Portée : Menace xénomorphe contre les Spinners ; morphologie détaillée à relever dans l’œuvre.
Consulté le 2026-10-26</x:v>
      </x:c>
      <x:c r="L41" s="77" t="str">
        <x:v>https://www.marvel.com/comics/issue/103780/read
https://www.marvel.com/comics/issue/89571/alien_2021_3
https://www.marvel.com/comics/issue/89581/alien_2021_10</x:v>
      </x:c>
      <x:c r="M41" s="70" t="str">
        <x:v>Profil d’œuvre distinct non établi dans le registre inspecté ; classes génériques déjà présentes.</x:v>
      </x:c>
      <x:c r="N41" s="70" t="str">
        <x:v>https://github.com/darknigthmare/Yautja-hive-warriors/blob/0f37cc52f9d83a4abecc17b80f7bfc67701677cf/js/entities/XenomorphHorde.js</x:v>
      </x:c>
      <x:c r="O41" s="70" t="str">
        <x:v>Séparer identité visuelle, vitesse, attaques et navigation par œuvre ; documenter les scènes avant de revendiquer une reconstitution.</x:v>
      </x:c>
      <x:c r="P41" s="70" t="str">
        <x:v>Proposition : Adultes du théâtre concerné ; art et aptitudes à relever par arc avant de figer le bestiaire.</x:v>
      </x:c>
      <x:c r="Q41" s="70" t="str">
        <x:v>Petits ou grands groupes selon le théâtre et le mode ; ne pas déduire une population canonique du budget de conception.</x:v>
      </x:c>
      <x:c r="R41" s="70" t="str">
        <x:v>X-H ; ajout Y-X ou X-Y-H seulement en scénario original annoncé</x:v>
      </x:c>
      <x:c r="S41" s="70" t="str">
        <x:v>H-L06 — Tobler-9
H-L07 — Station Epsilon
H-L08 — Lune des Spinners — nom à confirmer</x:v>
      </x:c>
      <x:c r="T41" s="70" t="str">
        <x:v>La présence d’un Xénomorphe ne prouve pas Carrier, Ravager, Praetorian ou Queen dans ce lieu. Pas de taxon distinct inventé ; cet identifiant sert à sélectionner la bonne incarnation.</x:v>
      </x:c>
      <x:c r="U41" s="70" t="str">
        <x:v>P1</x:v>
      </x:c>
    </x:row>
    <x:row r="42" ht="76.5" customHeight="1">
      <x:c r="A42" s="71" t="str">
        <x:v>XEN-036</x:v>
      </x:c>
      <x:c r="B42" s="71" t="str">
        <x:v>Xénomorphes</x:v>
      </x:c>
      <x:c r="C42" s="71" t="str">
        <x:v>Xénomorphe d’Alien: Earth</x:v>
      </x:c>
      <x:c r="D42" s="71" t="str">
        <x:v>Profil adulte local attesté ; caste détaillée non affirmée</x:v>
      </x:c>
      <x:c r="E42" s="71" t="str">
        <x:v>Adulte local ; effectifs de guerre uniquement en variante originale</x:v>
      </x:c>
      <x:c r="F42" s="71" t="str">
        <x:v>Alien: Earth, épisode 2</x:v>
      </x:c>
      <x:c r="G42" s="71" t="str">
        <x:v>Série</x:v>
      </x:c>
      <x:c r="H42" s="71" t="str">
        <x:v>Alien / Earth, 2120</x:v>
      </x:c>
      <x:c r="I42" s="71" t="str">
        <x:v>Présence attestée dans l’œuvre ; comportement fin à documenter</x:v>
      </x:c>
      <x:c r="J42" s="71" t="str">
        <x:v>Une scène officielle montre un Xénomorphe attaquant Hermit.</x:v>
      </x:c>
      <x:c r="K42" s="71" t="str">
        <x:v>R-S01 — Alien: Earth — scène officielle de l’épisode 2
FX ; Source primaire officielle
Portée : Présence d’un Xénomorphe attaquant Hermit ; ne prouve ni une caste formelle ni un nombre total.
Consulté le 2026-10-26</x:v>
      </x:c>
      <x:c r="L42" s="76" t="str">
        <x:v>https://www.fxnetworks.com/shows/alien-earth/video-extras/video/689cd9cc46e0fb00016d6877</x:v>
      </x:c>
      <x:c r="M42" s="71" t="str">
        <x:v>Profil d’œuvre distinct non établi dans le registre inspecté ; classes génériques déjà présentes.</x:v>
      </x:c>
      <x:c r="N42" s="71" t="str">
        <x:v>https://github.com/darknigthmare/Yautja-hive-warriors/blob/0f37cc52f9d83a4abecc17b80f7bfc67701677cf/js/entities/XenomorphHorde.js</x:v>
      </x:c>
      <x:c r="O42" s="71" t="str">
        <x:v>Séparer identité visuelle, vitesse, attaques et navigation par œuvre ; documenter les scènes avant de revendiquer une reconstitution.</x:v>
      </x:c>
      <x:c r="P42" s="71" t="str">
        <x:v>Proposition : Poursuite dans le site et intrusion ; paramètres proposés, aucune caste Fireteam ou Extinction importée.</x:v>
      </x:c>
      <x:c r="Q42" s="71" t="str">
        <x:v>Petits ou grands groupes selon le théâtre et le mode ; ne pas déduire une population canonique du budget de conception.</x:v>
      </x:c>
      <x:c r="R42" s="71" t="str">
        <x:v>X-H ; ajout Y-X ou X-Y-H seulement en scénario original annoncé</x:v>
      </x:c>
      <x:c r="S42" s="71" t="str">
        <x:v>H-L05 — Prodigy City et épave de l’USCSS Maginot
X-L08 — USCSS Maginot — confinement des spécimens</x:v>
      </x:c>
      <x:c r="T42" s="71" t="str">
        <x:v>La présence d’un Xénomorphe ne prouve pas Carrier, Ravager, Praetorian ou Queen dans ce lieu. Pas de taxon distinct inventé ; cet identifiant sert à sélectionner la bonne incarnation.</x:v>
      </x:c>
      <x:c r="U42" s="71" t="str">
        <x:v>P1</x:v>
      </x:c>
    </x:row>
    <x:row r="43" ht="76.5" customHeight="1">
      <x:c r="A43" s="70" t="str">
        <x:v>XEN-037</x:v>
      </x:c>
      <x:c r="B43" s="70" t="str">
        <x:v>Xénomorphes</x:v>
      </x:c>
      <x:c r="C43" s="70" t="str">
        <x:v>Xénomorphes adultes de Dark Descent</x:v>
      </x:c>
      <x:c r="D43" s="70" t="str">
        <x:v>Profil adulte local attesté ; caste détaillée non affirmée</x:v>
      </x:c>
      <x:c r="E43" s="70" t="str">
        <x:v>Adulte local ; effectifs de guerre uniquement en variante originale</x:v>
      </x:c>
      <x:c r="F43" s="70" t="str">
        <x:v>Aliens: Dark Descent</x:v>
      </x:c>
      <x:c r="G43" s="70" t="str">
        <x:v>Jeu</x:v>
      </x:c>
      <x:c r="H43" s="70" t="str">
        <x:v>Alien / Dark Descent</x:v>
      </x:c>
      <x:c r="I43" s="70" t="str">
        <x:v>Présence attestée dans l’œuvre ; comportement fin à documenter</x:v>
      </x:c>
      <x:c r="J43" s="70" t="str">
        <x:v>Le jeu confronte les Marines aux Xénomorphes.</x:v>
      </x:c>
      <x:c r="K43" s="70" t="str">
        <x:v>H-S04 — Dark Descent — bande-annonce de l’histoire
Focus Entertainment / Tindalos ; Source primaire officielle
Portée : Lethe, Otago, Pioneer Station, commandos humains rebelles et fonctions des personnages cités.
Consulté le 2026-10-26</x:v>
      </x:c>
      <x:c r="L43" s="77" t="str">
        <x:v>https://www.focus-entmt.com/en/news/tindalos-and-focus-reveal-story-trailer-for-aliens-dark-descent</x:v>
      </x:c>
      <x:c r="M43" s="70" t="str">
        <x:v>Profil d’œuvre distinct non établi dans le registre inspecté ; classes génériques déjà présentes.</x:v>
      </x:c>
      <x:c r="N43" s="70" t="str">
        <x:v>https://github.com/darknigthmare/Yautja-hive-warriors/blob/0f37cc52f9d83a4abecc17b80f7bfc67701677cf/js/entities/XenomorphHorde.js</x:v>
      </x:c>
      <x:c r="O43" s="70" t="str">
        <x:v>Séparer identité visuelle, vitesse, attaques et navigation par œuvre ; documenter les scènes avant de revendiquer une reconstitution.</x:v>
      </x:c>
      <x:c r="P43" s="70" t="str">
        <x:v>Proposition : Adultes du profil Dark Descent ; apparence, attaques et paramètres à relever dans ce jeu.</x:v>
      </x:c>
      <x:c r="Q43" s="70" t="str">
        <x:v>Petits ou grands groupes selon le théâtre et le mode ; ne pas déduire une population canonique du budget de conception.</x:v>
      </x:c>
      <x:c r="R43" s="70" t="str">
        <x:v>X-H ; ajout Y-X ou X-Y-H seulement en scénario original annoncé</x:v>
      </x:c>
      <x:c r="S43" s="70" t="str">
        <x:v>H-L02 — Lethe
X-L04 — Lethe — colonie et liaison Pioneer</x:v>
      </x:c>
      <x:c r="T43" s="70" t="str">
        <x:v>La présence d’un Xénomorphe ne prouve pas Carrier, Ravager, Praetorian ou Queen dans ce lieu. Pas de taxon distinct inventé ; cet identifiant sert à sélectionner la bonne incarnation.</x:v>
      </x:c>
      <x:c r="U43" s="70" t="str">
        <x:v>P1</x:v>
      </x:c>
    </x:row>
    <x:row r="44" ht="171" customHeight="1">
      <x:c r="A44" s="71" t="str">
        <x:v>YAU-001</x:v>
      </x:c>
      <x:c r="B44" s="71" t="str">
        <x:v>Yautja</x:v>
      </x:c>
      <x:c r="C44" s="71" t="str">
        <x:v>Jungle Hunter</x:v>
      </x:c>
      <x:c r="D44" s="71" t="str">
        <x:v>Individu filmique</x:v>
      </x:c>
      <x:c r="E44" s="71" t="str">
        <x:v>unique</x:v>
      </x:c>
      <x:c r="F44" s="71" t="str">
        <x:v>Predator (1987)</x:v>
      </x:c>
      <x:c r="G44" s="71" t="str">
        <x:v>Film</x:v>
      </x:c>
      <x:c r="H44" s="71" t="str">
        <x:v>Confirmé dans cette œuvre ; les statistiques, groupes, cartes étendues et missions ajoutés sont des propositions de jeu.</x:v>
      </x:c>
      <x:c r="I44" s="71" t="str">
        <x:v>Confirmé dans l’œuvre</x:v>
      </x:c>
      <x:c r="J44" s="71" t="str">
        <x:v>Le chasseur de Predator utilise le camouflage et poursuit une équipe humaine dans la jungle.</x:v>
      </x:c>
      <x:c r="K44" s="71" t="str">
        <x:v>Y-S01 — Predator — fiche officielle du film
20th Century Studios ; Studio / synopsis
Portée : Film de 1987 : chasse humaine, jungle, camouflage ; ni pays explicitement nommé ni plan coté.
Consulté le 2026-10-26
Y-S02 — Ultimate Jungle Hunter — catalogue NECA
NECA ; Catalogue licencié
Portée : Identification du Jungle Hunter et canon plasma. La localisation Guatemala diffère du libellé Val Verde du projet ; ne tranche pas une géographie universelle.
Consulté le 2026-10-26</x:v>
      </x:c>
      <x:c r="L44" s="76" t="str">
        <x:v>https://www.20thcenturystudios.com/movies/predator
https://store.necaonline.com/products/predator-ultimate-jungle-hunter-7-scale-action-figure</x:v>
      </x:c>
      <x:c r="M44" s="71" t="str">
        <x:v>Partiel — personnage jouable déclaré ; fidélité de l’équipement non certifiée</x:v>
      </x:c>
      <x:c r="N44" s="71" t="str">
        <x:v>jungle_hunter ; hache secondaire, plasma et gadgets déclarés — v65.5 / 0f37cc52 : js/data/charactersData.js:49–65 ; https://github.com/darknigthmare/Yautja-hive-warriors/blob/0f37cc52f9d83a4abecc17b80f7bfc67701677cf/js/data/charactersData.js#L49-L65</x:v>
      </x:c>
      <x:c r="O44" s="71" t="str">
        <x:v>Documenter chaque arme par scène ; séparer la hache et les mines proposées du preset film ; rendre le camouflage et la chasse propres à ce profil.</x:v>
      </x:c>
      <x:c r="P44" s="71" t="str">
        <x:v>Proposition : traque verticale, embuscade à distance puis combat rapproché ; mobilité et discrétion avant endurance artificielle.</x:v>
      </x:c>
      <x:c r="Q44" s="71" t="str">
        <x:v>Proposition : un seul individu nommé par opération, compté dans son budget ; s’il est joué, compter le joueur séparément. Aucun clone de renfort.</x:v>
      </x:c>
      <x:c r="R44" s="71" t="str">
        <x:v>Y/H : périmètre du film. Y/X, Y/Y ou trois camps : scénario original séparé, sans prétention de reconstitution.</x:v>
      </x:c>
      <x:c r="S44" s="71" t="str">
        <x:v>Jungle du film Predator ; carte actuelle dite Val Verde 1987 à vérifier géographiquement</x:v>
      </x:c>
      <x:c r="T44" s="71" t="str">
        <x:v>Individu, pas caste Jungle. Le studio ne nomme pas Val Verde ; NECA indique Guatemala. Le total de 36 entrées d’armurerie n’autorise pas chaque arme sur ce profil.</x:v>
      </x:c>
      <x:c r="U44" s="71" t="str">
        <x:v>P1</x:v>
      </x:c>
    </x:row>
    <x:row r="45" ht="184.5" customHeight="1">
      <x:c r="A45" s="70" t="str">
        <x:v>YAU-002</x:v>
      </x:c>
      <x:c r="B45" s="70" t="str">
        <x:v>Yautja</x:v>
      </x:c>
      <x:c r="C45" s="70" t="str">
        <x:v>City Hunter</x:v>
      </x:c>
      <x:c r="D45" s="70" t="str">
        <x:v>Individu filmique ; adaptation de classe PHG distincte</x:v>
      </x:c>
      <x:c r="E45" s="70" t="str">
        <x:v>unique</x:v>
      </x:c>
      <x:c r="F45" s="70" t="str">
        <x:v>Predator 2 (1990) ; Hunting Grounds</x:v>
      </x:c>
      <x:c r="G45" s="70" t="str">
        <x:v>Film / jeu</x:v>
      </x:c>
      <x:c r="H45" s="70" t="str">
        <x:v>Confirmé dans cette œuvre ; les statistiques, groupes, cartes étendues et missions ajoutés sont des propositions de jeu.</x:v>
      </x:c>
      <x:c r="I45" s="70" t="str">
        <x:v>Confirmé dans l’œuvre</x:v>
      </x:c>
      <x:c r="J45" s="70" t="str">
        <x:v>City Hunter vient de Predator 2 ; PHG nomme son incarnation City Hunter ’97 et lui associe le Combistick.</x:v>
      </x:c>
      <x:c r="K45" s="70" t="str">
        <x:v>Y-S03 — Predator: Hunting Grounds — classes DLC officielles
IllFonic ; Développeur / catalogue du jeu
Portée : Classes Samurai, Viking, City Hunter ’97, Wolf, Mr. Black, Falconer et autres ; périmètre PHG, pas hiérarchie biologique universelle.
Consulté le 2026-10-26
Y-S04 — Predator 2 — Ultimate City Hunter
NECA ; Catalogue licencié
Portée : Film de 1990, Los Angeles ; disque, filet et lance comme références d’accessoires, sans certifier un inventaire simultané exhaustif.
Consulté le 2026-10-26</x:v>
      </x:c>
      <x:c r="L45" s="77" t="str">
        <x:v>https://predator.illfonic.com/
https://store.necaonline.com/blogs/news/shipping-this-week-predator-2-ultimate-city-hunter-action-figure</x:v>
      </x:c>
      <x:c r="M45" s="70" t="str">
        <x:v>Partiel — jouable, datation et preset à préciser</x:v>
      </x:c>
      <x:c r="N45" s="70" t="str">
        <x:v>city_hunter ; titre 1990 et Handheld Plasma Pistol déclarés — v65.5 / 0f37cc52 : js/data/charactersData.js:147–162 ; https://github.com/darknigthmare/Yautja-hive-warriors/blob/0f37cc52f9d83a4abecc17b80f7bfc67701677cf/js/data/charactersData.js#L147-L162</x:v>
      </x:c>
      <x:c r="O45" s="70" t="str">
        <x:v>Séparer année de sortie 1990 et incarnation ’97 ; contrôler le pistolet plasma et les armes autorisées scène par scène ; relier poursuites urbaines et verticalité.</x:v>
      </x:c>
      <x:c r="P45" s="70" t="str">
        <x:v>Proposition : harcèlement de rue, contrôle d’accès au filet, lance et disque ; esquive entre niveaux plutôt que masse de PV.</x:v>
      </x:c>
      <x:c r="Q45" s="70" t="str">
        <x:v>Proposition : un seul individu nommé par opération, compté dans son budget ; s’il est joué, compter le joueur séparément. Aucun clone de renfort.</x:v>
      </x:c>
      <x:c r="R45" s="70" t="str">
        <x:v>Y/H : film. Y/X ou trois camps : original ; une décoration ou un trophée ne suffit pas à établir une bataille locale.</x:v>
      </x:c>
      <x:c r="S45" s="70" t="str">
        <x:v>Los Angeles de Predator 2 ; carte actuelle LA1990 à libeller sans confusion de date</x:v>
      </x:c>
      <x:c r="T45" s="70" t="str">
        <x:v>City Hunter n’est ni un rang ni tous les chasseurs urbains. Accessoires NECA et loadout PHG ne prouvent pas un inventaire filmique simultané.</x:v>
      </x:c>
      <x:c r="U45" s="70" t="str">
        <x:v>P1</x:v>
      </x:c>
    </x:row>
    <x:row r="46" ht="90" customHeight="1">
      <x:c r="A46" s="71" t="str">
        <x:v>YAU-003</x:v>
      </x:c>
      <x:c r="B46" s="71" t="str">
        <x:v>Yautja</x:v>
      </x:c>
      <x:c r="C46" s="71" t="str">
        <x:v>Wolf</x:v>
      </x:c>
      <x:c r="D46" s="71" t="str">
        <x:v>Individu vétéran ; rôle de confinement</x:v>
      </x:c>
      <x:c r="E46" s="71" t="str">
        <x:v>unique</x:v>
      </x:c>
      <x:c r="F46" s="71" t="str">
        <x:v>Aliens vs. Predator: Requiem (2007) ; PHG</x:v>
      </x:c>
      <x:c r="G46" s="71" t="str">
        <x:v>Film / jeu</x:v>
      </x:c>
      <x:c r="H46" s="71" t="str">
        <x:v>Confirmé dans cette œuvre ; les statistiques, groupes, cartes étendues et missions ajoutés sont des propositions de jeu.</x:v>
      </x:c>
      <x:c r="I46" s="71" t="str">
        <x:v>Confirmé dans l’œuvre</x:v>
      </x:c>
      <x:c r="J46" s="71" t="str">
        <x:v>IllFonic présente Wolf comme un vétéran chassant les xénomorphes pour contenir une infestation au Colorado.</x:v>
      </x:c>
      <x:c r="K46" s="71" t="str">
        <x:v>Y-S03 — Predator: Hunting Grounds — classes DLC officielles
IllFonic ; Développeur / catalogue du jeu
Portée : Classes Samurai, Viking, City Hunter ’97, Wolf, Mr. Black, Falconer et autres ; périmètre PHG, pas hiérarchie biologique universelle.
Consulté le 2026-10-26</x:v>
      </x:c>
      <x:c r="L46" s="76" t="str">
        <x:v>https://predator.illfonic.com/</x:v>
      </x:c>
      <x:c r="M46" s="71" t="str">
        <x:v>Partiel — jouable, rôle spécialisé incomplet</x:v>
      </x:c>
      <x:c r="N46" s="71" t="str">
        <x:v>wolf_predator ; double caster, fouet et solvant déclarés — v65.5 / 0f37cc52 : js/data/charactersData.js:67–81 ; https://github.com/darknigthmare/Yautja-hive-warriors/blob/0f37cc52f9d83a4abecc17b80f7bfc67701677cf/js/data/charactersData.js#L67-L81 ; Le codex assimile Wolf au rang Elite — v65.5 / 0f37cc52 : js/ui/LoreCodex.js:17–19 ; https://github.com/darknigthmare/Yautja-hive-warriors/blob/0f37cc52f9d83a4abecc17b80f7bfc67701677cf/js/ui/LoreCodex.js#L17-L19</x:v>
      </x:c>
      <x:c r="O46" s="71" t="str">
        <x:v>Créer des objectifs de confinement et de récupération de traces ; référencer fouet, double canon et solvant séparément ; évaluer leur usage réel dans Player.</x:v>
      </x:c>
      <x:c r="P46" s="71" t="str">
        <x:v>Proposition : spécialiste d’intervention locale, suppression de foyers et fermeture des voies de propagation.</x:v>
      </x:c>
      <x:c r="Q46" s="71" t="str">
        <x:v>Proposition : un seul individu nommé par opération, compté dans son budget ; s’il est joué, compter le joueur séparément. Aucun clone de renfort.</x:v>
      </x:c>
      <x:c r="R46" s="71" t="str">
        <x:v>Y/X et humains présents : périmètre AVPR ; alliances et guerre à trois camps proposées doivent préciser leurs objectifs propres.</x:v>
      </x:c>
      <x:c r="S46" s="71" t="str">
        <x:v>Colorado / secteur d’AVPR à documenter ; extension originale de confinement</x:v>
      </x:c>
      <x:c r="T46" s="71" t="str">
        <x:v>Vétéran ou nettoyeur décrit un individu et une mission ; la source ne démontre pas un rang Elite universel ni une caste biologique.</x:v>
      </x:c>
      <x:c r="U46" s="71" t="str">
        <x:v>P1</x:v>
      </x:c>
    </x:row>
    <x:row r="47" ht="171" customHeight="1">
      <x:c r="A47" s="70" t="str">
        <x:v>YAU-004</x:v>
      </x:c>
      <x:c r="B47" s="70" t="str">
        <x:v>Yautja</x:v>
      </x:c>
      <x:c r="C47" s="70" t="str">
        <x:v>Feral Predator</x:v>
      </x:c>
      <x:c r="D47" s="70" t="str">
        <x:v>Individu filmique à équipement distinct</x:v>
      </x:c>
      <x:c r="E47" s="70" t="str">
        <x:v>unique</x:v>
      </x:c>
      <x:c r="F47" s="70" t="str">
        <x:v>Prey (2022)</x:v>
      </x:c>
      <x:c r="G47" s="70" t="str">
        <x:v>Film</x:v>
      </x:c>
      <x:c r="H47" s="70" t="str">
        <x:v>Confirmé dans cette œuvre ; les statistiques, groupes, cartes étendues et missions ajoutés sont des propositions de jeu.</x:v>
      </x:c>
      <x:c r="I47" s="70" t="str">
        <x:v>Confirmé dans l’œuvre</x:v>
      </x:c>
      <x:c r="J47" s="70" t="str">
        <x:v>Prey décrit un adversaire technologiquement avancé ; NECA associe Feral au masque osseux, bolt gun et bouclier.</x:v>
      </x:c>
      <x:c r="K47" s="70" t="str">
        <x:v>Y-S05 — Prey — fiche officielle du film
20th Century Studios ; Studio / synopsis
Portée : Nation comanche et Grandes Plaines ; adversaire doté d’un arsenal avancé. Ne prouve pas une caste primitive.
Consulté le 2026-10-26
Y-S06 — Prey — ULTRAmate Feral Predator
NECA ; Catalogue licencié
Portée : Attribution à Prey ; masque osseux, bolt gun, bouclier, combistick. Accessoires à vérifier scène par scène ; produit annoncé pour 2027, pas preuve de disponibilité actuelle.
Consulté le 2026-10-26</x:v>
      </x:c>
      <x:c r="L47" s="77" t="str">
        <x:v>https://www.20thcenturystudios.com/movies/prey
https://store.necaonline.com/collections/pre-orders/products/prey-ultramate-feral-predator-7-inch-scale-action-figure</x:v>
      </x:c>
      <x:c r="M47" s="70" t="str">
        <x:v>Partiel — jouable et boss déclarés</x:v>
      </x:c>
      <x:c r="N47" s="70" t="str">
        <x:v>feral_predator ; qualificatifs archaïque et primitif — v65.5 / 0f37cc52 : js/data/charactersData.js:99–113 ; https://github.com/darknigthmare/Yautja-hive-warriors/blob/0f37cc52f9d83a4abecc17b80f7bfc67701677cf/js/data/charactersData.js#L99-L113 ; feral_predator_boss et 8600 PV déclarés — v65.5 / 0f37cc52 : js/entities/Bosses.js:23–57 ; https://github.com/darknigthmare/Yautja-hive-warriors/blob/0f37cc52f9d83a4abecc17b80f7bfc67701677cf/js/entities/Bosses.js#L23-L57</x:v>
      </x:c>
      <x:c r="O47" s="70" t="str">
        <x:v>Réviser les qualificatifs biologiques ; préciser bolt gun plutôt que déduire deux armes du même tir ; verrouiller incarnation joueur/boss et matériel de l’époque.</x:v>
      </x:c>
      <x:c r="P47" s="70" t="str">
        <x:v>Proposition : chasse mobile, interception au bouclier et tir guidé avec fenêtres de contre ; résistance réglée après comparaison au film.</x:v>
      </x:c>
      <x:c r="Q47" s="70" t="str">
        <x:v>Proposition : un seul individu nommé par opération, compté dans son budget ; s’il est joué, compter le joueur séparément. Aucun clone de renfort.</x:v>
      </x:c>
      <x:c r="R47" s="70" t="str">
        <x:v>Y/H : périmètre Prey ; Y/X et batailles interclans : adaptations originales explicites.</x:v>
      </x:c>
      <x:c r="S47" s="70" t="str">
        <x:v>Territoire comanche / Grandes Plaines de Prey ; prey_comanche_territory</x:v>
      </x:c>
      <x:c r="T47" s="70" t="str">
        <x:v>Feral ne prouve pas une espèce primitive ni l’ancêtre de tous les Yautja. La taille d’une figurine ou le scale 3D ne prouve aucune hauteur réelle.</x:v>
      </x:c>
      <x:c r="U47" s="70" t="str">
        <x:v>P1</x:v>
      </x:c>
    </x:row>
    <x:row r="48" ht="157.5" customHeight="1">
      <x:c r="A48" s="71" t="str">
        <x:v>YAU-005</x:v>
      </x:c>
      <x:c r="B48" s="71" t="str">
        <x:v>Yautja</x:v>
      </x:c>
      <x:c r="C48" s="71" t="str">
        <x:v>Alpha Predator — classe PHG</x:v>
      </x:c>
      <x:c r="D48" s="71" t="str">
        <x:v>Classe de jeu issue d’un partenariat NECA</x:v>
      </x:c>
      <x:c r="E48" s="71" t="str">
        <x:v>unique</x:v>
      </x:c>
      <x:c r="F48" s="71" t="str">
        <x:v>Predator: Hunting Grounds (2020)</x:v>
      </x:c>
      <x:c r="G48" s="71" t="str">
        <x:v>Jeu / produit licencié</x:v>
      </x:c>
      <x:c r="H48" s="71" t="str">
        <x:v>Classe confirmée dans Hunting Grounds ; ses règles de gameplay ne constituent pas une caste biologique ni une chronologie universelle.</x:v>
      </x:c>
      <x:c r="I48" s="71" t="str">
        <x:v>Confirmé dans l’œuvre</x:v>
      </x:c>
      <x:c r="J48" s="71" t="str">
        <x:v>IllFonic confirme la classe Alpha, la Sickle et un partenariat avec NECA.</x:v>
      </x:c>
      <x:c r="K48" s="71" t="str">
        <x:v>Y-S07 — July free update comes to Predator: Hunting Grounds
IllFonic / PlayStation Blog ; Développeur / annonce
Portée : Classe Alpha et Sickle débloquées au niveau 100 dans PHG en 2020 ; aucune validation d’une généalogie universelle Yautja.
Consulté le 2026-10-26
Y-S08 — Predator: Hunting Grounds August update
IllFonic / PlayStation Blog ; Développeur / annonce
Portée : Partenariat Alpha avec NECA et déblocage Elder du jeu ; ne confirme pas le récit Amengi du registre du projet.
Consulté le 2026-10-26</x:v>
      </x:c>
      <x:c r="L48" s="76" t="str">
        <x:v>https://blog.playstation.com/?p=333379
https://blog.playstation.com/2020/08/19/predator-hunting-grounds-august-update/</x:v>
      </x:c>
      <x:c r="M48" s="71" t="str">
        <x:v>Partiel — jouable, récit d’origine insuffisamment sourcé</x:v>
      </x:c>
      <x:c r="N48" s="71" t="str">
        <x:v>alpha_predator ; texte premier Yautja et Amangi — v65.5 / 0f37cc52 : js/data/charactersData.js:83–97 ; https://github.com/darknigthmare/Yautja-hive-warriors/blob/0f37cc52f9d83a4abecc17b80f7bfc67701677cf/js/data/charactersData.js#L83-L97</x:v>
      </x:c>
      <x:c r="O48" s="71" t="str">
        <x:v>Séparer la classe jouable et le récit d’origine de la figurine ; retrouver le texte primaire NECA avant de valider Amengi/Amangi ou First Hunter.</x:v>
      </x:c>
      <x:c r="P48" s="71" t="str">
        <x:v>Proposition : profil de mêlée à faux, attaques engagées et gestion de portée ; garder les bonus dans les règles de jeu.</x:v>
      </x:c>
      <x:c r="Q48" s="71" t="str">
        <x:v>Proposition : un seul individu nommé par opération, compté dans son budget ; s’il est joué, compter le joueur séparément. Aucun clone de renfort.</x:v>
      </x:c>
      <x:c r="R48" s="71" t="str">
        <x:v>Y/H : règles PHG. Y/X, Y/Y et trois camps : variantes originales identifiées.</x:v>
      </x:c>
      <x:c r="S48" s="71" t="str">
        <x:v>Terrains sud-américains de PHG ; opérations originales compatibles</x:v>
      </x:c>
      <x:c r="T48" s="71" t="str">
        <x:v>Alpha n’est pas un rang supérieur biologique universel. Le niveau 100 est un seuil de jeu. Le récit de révolte du registre reste à vérifier dans sa continuité.</x:v>
      </x:c>
      <x:c r="U48" s="71" t="str">
        <x:v>P1</x:v>
      </x:c>
    </x:row>
    <x:row r="49" ht="90" customHeight="1">
      <x:c r="A49" s="70" t="str">
        <x:v>YAU-006</x:v>
      </x:c>
      <x:c r="B49" s="70" t="str">
        <x:v>Yautja</x:v>
      </x:c>
      <x:c r="C49" s="70" t="str">
        <x:v>Samurai Predator — PHG</x:v>
      </x:c>
      <x:c r="D49" s="70" t="str">
        <x:v>Classe DLC et incarnation de jeu</x:v>
      </x:c>
      <x:c r="E49" s="70" t="str">
        <x:v>unique</x:v>
      </x:c>
      <x:c r="F49" s="70" t="str">
        <x:v>Predator: Hunting Grounds</x:v>
      </x:c>
      <x:c r="G49" s="70" t="str">
        <x:v>Jeu</x:v>
      </x:c>
      <x:c r="H49" s="70" t="str">
        <x:v>Classe confirmée dans Hunting Grounds ; ses règles de gameplay ne constituent pas une caste biologique ni une chronologie universelle.</x:v>
      </x:c>
      <x:c r="I49" s="70" t="str">
        <x:v>Confirmé dans l’œuvre</x:v>
      </x:c>
      <x:c r="J49" s="70" t="str">
        <x:v>Le DLC officiel associe Samurai Predator au Japon féodal et à une arme Katana.</x:v>
      </x:c>
      <x:c r="K49" s="70" t="str">
        <x:v>Y-S03 — Predator: Hunting Grounds — classes DLC officielles
IllFonic ; Développeur / catalogue du jeu
Portée : Classes Samurai, Viking, City Hunter ’97, Wolf, Mr. Black, Falconer et autres ; périmètre PHG, pas hiérarchie biologique universelle.
Consulté le 2026-10-26</x:v>
      </x:c>
      <x:c r="L49" s="77" t="str">
        <x:v>https://predator.illfonic.com/</x:v>
      </x:c>
      <x:c r="M49" s="70" t="str">
        <x:v>Partiel — jouable déclaré</x:v>
      </x:c>
      <x:c r="N49" s="70" t="str">
        <x:v>samurai_predator ; katana, smart-disc et plasma déclarés — v65.5 / 0f37cc52 : js/data/charactersData.js:115–129 ; https://github.com/darknigthmare/Yautja-hive-warriors/blob/0f37cc52f9d83a4abecc17b80f7bfc67701677cf/js/data/charactersData.js#L115-L129</x:v>
      </x:c>
      <x:c r="O49" s="70" t="str">
        <x:v>Établir le preset PHG puis définir ses animations et contres ; séparer les pouvoirs Musou originaux du texte officiel du DLC.</x:v>
      </x:c>
      <x:c r="P49" s="70" t="str">
        <x:v>Proposition : duelliste à engagement précis, garde lisible, contrôle d’un passage ; dégâts et saignements à équilibrer explicitement.</x:v>
      </x:c>
      <x:c r="Q49" s="70" t="str">
        <x:v>Proposition : un seul individu nommé par opération, compté dans son budget ; s’il est joué, compter le joueur séparément. Aucun clone de renfort.</x:v>
      </x:c>
      <x:c r="R49" s="70" t="str">
        <x:v>Y/H : PHG ; épisode historique ajouté, Y/Y, Y/X ou trois camps = fiction originale documentée.</x:v>
      </x:c>
      <x:c r="S49" s="70" t="str">
        <x:v>Terrains PHG ; Japon féodal original distinct de Y-L05</x:v>
      </x:c>
      <x:c r="T49" s="70" t="str">
        <x:v>Ne pas identifier ce DLC au chasseur du Japon de Killer of Killers. Samurai et Ronin du sang ne constituent pas des rangs universels.</x:v>
      </x:c>
      <x:c r="U49" s="70" t="str">
        <x:v>P1</x:v>
      </x:c>
    </x:row>
    <x:row r="50" ht="90" customHeight="1">
      <x:c r="A50" s="71" t="str">
        <x:v>YAU-007</x:v>
      </x:c>
      <x:c r="B50" s="71" t="str">
        <x:v>Yautja</x:v>
      </x:c>
      <x:c r="C50" s="71" t="str">
        <x:v>Viking Predator — PHG</x:v>
      </x:c>
      <x:c r="D50" s="71" t="str">
        <x:v>Classe DLC et incarnation de jeu</x:v>
      </x:c>
      <x:c r="E50" s="71" t="str">
        <x:v>unique</x:v>
      </x:c>
      <x:c r="F50" s="71" t="str">
        <x:v>Predator: Hunting Grounds</x:v>
      </x:c>
      <x:c r="G50" s="71" t="str">
        <x:v>Jeu</x:v>
      </x:c>
      <x:c r="H50" s="71" t="str">
        <x:v>Classe confirmée dans Hunting Grounds ; ses règles de gameplay ne constituent pas une caste biologique ni une chronologie universelle.</x:v>
      </x:c>
      <x:c r="I50" s="71" t="str">
        <x:v>Confirmé dans l’œuvre</x:v>
      </x:c>
      <x:c r="J50" s="71" t="str">
        <x:v>Le DLC officiel propose Viking Predator et la Battle Axe dans Hunting Grounds.</x:v>
      </x:c>
      <x:c r="K50" s="71" t="str">
        <x:v>Y-S03 — Predator: Hunting Grounds — classes DLC officielles
IllFonic ; Développeur / catalogue du jeu
Portée : Classes Samurai, Viking, City Hunter ’97, Wolf, Mr. Black, Falconer et autres ; périmètre PHG, pas hiérarchie biologique universelle.
Consulté le 2026-10-26</x:v>
      </x:c>
      <x:c r="L50" s="76" t="str">
        <x:v>https://predator.illfonic.com/</x:v>
      </x:c>
      <x:c r="M50" s="71" t="str">
        <x:v>Partiel — jouable déclaré</x:v>
      </x:c>
      <x:c r="N50" s="71" t="str">
        <x:v>viking_predator ; hache, war club et Heavy Plasma Blaster déclarés — v65.5 / 0f37cc52 : js/data/charactersData.js:131–145 ; https://github.com/darknigthmare/Yautja-hive-warriors/blob/0f37cc52f9d83a4abecc17b80f7bfc67701677cf/js/data/charactersData.js#L131-L145</x:v>
      </x:c>
      <x:c r="O50" s="71" t="str">
        <x:v>Séparer l’arsenal autorisé de la classe, les ajouts originaux et le récit du DLC ; distinguer ce profil de l’anthologie 2025.</x:v>
      </x:c>
      <x:c r="P50" s="71" t="str">
        <x:v>Proposition : assaut lourd, attaques amples et récupération lente ; brèche locale sans invulnérabilité permanente.</x:v>
      </x:c>
      <x:c r="Q50" s="71" t="str">
        <x:v>Proposition : un seul individu nommé par opération, compté dans son budget ; s’il est joué, compter le joueur séparément. Aucun clone de renfort.</x:v>
      </x:c>
      <x:c r="R50" s="71" t="str">
        <x:v>Y/H : PHG ; Y/Y, Y/X et trois camps = variantes originales compatibles.</x:v>
      </x:c>
      <x:c r="S50" s="71" t="str">
        <x:v>Terrains PHG ; arène nordique originale, pas reconstitution automatique de Killer of Killers</x:v>
      </x:c>
      <x:c r="T50" s="71" t="str">
        <x:v>Viking désigne une incarnation DLC, pas une population biologique nordique. Ne pas confondre Berserker de classe, Mr. Black et ce profil.</x:v>
      </x:c>
      <x:c r="U50" s="71" t="str">
        <x:v>P1</x:v>
      </x:c>
    </x:row>
    <x:row r="51" ht="103.5" customHeight="1">
      <x:c r="A51" s="70" t="str">
        <x:v>YAU-008</x:v>
      </x:c>
      <x:c r="B51" s="70" t="str">
        <x:v>Yautja</x:v>
      </x:c>
      <x:c r="C51" s="70" t="str">
        <x:v>Scout</x:v>
      </x:c>
      <x:c r="D51" s="70" t="str">
        <x:v>Classe mécanique, pas caste biologique</x:v>
      </x:c>
      <x:c r="E51" s="70" t="str">
        <x:v>commun</x:v>
      </x:c>
      <x:c r="F51" s="70" t="str">
        <x:v>Predator: Hunting Grounds</x:v>
      </x:c>
      <x:c r="G51" s="70" t="str">
        <x:v>Jeu</x:v>
      </x:c>
      <x:c r="H51" s="70" t="str">
        <x:v>Classe confirmée dans Hunting Grounds ; ses règles de gameplay ne constituent pas une caste biologique ni une chronologie universelle.</x:v>
      </x:c>
      <x:c r="I51" s="70" t="str">
        <x:v>Confirmé dans l’œuvre</x:v>
      </x:c>
      <x:c r="J51" s="70" t="str">
        <x:v>La classe Scout privilégie mobilité, endurance et armes à distance, avec moins de santé et d’équipement.</x:v>
      </x:c>
      <x:c r="K51" s="70" t="str">
        <x:v>Y-S09 — The Predator — Scout, Hunter, Berserker
IllFonic ; Développeur / règles de jeu
Portée : Trois classes avec compromis de vitesse, endurance, dégâts et santé ; aucune équivalence à une caste biologique.
Consulté le 2026-10-26</x:v>
      </x:c>
      <x:c r="L51" s="77" t="str">
        <x:v>https://predator.illfonic.com/the-predator/</x:v>
      </x:c>
      <x:c r="M51" s="70" t="str">
        <x:v>À créer comme rôle distinct ; alliés actuels homogènes</x:v>
      </x:c>
      <x:c r="N51"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1" s="70" t="str">
        <x:v>Créer un rôle mécanique léger et son budget d’équipement ; ne pas copier un nom de classe sur un allié générique.</x:v>
      </x:c>
      <x:c r="P51" s="70" t="str">
        <x:v>Proposition : reconnaissance d’itinéraire, désignation d’une menace, interception puis retrait.</x:v>
      </x:c>
      <x:c r="Q51" s="70" t="str">
        <x:v>Proposition : détachement original de 4 PNJ avec chef identifié, dans le budget du scénario ; effectif non tiré de PHG.</x:v>
      </x:c>
      <x:c r="R51" s="70" t="str">
        <x:v>Y/H : PHG. Y/X, Y/Y et trois camps : scénario original ; appartenance au clan et diplomatie séparées de la classe.</x:v>
      </x:c>
      <x:c r="S51" s="70" t="str">
        <x:v>Terrains PHG ; cartes de guerre du clan originales</x:v>
      </x:c>
      <x:c r="T51" s="70" t="str">
        <x:v>Ne pas utiliser ces classes comme arbre généalogique. Le Berserker PHG, le Berserker du film 2010 et l’Assassin 2018 restent des profils distincts.</x:v>
      </x:c>
      <x:c r="U51" s="70" t="str">
        <x:v>P1</x:v>
      </x:c>
    </x:row>
    <x:row r="52" ht="103.5" customHeight="1">
      <x:c r="A52" s="71" t="str">
        <x:v>YAU-009</x:v>
      </x:c>
      <x:c r="B52" s="71" t="str">
        <x:v>Yautja</x:v>
      </x:c>
      <x:c r="C52" s="71" t="str">
        <x:v>Hunter</x:v>
      </x:c>
      <x:c r="D52" s="71" t="str">
        <x:v>Classe mécanique, pas caste biologique</x:v>
      </x:c>
      <x:c r="E52" s="71" t="str">
        <x:v>commun</x:v>
      </x:c>
      <x:c r="F52" s="71" t="str">
        <x:v>Predator: Hunting Grounds</x:v>
      </x:c>
      <x:c r="G52" s="71" t="str">
        <x:v>Jeu</x:v>
      </x:c>
      <x:c r="H52" s="71" t="str">
        <x:v>Classe confirmée dans Hunting Grounds ; ses règles de gameplay ne constituent pas une caste biologique ni une chronologie universelle.</x:v>
      </x:c>
      <x:c r="I52" s="71" t="str">
        <x:v>Confirmé dans l’œuvre</x:v>
      </x:c>
      <x:c r="J52" s="71" t="str">
        <x:v>La classe Hunter est présentée comme polyvalente, avec des caractéristiques équilibrées.</x:v>
      </x:c>
      <x:c r="K52" s="71" t="str">
        <x:v>Y-S09 — The Predator — Scout, Hunter, Berserker
IllFonic ; Développeur / règles de jeu
Portée : Trois classes avec compromis de vitesse, endurance, dégâts et santé ; aucune équivalence à une caste biologique.
Consulté le 2026-10-26</x:v>
      </x:c>
      <x:c r="L52" s="76" t="str">
        <x:v>https://predator.illfonic.com/the-predator/</x:v>
      </x:c>
      <x:c r="M52" s="71" t="str">
        <x:v>À créer comme rôle distinct ; alliés actuels homogènes</x:v>
      </x:c>
      <x:c r="N52" s="71"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2" s="71" t="str">
        <x:v>Créer le profil polyvalent et les ordres d’escouade ; distinguer ses paramètres d’un individu filmique nommé.</x:v>
      </x:c>
      <x:c r="P52" s="71" t="str">
        <x:v>Proposition : groupe de manœuvre polyvalent, protection d’un relais et appui à un autre front.</x:v>
      </x:c>
      <x:c r="Q52" s="71" t="str">
        <x:v>Proposition : détachement original de 4 PNJ avec chef identifié, dans le budget du scénario ; effectif non tiré de PHG.</x:v>
      </x:c>
      <x:c r="R52" s="71" t="str">
        <x:v>Y/H : PHG. Y/X, Y/Y et trois camps : scénario original ; appartenance au clan et diplomatie séparées de la classe.</x:v>
      </x:c>
      <x:c r="S52" s="71" t="str">
        <x:v>Terrains PHG ; cartes de guerre du clan originales</x:v>
      </x:c>
      <x:c r="T52" s="71" t="str">
        <x:v>Ne pas utiliser ces classes comme arbre généalogique. Le Berserker PHG, le Berserker du film 2010 et l’Assassin 2018 restent des profils distincts.</x:v>
      </x:c>
      <x:c r="U52" s="71" t="str">
        <x:v>P1</x:v>
      </x:c>
    </x:row>
    <x:row r="53" ht="103.5" customHeight="1">
      <x:c r="A53" s="70" t="str">
        <x:v>YAU-010</x:v>
      </x:c>
      <x:c r="B53" s="70" t="str">
        <x:v>Yautja</x:v>
      </x:c>
      <x:c r="C53" s="70" t="str">
        <x:v>Berserker — classe PHG</x:v>
      </x:c>
      <x:c r="D53" s="70" t="str">
        <x:v>Classe mécanique, pas caste biologique</x:v>
      </x:c>
      <x:c r="E53" s="70" t="str">
        <x:v>élite</x:v>
      </x:c>
      <x:c r="F53" s="70" t="str">
        <x:v>Predator: Hunting Grounds</x:v>
      </x:c>
      <x:c r="G53" s="70" t="str">
        <x:v>Jeu</x:v>
      </x:c>
      <x:c r="H53" s="70" t="str">
        <x:v>Classe confirmée dans Hunting Grounds ; ses règles de gameplay ne constituent pas une caste biologique ni une chronologie universelle.</x:v>
      </x:c>
      <x:c r="I53" s="70" t="str">
        <x:v>Confirmé dans l’œuvre</x:v>
      </x:c>
      <x:c r="J53" s="70" t="str">
        <x:v>La classe Berserker échange mobilité et récupération contre santé, énergie et puissance de mêlée.</x:v>
      </x:c>
      <x:c r="K53" s="70" t="str">
        <x:v>Y-S09 — The Predator — Scout, Hunter, Berserker
IllFonic ; Développeur / règles de jeu
Portée : Trois classes avec compromis de vitesse, endurance, dégâts et santé ; aucune équivalence à une caste biologique.
Consulté le 2026-10-26</x:v>
      </x:c>
      <x:c r="L53" s="77" t="str">
        <x:v>https://predator.illfonic.com/the-predator/</x:v>
      </x:c>
      <x:c r="M53" s="70" t="str">
        <x:v>À créer comme rôle distinct ; alliés actuels homogènes</x:v>
      </x:c>
      <x:c r="N53" s="70" t="str">
        <x:v>Registre des sept jouables inspecté ; aucun ID dédié à ce profil — v65.5 / 0f37cc52 : js/data/charactersData.js:49–162 ; https://github.com/darknigthmare/Yautja-hive-warriors/blob/0f37cc52f9d83a4abecc17b80f7bfc67701677cf/js/data/charactersData.js#L49-L162 ; Alliés partagent 950 PV, vitesse 14,5 et combat mêlée/plasma — v65.5 / 0f37cc52 : js/entities/YautjaAllies.js:98–158 ; https://github.com/darknigthmare/Yautja-hive-warriors/blob/0f37cc52f9d83a4abecc17b80f7bfc67701677cf/js/entities/YautjaAllies.js#L98-L158</x:v>
      </x:c>
      <x:c r="O53" s="70" t="str">
        <x:v>Créer la classe lourde avec coûts de déplacement et d’engagement ; ne pas la fusionner avec le boss Mr. Black.</x:v>
      </x:c>
      <x:c r="P53" s="70" t="str">
        <x:v>Proposition : assaut de position avec mobilité réduite ; fortes fenêtres de contre après les frappes.</x:v>
      </x:c>
      <x:c r="Q53" s="70" t="str">
        <x:v>Proposition : détachement original de 4 PNJ avec chef identifié, dans le budget du scénario ; effectif non tiré de PHG.</x:v>
      </x:c>
      <x:c r="R53" s="70" t="str">
        <x:v>Y/H : PHG. Y/X, Y/Y et trois camps : scénario original ; appartenance au clan et diplomatie séparées de la classe.</x:v>
      </x:c>
      <x:c r="S53" s="70" t="str">
        <x:v>Terrains PHG ; cartes de guerre du clan originales</x:v>
      </x:c>
      <x:c r="T53" s="70" t="str">
        <x:v>Ne pas utiliser ces classes comme arbre généalogique. Le Berserker PHG, le Berserker du film 2010 et l’Assassin 2018 restent des profils distincts.</x:v>
      </x:c>
      <x:c r="U53" s="70" t="str">
        <x:v>P1</x:v>
      </x:c>
    </x:row>
    <x:row r="54" ht="103.5" customHeight="1">
      <x:c r="A54" s="71" t="str">
        <x:v>YAU-011</x:v>
      </x:c>
      <x:c r="B54" s="71" t="str">
        <x:v>Yautja</x:v>
      </x:c>
      <x:c r="C54" s="71" t="str">
        <x:v>Young Blood — initiation AVP</x:v>
      </x:c>
      <x:c r="D54" s="71" t="str">
        <x:v>Statut rituel attesté dans une présentation officielle</x:v>
      </x:c>
      <x:c r="E54" s="71" t="str">
        <x:v>exclu</x:v>
      </x:c>
      <x:c r="F54" s="71" t="str">
        <x:v>Alien vs. Predator (2004), présentation PHG du trio</x:v>
      </x:c>
      <x:c r="G54" s="71" t="str">
        <x:v>Film / adaptation de jeu</x:v>
      </x:c>
      <x:c r="H54" s="71" t="str">
        <x:v>Statut du trio AVP confirmé dans le texte IllFonic ; généralisation à tous les clans non démontrée.</x:v>
      </x:c>
      <x:c r="I54" s="71" t="str">
        <x:v>Confirmé dans l’œuvre</x:v>
      </x:c>
      <x:c r="J54" s="71" t="str">
        <x:v>Celtic, Chopper et Scar sont présentés comme Young Blood envoyés chasser des xénomorphes lors d’un rite.</x:v>
      </x:c>
      <x:c r="K54"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4" s="76" t="str">
        <x:v>https://forum.predator.illfonic.com/t/hunting-party-dlc-pack-3/29879</x:v>
      </x:c>
      <x:c r="M54" s="71" t="str">
        <x:v>Partiel — codex et annonces, sans gestion narrative complète</x:v>
      </x:c>
      <x:c r="N54" s="71" t="str">
        <x:v>Young Blood et rite décrits — v65.5 / 0f37cc52 : js/ui/LoreCodex.js:4–15 ; https://github.com/darknigthmare/Yautja-hive-warriors/blob/0f37cc52f9d83a4abecc17b80f7bfc67701677cf/js/ui/LoreCodex.js#L4-L15 ; Annonce Young Blood à 50 KOs — v65.5 / 0f37cc52 : js/main.js:2321–2328 ; https://github.com/darknigthmare/Yautja-hive-warriors/blob/0f37cc52f9d83a4abecc17b80f7bfc67701677cf/js/main.js#L2321-L2328</x:v>
      </x:c>
      <x:c r="O54" s="71" t="str">
        <x:v>Séparer statut préalable, preuve de l’épreuve et promotion narrative ; sourcer les détails de rite, formation et droits d’équipement par œuvre.</x:v>
      </x:c>
      <x:c r="P54" s="71" t="str">
        <x:v>Proposition : mission d’initiation avec objectifs d’apprentissage et survie ; progression racontée à la fin du scénario.</x:v>
      </x:c>
      <x:c r="Q54" s="71" t="str">
        <x:v>Statut d’acteurs existants, jamais PNJ additionnels. Reconstitution : préserver les trois individus du trio. Guerre du clan : détachement de 4 initiés proposé, pas effectif canonique.</x:v>
      </x:c>
      <x:c r="R54" s="71" t="str">
        <x:v>Y/X et humains du contexte AVP. Bataille d’armée ou autre époque : mode original identifié.</x:v>
      </x:c>
      <x:c r="S54" s="71" t="str">
        <x:v>Pyramide antarctique AVP ; temple d’initiation original</x:v>
      </x:c>
      <x:c r="T54" s="71" t="str">
        <x:v>Young Blood n’est pas une caste biologique. Unblooded et Young Blood ne sont pas automatiquement deux niveaux universels ; 50 victimes ne prouve aucun rite.</x:v>
      </x:c>
      <x:c r="U54" s="71" t="str">
        <x:v>P1</x:v>
      </x:c>
    </x:row>
    <x:row r="55" ht="103.5" customHeight="1">
      <x:c r="A55" s="70" t="str">
        <x:v>YAU-012</x:v>
      </x:c>
      <x:c r="B55" s="70" t="str">
        <x:v>Yautja</x:v>
      </x:c>
      <x:c r="C55" s="70" t="str">
        <x:v>Blooded — statut acquis</x:v>
      </x:c>
      <x:c r="D55" s="70" t="str">
        <x:v>Statut rituel, distinct d’une classe de combat</x:v>
      </x:c>
      <x:c r="E55" s="70" t="str">
        <x:v>exclu</x:v>
      </x:c>
      <x:c r="F55" s="70" t="str">
        <x:v>Alien vs. Predator (2004), présentation PHG de Scar</x:v>
      </x:c>
      <x:c r="G55" s="70" t="str">
        <x:v>Film / adaptation de jeu</x:v>
      </x:c>
      <x:c r="H55" s="70" t="str">
        <x:v>Passage de Scar attesté dans le texte officiel du jeu ; privilèges universels et mécanismes biologiques non attestés.</x:v>
      </x:c>
      <x:c r="I55" s="70" t="str">
        <x:v>Confirmé dans l’œuvre</x:v>
      </x:c>
      <x:c r="J55" s="70" t="str">
        <x:v>Scar est le seul du trio présenté comme devenu Blooded après avoir tué un xénomorphe.</x:v>
      </x:c>
      <x:c r="K55"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5" s="77" t="str">
        <x:v>https://forum.predator.illfonic.com/t/hunting-party-dlc-pack-3/29879</x:v>
      </x:c>
      <x:c r="M55" s="70" t="str">
        <x:v>Partiel — marque, badge et résistance passive codés</x:v>
      </x:c>
      <x:c r="N55" s="70" t="str">
        <x:v>Marquage et réduction de dégâts de 15 % — v65.5 / 0f37cc52 : js/entities/Player.js:4650–4668 ; https://github.com/darknigthmare/Yautja-hive-warriors/blob/0f37cc52f9d83a4abecc17b80f7bfc67701677cf/js/entities/Player.js#L4650-L4668 ; Droit au canon plasma affirmé dans le codex — v65.5 / 0f37cc52 : js/ui/LoreCodex.js:13–15 ; https://github.com/darknigthmare/Yautja-hive-warriors/blob/0f37cc52f9d83a4abecc17b80f7bfc67701677cf/js/ui/LoreCodex.js#L13-L15</x:v>
      </x:c>
      <x:c r="O55" s="70" t="str">
        <x:v>Remplacer la promotion automatique par une condition de scénario ; documenter le marquage et traiter les 15 % de résistance comme règle originale.</x:v>
      </x:c>
      <x:c r="P55" s="70" t="str">
        <x:v>Proposition : statut de campagne ouvrant responsabilité ou matériel choisi ; aucun surcroît physiologique automatique.</x:v>
      </x:c>
      <x:c r="Q55" s="70" t="str">
        <x:v>Un statut appliqué à un acteur existant ; ne crée pas de PNJ ni de classe supplémentaire dans le comptage.</x:v>
      </x:c>
      <x:c r="R55" s="70" t="str">
        <x:v>Dépend de l’individu et de l’œuvre ; Blooded ne change pas seul les alliances Y/H/X.</x:v>
      </x:c>
      <x:c r="S55" s="70" t="str">
        <x:v>Pyramide AVP ; campagne originale à rite explicitement défini</x:v>
      </x:c>
      <x:c r="T55" s="70" t="str">
        <x:v>Pas de droit universel au plasma déduit de ce statut. Les annonces à 100 KOs et le bonus de résistance sont des mécaniques, pas des faits de lore.</x:v>
      </x:c>
      <x:c r="U55" s="70" t="str">
        <x:v>P1</x:v>
      </x:c>
    </x:row>
    <x:row r="56" ht="90" customHeight="1">
      <x:c r="A56" s="71" t="str">
        <x:v>YAU-013</x:v>
      </x:c>
      <x:c r="B56" s="71" t="str">
        <x:v>Yautja</x:v>
      </x:c>
      <x:c r="C56" s="71" t="str">
        <x:v>Elder / Greyback de Predator 2</x:v>
      </x:c>
      <x:c r="D56" s="71" t="str">
        <x:v>Individu ancien et chef attesté localement</x:v>
      </x:c>
      <x:c r="E56" s="71" t="str">
        <x:v>unique</x:v>
      </x:c>
      <x:c r="F56" s="71" t="str">
        <x:v>Predator 2 (1990)</x:v>
      </x:c>
      <x:c r="G56" s="71" t="str">
        <x:v>Film</x:v>
      </x:c>
      <x:c r="H56" s="71" t="str">
        <x:v>Confirmé dans cette œuvre ; les statistiques, groupes, cartes étendues et missions ajoutés sont des propositions de jeu.</x:v>
      </x:c>
      <x:c r="I56" s="71" t="str">
        <x:v>Confirmé dans l’œuvre</x:v>
      </x:c>
      <x:c r="J56" s="71" t="str">
        <x:v>NECA identifie Greyback comme Elder et leader du groupe de chasseurs de Predator 2.</x:v>
      </x:c>
      <x:c r="K56" s="71" t="str">
        <x:v>Y-S11 — Predators 1/4 Scale — Elder / Greyback
NECA ; Catalogue licencié
Portée : Greyback décrit comme leader du groupe de Predator 2 ; cela ne confond pas tous les anciens avec tous les chefs.
Consulté le 2026-10-26</x:v>
      </x:c>
      <x:c r="L56" s="76" t="str">
        <x:v>https://store.necaonline.com/blogs/news/shipping-predators-1-4-scale-nightmare-on-elm-st-series-4-kick-ass-2-prop-replicas</x:v>
      </x:c>
      <x:c r="M56" s="71" t="str">
        <x:v>Partiel — rang textuel, pas individu jouable dédié</x:v>
      </x:c>
      <x:c r="N56" s="71" t="str">
        <x:v>Registre des sept jouables inspecté ; aucun ID dédié à ce profil — v65.5 / 0f37cc52 : js/data/charactersData.js:49–162 ; https://github.com/darknigthmare/Yautja-hive-warriors/blob/0f37cc52f9d83a4abecc17b80f7bfc67701677cf/js/data/charactersData.js#L49-L162 ; Clan Leader et Elder fusionnés dans une entrée — v65.5 / 0f37cc52 : js/ui/LoreCodex.js:21–23 ; https://github.com/darknigthmare/Yautja-hive-warriors/blob/0f37cc52f9d83a4abecc17b80f7bfc67701677cf/js/ui/LoreCodex.js#L21-L23</x:v>
      </x:c>
      <x:c r="O56" s="71" t="str">
        <x:v>Distinguer ancienneté, fonction de chef et individu Greyback ; référencer ses gestes et son équipement ; corriger les promotions par compteur.</x:v>
      </x:c>
      <x:c r="P56" s="71" t="str">
        <x:v>Proposition : décision de retrait, arbitrage d’une rencontre ou commandement ponctuel ; puissance martiale réglée séparément.</x:v>
      </x:c>
      <x:c r="Q56" s="71" t="str">
        <x:v>Proposition : un seul individu nommé par opération, compté dans son budget ; s’il est joué, compter le joueur séparément. Aucun clone de renfort.</x:v>
      </x:c>
      <x:c r="R56" s="71" t="str">
        <x:v>Y/H : rencontre de Predator 2 ; Y/Y, Y/X et trois camps nécessitent une mission originale ou une autre œuvre citée.</x:v>
      </x:c>
      <x:c r="S56" s="71" t="str">
        <x:v>Los Angeles et vaisseau de Predator 2 ; espaces de commandement originaux</x:v>
      </x:c>
      <x:c r="T56" s="71" t="str">
        <x:v>L’exemple Greyback n’établit pas que tout Elder commande un clan, ni qu’un chef doit être Elder. Ancient/Apex ne suit pas automatiquement Elder.</x:v>
      </x:c>
      <x:c r="U56" s="71" t="str">
        <x:v>P1</x:v>
      </x:c>
    </x:row>
    <x:row r="57" ht="103.5" customHeight="1">
      <x:c r="A57" s="70" t="str">
        <x:v>YAU-014</x:v>
      </x:c>
      <x:c r="B57" s="70" t="str">
        <x:v>Yautja</x:v>
      </x:c>
      <x:c r="C57" s="70" t="str">
        <x:v>Scar</x:v>
      </x:c>
      <x:c r="D57" s="70" t="str">
        <x:v>Individu du trio AVP ; état rituel évolutif</x:v>
      </x:c>
      <x:c r="E57" s="70" t="str">
        <x:v>unique</x:v>
      </x:c>
      <x:c r="F57" s="70" t="str">
        <x:v>Alien vs. Predator (2004)</x:v>
      </x:c>
      <x:c r="G57" s="70" t="str">
        <x:v>Film / PHG</x:v>
      </x:c>
      <x:c r="H57" s="70" t="str">
        <x:v>Confirmé dans cette œuvre ; les statistiques, groupes, cartes étendues et missions ajoutés sont des propositions de jeu.</x:v>
      </x:c>
      <x:c r="I57" s="70" t="str">
        <x:v>Confirmé dans l’œuvre</x:v>
      </x:c>
      <x:c r="J57" s="70" t="str">
        <x:v>Scar tue un xénomorphe, devient Blooded et reçoit une aide humaine contre une Reine dans la présentation officielle.</x:v>
      </x:c>
      <x:c r="K57"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7" s="77" t="str">
        <x:v>https://forum.predator.illfonic.com/t/hunting-party-dlc-pack-3/29879</x:v>
      </x:c>
      <x:c r="M57" s="70" t="str">
        <x:v>À créer comme individu ; rites génériques déjà partiels</x:v>
      </x:c>
      <x:c r="N57" s="70" t="str">
        <x:v>Registre des sept jouables inspecté ; aucun ID dédié à ce profil — v65.5 / 0f37cc52 : js/data/charactersData.js:49–162 ; https://github.com/darknigthmare/Yautja-hive-warriors/blob/0f37cc52f9d83a4abecc17b80f7bfc67701677cf/js/data/charactersData.js#L49-L162 ; Rite générique présent sans identité Scar — v65.5 / 0f37cc52 : js/entities/Player.js:4650–4654 ; https://github.com/darknigthmare/Yautja-hive-warriors/blob/0f37cc52f9d83a4abecc17b80f7bfc67701677cf/js/entities/Player.js#L4650-L4654</x:v>
      </x:c>
      <x:c r="O57" s="70" t="str">
        <x:v>Créer silhouette, arsenal par séquence, relation avec Lex et état avant/après rite ; gérer blessure et infection dans l’ordre du film.</x:v>
      </x:c>
      <x:c r="P57" s="70" t="str">
        <x:v>Proposition : coopération locale avec un humain identifié, ouverture d’accès et combat contre une menace commune.</x:v>
      </x:c>
      <x:c r="Q57" s="70" t="str">
        <x:v>Proposition : un seul individu nommé par opération, compté dans son budget ; s’il est joué, compter le joueur séparément. Aucun clone de renfort.</x:v>
      </x:c>
      <x:c r="R57" s="70" t="str">
        <x:v>Y/X/H : contexte AVP avec alliance locale Scar–humain ; ne pas convertir tous les humains en alliés.</x:v>
      </x:c>
      <x:c r="S57" s="70" t="str">
        <x:v>Pyramide antarctique et surface AVP</x:v>
      </x:c>
      <x:c r="T57" s="70" t="str">
        <x:v>Le synopsis du DLC ne suffit pas au minutage de l’infection. Ne pas reproduire comme fait établi la grossesse de Lex affirmée dans le codex du projet.</x:v>
      </x:c>
      <x:c r="U57" s="70" t="str">
        <x:v>P1</x:v>
      </x:c>
    </x:row>
    <x:row r="58" ht="103.5" customHeight="1">
      <x:c r="A58" s="71" t="str">
        <x:v>YAU-015</x:v>
      </x:c>
      <x:c r="B58" s="71" t="str">
        <x:v>Yautja</x:v>
      </x:c>
      <x:c r="C58" s="71" t="str">
        <x:v>Celtic</x:v>
      </x:c>
      <x:c r="D58" s="71" t="str">
        <x:v>Individu du trio AVP</x:v>
      </x:c>
      <x:c r="E58" s="71" t="str">
        <x:v>unique</x:v>
      </x:c>
      <x:c r="F58" s="71" t="str">
        <x:v>Alien vs. Predator (2004)</x:v>
      </x:c>
      <x:c r="G58" s="71" t="str">
        <x:v>Film / PHG</x:v>
      </x:c>
      <x:c r="H58" s="71" t="str">
        <x:v>Confirmé dans cette œuvre ; les statistiques, groupes, cartes étendues et missions ajoutés sont des propositions de jeu.</x:v>
      </x:c>
      <x:c r="I58" s="71" t="str">
        <x:v>Confirmé dans l’œuvre</x:v>
      </x:c>
      <x:c r="J58" s="71" t="str">
        <x:v>L’annonce IllFonic présente Celtic comme meneur du trio, mort avant d’acquérir le statut Blooded.</x:v>
      </x:c>
      <x:c r="K58"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8" s="76" t="str">
        <x:v>https://forum.predator.illfonic.com/t/hunting-party-dlc-pack-3/29879</x:v>
      </x:c>
      <x:c r="M58" s="71" t="str">
        <x:v>À créer comme individu</x:v>
      </x:c>
      <x:c r="N58" s="71" t="str">
        <x:v>Registre des sept jouables inspecté ; aucun ID dédié à ce profil — v65.5 / 0f37cc52 : js/data/charactersData.js:49–162 ; https://github.com/darknigthmare/Yautja-hive-warriors/blob/0f37cc52f9d83a4abecc17b80f7bfc67701677cf/js/data/charactersData.js#L49-L162</x:v>
      </x:c>
      <x:c r="O58" s="71" t="str">
        <x:v>Créer la silhouette et les armes vérifiées ; conserver son issue narrative en reconstitution, ou annoncer une branche alternative.</x:v>
      </x:c>
      <x:c r="P58" s="71" t="str">
        <x:v>Proposition : premier contact et fixation d’un adversaire ; risque d’exposition pendant un engagement rapproché.</x:v>
      </x:c>
      <x:c r="Q58" s="71" t="str">
        <x:v>Proposition : un seul individu nommé par opération, compté dans son budget ; s’il est joué, compter le joueur séparément. Aucun clone de renfort.</x:v>
      </x:c>
      <x:c r="R58" s="71" t="str">
        <x:v>Y/X et humains du contexte AVP ; variantes de guerre uniquement originales.</x:v>
      </x:c>
      <x:c r="S58" s="71" t="str">
        <x:v>Pyramide antarctique AVP</x:v>
      </x:c>
      <x:c r="T58" s="71" t="str">
        <x:v>Meneur du trio ne prouve ni rang de chef de clan ni supériorité biologique. Le Celtic DLC PHG conserve un preset séparé.</x:v>
      </x:c>
      <x:c r="U58" s="71" t="str">
        <x:v>P1</x:v>
      </x:c>
    </x:row>
    <x:row r="59" ht="103.5" customHeight="1">
      <x:c r="A59" s="70" t="str">
        <x:v>YAU-016</x:v>
      </x:c>
      <x:c r="B59" s="70" t="str">
        <x:v>Yautja</x:v>
      </x:c>
      <x:c r="C59" s="70" t="str">
        <x:v>Chopper</x:v>
      </x:c>
      <x:c r="D59" s="70" t="str">
        <x:v>Individu du trio AVP</x:v>
      </x:c>
      <x:c r="E59" s="70" t="str">
        <x:v>unique</x:v>
      </x:c>
      <x:c r="F59" s="70" t="str">
        <x:v>Alien vs. Predator (2004)</x:v>
      </x:c>
      <x:c r="G59" s="70" t="str">
        <x:v>Film / PHG</x:v>
      </x:c>
      <x:c r="H59" s="70" t="str">
        <x:v>Confirmé dans cette œuvre ; les statistiques, groupes, cartes étendues et missions ajoutés sont des propositions de jeu.</x:v>
      </x:c>
      <x:c r="I59" s="70" t="str">
        <x:v>Confirmé dans l’œuvre</x:v>
      </x:c>
      <x:c r="J59" s="70" t="str">
        <x:v>L’annonce IllFonic présente Chopper comme Young Blood, distrait par les humains puis surpris par un xénomorphe.</x:v>
      </x:c>
      <x:c r="K59"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9" s="77" t="str">
        <x:v>https://forum.predator.illfonic.com/t/hunting-party-dlc-pack-3/29879</x:v>
      </x:c>
      <x:c r="M59" s="70" t="str">
        <x:v>À créer comme individu</x:v>
      </x:c>
      <x:c r="N59" s="70" t="str">
        <x:v>Registre des sept jouables inspecté ; aucun ID dédié à ce profil — v65.5 / 0f37cc52 : js/data/charactersData.js:49–162 ; https://github.com/darknigthmare/Yautja-hive-warriors/blob/0f37cc52f9d83a4abecc17b80f7bfc67701677cf/js/data/charactersData.js#L49-L162</x:v>
      </x:c>
      <x:c r="O59" s="70" t="str">
        <x:v>Créer silhouette et équipement documentés ; donner aux transitions d’attention et embuscades des conséquences lisibles.</x:v>
      </x:c>
      <x:c r="P59" s="70" t="str">
        <x:v>Proposition : chasseur engagé localement, vulnérable au flanquement ; pas bonus inventé présenté comme aptitude canonique.</x:v>
      </x:c>
      <x:c r="Q59" s="70" t="str">
        <x:v>Proposition : un seul individu nommé par opération, compté dans son budget ; s’il est joué, compter le joueur séparément. Aucun clone de renfort.</x:v>
      </x:c>
      <x:c r="R59" s="70" t="str">
        <x:v>Y/X/H : situation AVP ; règles d’agression précisées par la mission.</x:v>
      </x:c>
      <x:c r="S59" s="70" t="str">
        <x:v>Pyramide antarctique AVP</x:v>
      </x:c>
      <x:c r="T59" s="70" t="str">
        <x:v>Chopper est un individu ; aucune unité en série de même nom, ni résurrection de renfort dans une reconstitution.</x:v>
      </x:c>
      <x:c r="U59" s="70" t="str">
        <x:v>P1</x:v>
      </x:c>
    </x:row>
    <x:row r="60" ht="265.5" customHeight="1">
      <x:c r="A60" s="71" t="str">
        <x:v>YAU-017</x:v>
      </x:c>
      <x:c r="B60" s="71" t="str">
        <x:v>Yautja</x:v>
      </x:c>
      <x:c r="C60" s="71" t="str">
        <x:v>Berserker / Mr. Black — film 2010</x:v>
      </x:c>
      <x:c r="D60" s="71" t="str">
        <x:v>Individu d’une variante filmique ; classe PHG distincte</x:v>
      </x:c>
      <x:c r="E60" s="71" t="str">
        <x:v>unique</x:v>
      </x:c>
      <x:c r="F60" s="71" t="str">
        <x:v>Predators (2010) ; PHG</x:v>
      </x:c>
      <x:c r="G60" s="71" t="str">
        <x:v>Film / jeu</x:v>
      </x:c>
      <x:c r="H60" s="71" t="str">
        <x:v>Confirmé dans cette œuvre ; les statistiques, groupes, cartes étendues et missions ajoutés sont des propositions de jeu.</x:v>
      </x:c>
      <x:c r="I60" s="71" t="str">
        <x:v>Confirmé dans l’œuvre</x:v>
      </x:c>
      <x:c r="J60" s="71" t="str">
        <x:v>NECA attribue Berserker au film Predators ; IllFonic propose séparément la classe Mr. Black.</x:v>
      </x:c>
      <x:c r="K60"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Y-S13 — Still Ugly After All These Years — Predators
NECA ; Catalogue licencié
Portée : Berserker, Falconer et Classic attribués au film Predators de 2010 ; pas organigramme de l’espèce.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0" s="76" t="str">
        <x:v>https://www.20thcenturystudios.com/movies/predators
https://store.necaonline.com/blogs/news/still-ugly-after-all-these-years
https://predator.illfonic.com/</x:v>
      </x:c>
      <x:c r="M60" s="71" t="str">
        <x:v>Partiel — boss déclaré, pas jouable du registre</x:v>
      </x:c>
      <x:c r="N60" s="71" t="str">
        <x:v>berserker_super_predator et 8800 PV — v65.5 / 0f37cc52 : js/entities/Bosses.js:32–36 ; https://github.com/darknigthmare/Yautja-hive-warriors/blob/0f37cc52f9d83a4abecc17b80f7bfc67701677cf/js/entities/Bosses.js#L32-L36 ; Libellé SUPER PREDATOR BERSERKER (MR. BLACK) — v65.5 / 0f37cc52 : js/main.js:3898–3907 ; https://github.com/darknigthmare/Yautja-hive-warriors/blob/0f37cc52f9d83a4abecc17b80f7bfc67701677cf/js/main.js#L3898-L3907</x:v>
      </x:c>
      <x:c r="O60" s="71" t="str">
        <x:v>Référencer la correspondance d’identité et le matériel ; distinguer ce boss de Berserker PHG et de l’Assassin 2018 ; remplacer le simple sac de PV par un plan de chasse.</x:v>
      </x:c>
      <x:c r="P60" s="71" t="str">
        <x:v>Proposition : commandant de chasse, pression sur les routes de retrait et duel avec fenêtres de contre.</x:v>
      </x:c>
      <x:c r="Q60" s="71" t="str">
        <x:v>Proposition : un seul individu nommé par opération, compté dans son budget ; s’il est joué, compter le joueur séparément. Aucun clone de renfort.</x:v>
      </x:c>
      <x:c r="R60" s="71" t="str">
        <x:v>Y/H : film 2010. Y/Y : séquences à référencer. Y/X et trois camps : original.</x:v>
      </x:c>
      <x:c r="S60" s="71" t="str">
        <x:v>Réserve extraterrestre de Predators ; game_preserve_planet</x:v>
      </x:c>
      <x:c r="T60" s="71" t="str">
        <x:v>Super Predator, Berserker de classe et Assassin génétiquement modifié ne sont pas interchangeables. Le terme nouveau type du synopsis ne prouve pas une caste sociale.</x:v>
      </x:c>
      <x:c r="U60" s="71" t="str">
        <x:v>P1</x:v>
      </x:c>
    </x:row>
    <x:row r="61" ht="171" customHeight="1">
      <x:c r="A61" s="70" t="str">
        <x:v>YAU-018</x:v>
      </x:c>
      <x:c r="B61" s="70" t="str">
        <x:v>Yautja</x:v>
      </x:c>
      <x:c r="C61" s="70" t="str">
        <x:v>Falconer</x:v>
      </x:c>
      <x:c r="D61" s="70" t="str">
        <x:v>Individu et spécialité de reconnaissance</x:v>
      </x:c>
      <x:c r="E61" s="70" t="str">
        <x:v>unique</x:v>
      </x:c>
      <x:c r="F61" s="70" t="str">
        <x:v>Predators (2010) ; PHG</x:v>
      </x:c>
      <x:c r="G61" s="70" t="str">
        <x:v>Film / jeu</x:v>
      </x:c>
      <x:c r="H61" s="70" t="str">
        <x:v>Confirmé dans cette œuvre ; les statistiques, groupes, cartes étendues et missions ajoutés sont des propositions de jeu.</x:v>
      </x:c>
      <x:c r="I61" s="70" t="str">
        <x:v>Confirmé dans l’œuvre</x:v>
      </x:c>
      <x:c r="J61" s="70" t="str">
        <x:v>NECA rattache Falconer au film 2010 et lui associe un accessoire en forme d’oiseau.</x:v>
      </x:c>
      <x:c r="K61" s="70" t="str">
        <x:v>Y-S14 — Camo Cloaked Falconer — Predators Series 7
NECA ; Catalogue licencié
Portée : Falconer attribué au film 2010 et accessoire oiseau mécanique ; pas preuve de pouvoirs offensifs ou de nombre de drones.
Consulté le 2026-10-26
Y-S03 — Predator: Hunting Grounds — classes DLC officielles
IllFonic ; Développeur / catalogue du jeu
Portée : Classes Samurai, Viking, City Hunter ’97, Wolf, Mr. Black, Falconer et autres ; périmètre PHG, pas hiérarchie biologique universelle.
Consulté le 2026-10-26</x:v>
      </x:c>
      <x:c r="L61" s="77" t="str">
        <x:v>https://store.necaonline.com/blogs/news/closer-look-predators-series-7-camo-cloaked-falconer-predator-action-figure
https://predator.illfonic.com/</x:v>
      </x:c>
      <x:c r="M61" s="70" t="str">
        <x:v>Partiel — drone présent, personnage absent du registre</x:v>
      </x:c>
      <x:c r="N61" s="70" t="str">
        <x:v>Registre des sept jouables inspecté ; aucun ID dédié à ce profil — v65.5 / 0f37cc52 : js/data/charactersData.js:49–162 ; https://github.com/darknigthmare/Yautja-hive-warriors/blob/0f37cc52f9d83a4abecc17b80f7bfc67701677cf/js/data/charactersData.js#L49-L162 ; Classe FalconDrone déclarée — v65.5 / 0f37cc52 : js/entities/FalconDrone.js:1–15 ; https://github.com/darknigthmare/Yautja-hive-warriors/blob/0f37cc52f9d83a4abecc17b80f7bfc67701677cf/js/entities/FalconDrone.js#L1-L15</x:v>
      </x:c>
      <x:c r="O61" s="70" t="str">
        <x:v>Créer le porteur, le lien de commande, les limites du drone et les conséquences de sa perte ; sourcer toute capacité offensive ajoutée.</x:v>
      </x:c>
      <x:c r="P61" s="70" t="str">
        <x:v>Proposition : découverte d’un passage et transmission d’une position ; appareil matériel distingué du PNJ.</x:v>
      </x:c>
      <x:c r="Q61" s="70" t="str">
        <x:v>Proposition : un seul individu nommé par opération, compté dans son budget ; s’il est joué, compter le joueur séparément. Aucun clone de renfort. Le drone est un objet autonome avec son propre budget technique, pas un Yautja supplémentaire.</x:v>
      </x:c>
      <x:c r="R61" s="70" t="str">
        <x:v>Y/H : contexte 2010. Y/X, Y/Y ou trois camps : scénario original ou séquence distinctement sourcée.</x:v>
      </x:c>
      <x:c r="S61" s="70" t="str">
        <x:v>Réserve de Predators ; terrains PHG en preset de jeu</x:v>
      </x:c>
      <x:c r="T61" s="70" t="str">
        <x:v>Un appareil de reconnaissance n’autorise pas automatiquement bombardement, essaim ou vision omnisciente. Son utilisateur n’est pas une caste Falconer.</x:v>
      </x:c>
      <x:c r="U61" s="70" t="str">
        <x:v>P1</x:v>
      </x:c>
    </x:row>
    <x:row r="62" ht="184.5" customHeight="1">
      <x:c r="A62" s="71" t="str">
        <x:v>YAU-019</x:v>
      </x:c>
      <x:c r="B62" s="71" t="str">
        <x:v>Yautja</x:v>
      </x:c>
      <x:c r="C62" s="71" t="str">
        <x:v>Tracker — dossier de vérification</x:v>
      </x:c>
      <x:c r="D62" s="71" t="str">
        <x:v>Individu candidat, identité et équipement à confirmer</x:v>
      </x:c>
      <x:c r="E62" s="71" t="str">
        <x:v>exclu</x:v>
      </x:c>
      <x:c r="F62" s="71" t="str">
        <x:v>Predators (2010)</x:v>
      </x:c>
      <x:c r="G62" s="71" t="str">
        <x:v>Film / références de catalogue à inspecter</x:v>
      </x:c>
      <x:c r="H62" s="71" t="str">
        <x:v>À vérifier avant spawn : synopsis du film confirmé, nomenclature Tracker et comportement détaillé non établis par les pages primaires accessibles.</x:v>
      </x:c>
      <x:c r="I62" s="71" t="str">
        <x:v>À vérifier</x:v>
      </x:c>
      <x:c r="J62" s="71" t="str">
        <x:v>Le synopsis confirme des chasseurs sur une planète extraterrestre, mais ne détaille pas Tracker.</x:v>
      </x:c>
      <x:c r="K62"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Y-S25 — Predator Action Figure Visual Guides 2022
NECA ; Référence visuelle primaire à consulter
Portée : Page du catalogue retrouvée ; images et liens de téléchargement inaccessibles durant la recherche. Ne valide donc pas Tracker ni ses capacités à elle seule.
Consulté le 2026-10-26</x:v>
      </x:c>
      <x:c r="L62" s="76" t="str">
        <x:v>https://www.20thcenturystudios.com/movies/predators
https://store.necaonline.com/blogs/news/12-days-of-downloads-2022-day-2-predator-action-figure-visual-guides</x:v>
      </x:c>
      <x:c r="M62" s="71" t="str">
        <x:v>Partiel — chiens, sifflet et mine nommés ; identité non qualifiée</x:v>
      </x:c>
      <x:c r="N62" s="71" t="str">
        <x:v>HellHoundsManager présent — v65.5 / 0f37cc52 : js/entities/HellHounds.js:1–10 ; https://github.com/darknigthmare/Yautja-hive-warriors/blob/0f37cc52f9d83a4abecc17b80f7bfc67701677cf/js/entities/HellHounds.js#L1-L10 ; Mine sonore attribuée à Tracker dans un commentaire — v65.5 / 0f37cc52 : js/entities/Player.js:3605–3615 ; https://github.com/darknigthmare/Yautja-hive-warriors/blob/0f37cc52f9d83a4abecc17b80f7bfc67701677cf/js/entities/Player.js#L3605-L3615</x:v>
      </x:c>
      <x:c r="O62" s="71" t="str">
        <x:v>Retrouver un support primaire lisible du personnage ; vérifier maître/chiens, équipements, scène et rôle avant de valider le profil ou la mine sonore.</x:v>
      </x:c>
      <x:c r="P62" s="71" t="str">
        <x:v>Proposition en attente : conduite de bêtes pour rabattre une cible, avec trajectoire et rappel ; aucune capacité encore certifiée.</x:v>
      </x:c>
      <x:c r="Q62" s="71" t="str">
        <x:v>Spawn autorisé : 0 tant que le dossier demeure à vérifier. Si validé, 1 individu et animaux comptés séparément.</x:v>
      </x:c>
      <x:c r="R62" s="71" t="str">
        <x:v>Aucun spawn autorisé à ce stade ; Y/H pressenti pour le contexte 2010, à confirmer par scène.</x:v>
      </x:c>
      <x:c r="S62" s="71" t="str">
        <x:v>Réserve de Predators, emplacement à documenter</x:v>
      </x:c>
      <x:c r="T62" s="71" t="str">
        <x:v>Un commentaire Canon 1:1 ou une proposition de forum utilisateur ne vaut pas source officielle. Le guide NECA trouvé n’a pas pu être inspecté en image.</x:v>
      </x:c>
      <x:c r="U62" s="71" t="str">
        <x:v>P2</x:v>
      </x:c>
    </x:row>
    <x:row r="63" ht="90" customHeight="1">
      <x:c r="A63" s="70" t="str">
        <x:v>YAU-020</x:v>
      </x:c>
      <x:c r="B63" s="70" t="str">
        <x:v>Yautja</x:v>
      </x:c>
      <x:c r="C63" s="70" t="str">
        <x:v>Fugitive Predator</x:v>
      </x:c>
      <x:c r="D63" s="70" t="str">
        <x:v>Individu poursuivi ; pas caste de fugitifs</x:v>
      </x:c>
      <x:c r="E63" s="70" t="str">
        <x:v>unique</x:v>
      </x:c>
      <x:c r="F63" s="70" t="str">
        <x:v>The Predator (2018)</x:v>
      </x:c>
      <x:c r="G63" s="70" t="str">
        <x:v>Film</x:v>
      </x:c>
      <x:c r="H63" s="70" t="str">
        <x:v>Confirmé dans cette œuvre ; les statistiques, groupes, cartes étendues et missions ajoutés sont des propositions de jeu.</x:v>
      </x:c>
      <x:c r="I63" s="70" t="str">
        <x:v>Confirmé dans l’œuvre</x:v>
      </x:c>
      <x:c r="J63" s="70" t="str">
        <x:v>La notice NECA de The Predator décrit l’Assassin à la poursuite du Fugitive.</x:v>
      </x:c>
      <x:c r="K63" s="70" t="str">
        <x:v>Y-S15 — The Predator (2018) — Armored Assassin
NECA ; Catalogue licencié
Portée : Assassin poursuit Fugitive ; modifications génétiques et exopeau renforcée. Les dimensions de figurine ne sont pas une mesure biologique.
Consulté le 2026-10-26</x:v>
      </x:c>
      <x:c r="L63" s="77" t="str">
        <x:v>https://store.necaonline.com/products/predator-2018-deluxe-armored-assassin-predator-12-inch-action-figure</x:v>
      </x:c>
      <x:c r="M63" s="70" t="str">
        <x:v>Partiel — objets et effet nommés, pas individu jouable</x:v>
      </x:c>
      <x:c r="N63" s="70" t="str">
        <x:v>Registre des sept jouables inspecté ; aucun ID dédié à ce profil — v65.5 / 0f37cc52 : js/data/charactersData.js:49–162 ; https://github.com/darknigthmare/Yautja-hive-warriors/blob/0f37cc52f9d83a4abecc17b80f7bfc67701677cf/js/data/charactersData.js#L49-L162 ; applyFugitiveAutoAim présent — v65.5 / 0f37cc52 : js/entities/Player.js:4312–4318 ; https://github.com/darknigthmare/Yautja-hive-warriors/blob/0f37cc52f9d83a4abecc17b80f7bfc67701677cf/js/entities/Player.js#L4312-L4318</x:v>
      </x:c>
      <x:c r="O63" s="70" t="str">
        <x:v>Créer l’individu, son objectif et ses alliances de mission ; vérifier les propriétés du masque avant d’en faire un buff de visée universel.</x:v>
      </x:c>
      <x:c r="P63" s="70" t="str">
        <x:v>Proposition : récupération ou extraction de technologie sous poursuite ; autonomie de déplacement et menace d’interception.</x:v>
      </x:c>
      <x:c r="Q63" s="70" t="str">
        <x:v>Proposition : un seul individu nommé par opération, compté dans son budget ; s’il est joué, compter le joueur séparément. Aucun clone de renfort.</x:v>
      </x:c>
      <x:c r="R63" s="70" t="str">
        <x:v>Y/Y : poursuite attestée. Présence humaine : périmètre film à documenter ; Y/X ou trois camps avec X = original.</x:v>
      </x:c>
      <x:c r="S63" s="70" t="str">
        <x:v>Projet Stargazer et environs, scènes à référencer ; stargazer_facility</x:v>
      </x:c>
      <x:c r="T63" s="70" t="str">
        <x:v>Fugitive est une désignation d’individu et de situation ; ne pas assimiler tous les bannis à des Bad Bloods ni à une caste.</x:v>
      </x:c>
      <x:c r="U63" s="70" t="str">
        <x:v>P1</x:v>
      </x:c>
    </x:row>
    <x:row r="64" ht="90" customHeight="1">
      <x:c r="A64" s="71" t="str">
        <x:v>YAU-021</x:v>
      </x:c>
      <x:c r="B64" s="71" t="str">
        <x:v>Yautja</x:v>
      </x:c>
      <x:c r="C64" s="71" t="str">
        <x:v>Assassin / Upgrade Predator</x:v>
      </x:c>
      <x:c r="D64" s="71" t="str">
        <x:v>Individu génétiquement modifié</x:v>
      </x:c>
      <x:c r="E64" s="71" t="str">
        <x:v>unique</x:v>
      </x:c>
      <x:c r="F64" s="71" t="str">
        <x:v>The Predator (2018)</x:v>
      </x:c>
      <x:c r="G64" s="71" t="str">
        <x:v>Film</x:v>
      </x:c>
      <x:c r="H64" s="71" t="str">
        <x:v>Confirmé dans cette œuvre ; les statistiques, groupes, cartes étendues et missions ajoutés sont des propositions de jeu.</x:v>
      </x:c>
      <x:c r="I64" s="71" t="str">
        <x:v>Confirmé dans l’œuvre</x:v>
      </x:c>
      <x:c r="J64" s="71" t="str">
        <x:v>NECA décrit l’Assassin comme génétiquement modifié, doté d’une exopeau renforcée et poursuivant le Fugitive.</x:v>
      </x:c>
      <x:c r="K64" s="71" t="str">
        <x:v>Y-S15 — The Predator (2018) — Armored Assassin
NECA ; Catalogue licencié
Portée : Assassin poursuit Fugitive ; modifications génétiques et exopeau renforcée. Les dimensions de figurine ne sont pas une mesure biologique.
Consulté le 2026-10-26</x:v>
      </x:c>
      <x:c r="L64" s="76" t="str">
        <x:v>https://store.necaonline.com/products/predator-2018-deluxe-armored-assassin-predator-12-inch-action-figure</x:v>
      </x:c>
      <x:c r="M64" s="71" t="str">
        <x:v>Partiel — boss déclaré</x:v>
      </x:c>
      <x:c r="N64" s="71" t="str">
        <x:v>ultimate_upgrade_predator et 9200 PV — v65.5 / 0f37cc52 : js/entities/Bosses.js:32–36 ; https://github.com/darknigthmare/Yautja-hive-warriors/blob/0f37cc52f9d83a4abecc17b80f7bfc67701677cf/js/entities/Bosses.js#L32-L36 ; Boss associé à stargazer_facility — v65.5 / 0f37cc52 : js/data/levelsData.js:149–164 ; https://github.com/darknigthmare/Yautja-hive-warriors/blob/0f37cc52f9d83a4abecc17b80f7bfc67701677cf/js/data/levelsData.js#L149-L164</x:v>
      </x:c>
      <x:c r="O64" s="71" t="str">
        <x:v>Distinguer ce profil de Mr. Black ; documenter les états d’armure et leur perte ; contrôler échelle, collisions et armes à partir des scènes.</x:v>
      </x:c>
      <x:c r="P64" s="71" t="str">
        <x:v>Proposition : adversaire lourd de poursuite, résistance localisée et phases d’armure vulnérables ; conséquences sur les routes d’extraction.</x:v>
      </x:c>
      <x:c r="Q64" s="71" t="str">
        <x:v>Proposition : un seul individu nommé par opération, compté dans son budget ; s’il est joué, compter le joueur séparément. Aucun clone de renfort.</x:v>
      </x:c>
      <x:c r="R64" s="71" t="str">
        <x:v>Y/Y : poursuite du Fugitive ; Y/H : scénario film à référencer ; Y/X et trois camps incluant X = original.</x:v>
      </x:c>
      <x:c r="S64" s="71" t="str">
        <x:v>Stargazer et forêt du film 2018, périmètre spatial à vérifier</x:v>
      </x:c>
      <x:c r="T64" s="71" t="str">
        <x:v>Une augmentation ne crée pas une caste naturelle. L’armure presque pare-balles de la notice ne signifie ni invincibilité ni immunité à tout projectile.</x:v>
      </x:c>
      <x:c r="U64" s="71" t="str">
        <x:v>P1</x:v>
      </x:c>
    </x:row>
    <x:row r="65" ht="171" customHeight="1">
      <x:c r="A65" s="70" t="str">
        <x:v>YAU-022</x:v>
      </x:c>
      <x:c r="B65" s="70" t="str">
        <x:v>Yautja</x:v>
      </x:c>
      <x:c r="C65" s="70" t="str">
        <x:v>Dek</x:v>
      </x:c>
      <x:c r="D65" s="70" t="str">
        <x:v>Individu jeune et exilé ; protagoniste</x:v>
      </x:c>
      <x:c r="E65" s="70" t="str">
        <x:v>unique</x:v>
      </x:c>
      <x:c r="F65" s="70" t="str">
        <x:v>Predator: Badlands (2025)</x:v>
      </x:c>
      <x:c r="G65" s="70" t="str">
        <x:v>Film</x:v>
      </x:c>
      <x:c r="H65" s="70" t="str">
        <x:v>Film sorti le 7 novembre 2025 ; futur lointain confirmé, année précise non établie. Personnage et relation locale attestés.</x:v>
      </x:c>
      <x:c r="I65" s="70" t="str">
        <x:v>Confirmé dans l’œuvre</x:v>
      </x:c>
      <x:c r="J65" s="70" t="str">
        <x:v>Dek, jeune Yautja exilé, parcourt Genna avec Thia, une synthétique Weyland-Yutani.</x:v>
      </x:c>
      <x:c r="K65" s="70"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L65" s="77" t="str">
        <x:v>https://www.20thcenturystudios.com/movies/predator-badlands
https://www.disneyplus.com/explore/articles/predator-badlands-movie</x:v>
      </x:c>
      <x:c r="M65" s="70" t="str">
        <x:v>À créer ; absent du registre épinglé</x:v>
      </x:c>
      <x:c r="N65" s="70" t="str">
        <x:v>Registre des sept jouables inspecté ; aucun ID dédié à ce profil — v65.5 / 0f37cc52 : js/data/charactersData.js:49–162 ; https://github.com/darknigthmare/Yautja-hive-warriors/blob/0f37cc52f9d83a4abecc17b80f7bfc67701677cf/js/data/charactersData.js#L49-L162</x:v>
      </x:c>
      <x:c r="O65" s="70" t="str">
        <x:v>Créer la silhouette et les armes selon une fiche de scènes ; intégrer le soutien de Thia et une progression propre sans exporter ses relations à tous les clans.</x:v>
      </x:c>
      <x:c r="P65" s="70" t="str">
        <x:v>Proposition : protagoniste vulnérable, survie et coopération avec un soutien identifié ; forces de faune et dispositifs séparées des trois factions principales.</x:v>
      </x:c>
      <x:c r="Q65" s="70" t="str">
        <x:v>Proposition : un seul individu nommé par opération, compté dans son budget ; s’il est joué, compter le joueur séparément. Aucun clone de renfort.</x:v>
      </x:c>
      <x:c r="R65" s="70" t="str">
        <x:v>Y/faune et alliance avec une synthétique : contexte attesté. Y/H biologiques, Y/X ou guerre à trois camps = ajout original tant que non sourcé.</x:v>
      </x:c>
      <x:c r="S65" s="70" t="str">
        <x:v>Y-L01 — Genna</x:v>
      </x:c>
      <x:c r="T65" s="70" t="str">
        <x:v>Exilé et jeune ne prouvent ni Bad Blood ni Young Blood au sens AVP. Kwei est son frère aîné, pas un rang. Ne pas déduire une hiérarchie universelle d’un clan.</x:v>
      </x:c>
      <x:c r="U65" s="70" t="str">
        <x:v>P1</x:v>
      </x:c>
    </x:row>
    <x:row r="66" ht="90" customHeight="1">
      <x:c r="A66" s="71" t="str">
        <x:v>YAU-023</x:v>
      </x:c>
      <x:c r="B66" s="71" t="str">
        <x:v>Yautja</x:v>
      </x:c>
      <x:c r="C66" s="71" t="str">
        <x:v>Chasseurs de Killer of Killers — dossier par épisode</x:v>
      </x:c>
      <x:c r="D66" s="71" t="str">
        <x:v>Ensemble de personnages à identifier ; pas caste unique</x:v>
      </x:c>
      <x:c r="E66" s="71" t="str">
        <x:v>exclu</x:v>
      </x:c>
      <x:c r="F66" s="71" t="str">
        <x:v>Predator: Killer of Killers (2025)</x:v>
      </x:c>
      <x:c r="G66" s="71" t="str">
        <x:v>Film d’animation anthologique</x:v>
      </x:c>
      <x:c r="H66" s="71" t="str">
        <x:v>Film sorti le 6 juin 2025, pas série télévisée. Périmètres historiques confirmés ; identités, équipement et hiérarchie à vérifier.</x:v>
      </x:c>
      <x:c r="I66" s="71" t="str">
        <x:v>À vérifier</x:v>
      </x:c>
      <x:c r="J66" s="71" t="str">
        <x:v>Le film d’animation confronte des combattants vikings, japonais féodaux et un pilote de la Seconde Guerre mondiale aux prédateurs.</x:v>
      </x:c>
      <x:c r="K66"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L66" s="76" t="str">
        <x:v>https://www.20thcenturystudios.com/movies/predator-killer-of-killers</x:v>
      </x:c>
      <x:c r="M66" s="71" t="str">
        <x:v>À créer après vérification ; aucun profil dédié parmi les sept</x:v>
      </x:c>
      <x:c r="N66" s="71" t="str">
        <x:v>Registre des sept jouables inspecté ; aucun ID dédié à ce profil — v65.5 / 0f37cc52 : js/data/charactersData.js:49–162 ; https://github.com/darknigthmare/Yautja-hive-warriors/blob/0f37cc52f9d83a4abecc17b80f7bfc67701677cf/js/data/charactersData.js#L49-L162</x:v>
      </x:c>
      <x:c r="O66" s="71" t="str">
        <x:v>Séparer les épisodes et relever les plans/armes/limites de chaque chasseur dans le film final ; conserver les concepts inutilisés hors du roster validé.</x:v>
      </x:c>
      <x:c r="P66" s="71" t="str">
        <x:v>Propositions après preuve : pression rapprochée historique, infiltration verticale, interception aérienne ; trois modules distincts.</x:v>
      </x:c>
      <x:c r="Q66" s="71" t="str">
        <x:v>Spawn autorisé : 0 pour les profils non documentés. Après validation, identité unique par épisode ; aucune fusion automatique avec les DLC PHG.</x:v>
      </x:c>
      <x:c r="R66" s="71" t="str">
        <x:v>Y/H : périmètre officiel. Y/X, guerre interclans et trois camps : original, à nommer comme tel.</x:v>
      </x:c>
      <x:c r="S66" s="71" t="str">
        <x:v>Y-L05 — Japon féodal de l’anthologie
Y-L06 — théâtre aérien de la Seconde Guerre mondiale</x:v>
      </x:c>
      <x:c r="T66" s="71" t="str">
        <x:v>Ne pas valider Grendel, Warlord, Overlord, rang ou clan à partir de seuls wikis. Samurai/Viking PHG ne sont pas les individus de cette anthologie.</x:v>
      </x:c>
      <x:c r="U66" s="71" t="str">
        <x:v>P2</x:v>
      </x:c>
    </x:row>
    <x:row r="67" ht="90" customHeight="1">
      <x:c r="A67" s="70" t="str">
        <x:v>YAU-024</x:v>
      </x:c>
      <x:c r="B67" s="70" t="str">
        <x:v>Yautja</x:v>
      </x:c>
      <x:c r="C67" s="70" t="str">
        <x:v>Bad Blood — individu du comic</x:v>
      </x:c>
      <x:c r="D67" s="70" t="str">
        <x:v>Individu renégat ; statut moral/social à contextualiser</x:v>
      </x:c>
      <x:c r="E67" s="70" t="str">
        <x:v>unique</x:v>
      </x:c>
      <x:c r="F67" s="70" t="str">
        <x:v>Predator: Bad Blood (Dark Horse)</x:v>
      </x:c>
      <x:c r="G67" s="70" t="str">
        <x:v>Comic</x:v>
      </x:c>
      <x:c r="H67" s="70" t="str">
        <x:v>Confirmé dans cette série de comics uniquement ; les liens vers les films ou autres séries exigent une référence explicite.</x:v>
      </x:c>
      <x:c r="I67" s="70" t="str">
        <x:v>Confirmé dans l’œuvre</x:v>
      </x:c>
      <x:c r="J67" s="70" t="str">
        <x:v>NECA attribue Bad Blood et Enforcer à la série de comics Predator: Bad Blood.</x:v>
      </x:c>
      <x:c r="K67" s="70" t="str">
        <x:v>Y-S19 — Ultimate Bad Blood &amp; Enforcer — série Dark Horse
NECA ; Catalogue licencié
Portée : Attribue les deux individus au comic Predator: Bad Blood ; pas définition universelle d’un rang ou d’une police Yautja.
Consulté le 2026-10-26</x:v>
      </x:c>
      <x:c r="L67" s="77" t="str">
        <x:v>https://store.necaonline.com/blogs/news/shipping-this-week-nightmare-on-elm-street-accessory-set-ultimate-bad-blood-enforcer-predator-2-pack-1</x:v>
      </x:c>
      <x:c r="M67" s="70" t="str">
        <x:v>Partiel — rencontre générique et codex</x:v>
      </x:c>
      <x:c r="N67" s="70" t="str">
        <x:v>BadBloodManager, embuscade et 2200 PV — v65.5 / 0f37cc52 : js/entities/BadBloodEncounter.js:1–35 ; https://github.com/darknigthmare/Yautja-hive-warriors/blob/0f37cc52f9d83a4abecc17b80f7bfc67701677cf/js/entities/BadBloodEncounter.js#L1-L35 ; Définition générale de Bad Blood dans le codex — v65.5 / 0f37cc52 : js/ui/LoreCodex.js:25–27 ; https://github.com/darknigthmare/Yautja-hive-warriors/blob/0f37cc52f9d83a4abecc17b80f7bfc67701677cf/js/ui/LoreCodex.js#L25-L27</x:v>
      </x:c>
      <x:c r="O67" s="70" t="str">
        <x:v>Relier l’adversaire au comic ou le renommer renégat original ; référencer ses armes et objectifs ; remplacer l’apparition systématique par une cause de mission.</x:v>
      </x:c>
      <x:c r="P67" s="70" t="str">
        <x:v>Proposition : menace indépendante qui attaque les intérêts de plusieurs camps et perturbe un front.</x:v>
      </x:c>
      <x:c r="Q67" s="70" t="str">
        <x:v>Proposition : un seul individu nommé par opération, compté dans son budget ; s’il est joué, compter le joueur séparément. Aucun clone de renfort.</x:v>
      </x:c>
      <x:c r="R67" s="70" t="str">
        <x:v>Y/Y : conflit du dossier Bad Blood/Enforcer ; Y/H et lieux précis à vérifier dans le comic ; X et trois camps = original.</x:v>
      </x:c>
      <x:c r="S67" s="70" t="str">
        <x:v>Lieu du comic à référencer avant reconstitution ; opération de clan originale</x:v>
      </x:c>
      <x:c r="T67" s="70" t="str">
        <x:v>Bad Blood n’est pas une sous-espèce. La notice ne prouve pas une liste universelle de crimes ni que refuser l’autodestruction rend automatiquement renégat.</x:v>
      </x:c>
      <x:c r="U67" s="70" t="str">
        <x:v>P1</x:v>
      </x:c>
    </x:row>
    <x:row r="68" ht="157.5" customHeight="1">
      <x:c r="A68" s="71" t="str">
        <x:v>YAU-025</x:v>
      </x:c>
      <x:c r="B68" s="71" t="str">
        <x:v>Yautja</x:v>
      </x:c>
      <x:c r="C68" s="71" t="str">
        <x:v>Enforcer — individu du comic</x:v>
      </x:c>
      <x:c r="D68" s="71" t="str">
        <x:v>Individu exerçant une fonction de traque</x:v>
      </x:c>
      <x:c r="E68" s="71" t="str">
        <x:v>unique</x:v>
      </x:c>
      <x:c r="F68" s="71" t="str">
        <x:v>Predator: Bad Blood (Dark Horse)</x:v>
      </x:c>
      <x:c r="G68" s="71" t="str">
        <x:v>Comic</x:v>
      </x:c>
      <x:c r="H68" s="71" t="str">
        <x:v>Confirmé dans cette série de comics uniquement ; les liens vers les films ou autres séries exigent une référence explicite.</x:v>
      </x:c>
      <x:c r="I68" s="71" t="str">
        <x:v>Confirmé dans l’œuvre</x:v>
      </x:c>
      <x:c r="J68" s="71" t="str">
        <x:v>NECA décrit l’Enforcer de Predator: Bad Blood comme un chasseur de Bad Bloods.</x:v>
      </x:c>
      <x:c r="K68" s="71" t="str">
        <x:v>Y-S20 — Closer Look: Enforcer Predator
NECA ; Catalogue licencié
Portée : Enforcer associé au comic de Dorkin et Thompson et à la traque des Bad Bloods ; pages du comic encore nécessaires aux détails.
Consulté le 2026-10-26
Y-S19 — Ultimate Bad Blood &amp; Enforcer — série Dark Horse
NECA ; Catalogue licencié
Portée : Attribue les deux individus au comic Predator: Bad Blood ; pas définition universelle d’un rang ou d’une police Yautja.
Consulté le 2026-10-26</x:v>
      </x:c>
      <x:c r="L68" s="76" t="str">
        <x:v>https://store.necaonline.com/blogs/behind-the-scenes/closer-look-enforcer-predator-action-figure-from-series-12
https://store.necaonline.com/blogs/news/shipping-this-week-nightmare-on-elm-street-accessory-set-ultimate-bad-blood-enforcer-predator-2-pack-1</x:v>
      </x:c>
      <x:c r="M68" s="71" t="str">
        <x:v>Partiel — mention de codex, aucun profil du registre</x:v>
      </x:c>
      <x:c r="N68" s="71" t="str">
        <x:v>Registre des sept jouables inspecté ; aucun ID dédié à ce profil — v65.5 / 0f37cc52 : js/data/charactersData.js:49–162 ; https://github.com/darknigthmare/Yautja-hive-warriors/blob/0f37cc52f9d83a4abecc17b80f7bfc67701677cf/js/data/charactersData.js#L49-L162 ; Enforcers du Clan Apex affirmés sans référence — v65.5 / 0f37cc52 : js/ui/LoreCodex.js:48–49 ; https://github.com/darknigthmare/Yautja-hive-warriors/blob/0f37cc52f9d83a4abecc17b80f7bfc67701677cf/js/ui/LoreCodex.js#L48-L49</x:v>
      </x:c>
      <x:c r="O68" s="71" t="str">
        <x:v>Créer une mission de traque et des preuves d’identité ; vérifier pages et équipement du comic ; distinguer police de scénario et institution universelle.</x:v>
      </x:c>
      <x:c r="P68" s="71" t="str">
        <x:v>Proposition : intercepteur avec mandat, suivi de cible et exigence de récupération ; allié ponctuel ou rival selon le mandat.</x:v>
      </x:c>
      <x:c r="Q68" s="71" t="str">
        <x:v>Proposition : un seul individu nommé par opération, compté dans son budget ; s’il est joué, compter le joueur séparément. Aucun clone de renfort.</x:v>
      </x:c>
      <x:c r="R68" s="71" t="str">
        <x:v>Y/Y : traque attestée par la notice ; humains et trois camps exigent scénario clairement défini ; X = crossover original.</x:v>
      </x:c>
      <x:c r="S68" s="71" t="str">
        <x:v>Lieu du comic à vérifier ; territoires de guerre du clan originaux</x:v>
      </x:c>
      <x:c r="T68" s="71" t="str">
        <x:v>Enforcer décrit ici une fonction/individu. Aucun Clan Apex ni corps de police universel n’est établi par ces notices ; ne pas confondre avec Assassin 2018.</x:v>
      </x:c>
      <x:c r="U68" s="71" t="str">
        <x:v>P1</x:v>
      </x:c>
    </x:row>
    <x:row r="69" ht="90" customHeight="1">
      <x:c r="A69" s="70" t="str">
        <x:v>YAU-026</x:v>
      </x:c>
      <x:c r="B69" s="70" t="str">
        <x:v>Yautja</x:v>
      </x:c>
      <x:c r="C69" s="70" t="str">
        <x:v>Super Predator de The Last Hunt</x:v>
      </x:c>
      <x:c r="D69" s="70" t="str">
        <x:v>Individu ou variante nommé dans une série de comics</x:v>
      </x:c>
      <x:c r="E69" s="70" t="str">
        <x:v>unique</x:v>
      </x:c>
      <x:c r="F69" s="70" t="str">
        <x:v>Predator: The Last Hunt (2024)</x:v>
      </x:c>
      <x:c r="G69" s="70" t="str">
        <x:v>Comic</x:v>
      </x:c>
      <x:c r="H69" s="70" t="str">
        <x:v>Confirmé dans cette série de comics uniquement ; les liens vers les films ou autres séries exigent une référence explicite.</x:v>
      </x:c>
      <x:c r="I69" s="70" t="str">
        <x:v>Confirmé dans l’œuvre</x:v>
      </x:c>
      <x:c r="J69" s="70" t="str">
        <x:v>Marvel annonce un Super Predator menaçant Theta dans une intrigue liée à une réserve de captifs humains.</x:v>
      </x:c>
      <x:c r="K69" s="70" t="str">
        <x:v>Y-S21 — Predator: The Last Hunt — recueil officiel
Marvel ; Éditeur / synopsis de recueil
Portée : Recueil du 16 octobre 2024 ; Theta, réserve de captifs humains et Super Predator. Notice indexée consultée ; ouverture directe HTTP 403.
Consulté le 2026-10-26</x:v>
      </x:c>
      <x:c r="L69" s="77" t="str">
        <x:v>https://www.marvel.com/comics/collection/110461/predator_the_last_hunt_trade_paperback</x:v>
      </x:c>
      <x:c r="M69" s="70" t="str">
        <x:v>À créer comme incarnation distincte</x:v>
      </x:c>
      <x:c r="N69" s="70" t="str">
        <x:v>Registre des sept jouables inspecté ; aucun ID dédié à ce profil — v65.5 / 0f37cc52 : js/data/charactersData.js:49–162 ; https://github.com/darknigthmare/Yautja-hive-warriors/blob/0f37cc52f9d83a4abecc17b80f7bfc67701677cf/js/data/charactersData.js#L49-L162 ; Boss berserker_super_predator existant pour une autre incarnation — v65.5 / 0f37cc52 : js/entities/Bosses.js:32–36 ; https://github.com/darknigthmare/Yautja-hive-warriors/blob/0f37cc52f9d83a4abecc17b80f7bfc67701677cf/js/entities/Bosses.js#L32-L36</x:v>
      </x:c>
      <x:c r="O69" s="70" t="str">
        <x:v>Lire et référencer les pages pour identité, armure, arsenal et géographie ; créer un profil distinct du film 2010 et de l’Upgrade 2018.</x:v>
      </x:c>
      <x:c r="P69" s="70" t="str">
        <x:v>Proposition : adversaire de libération de captifs, défense d’un accès et interception ; plan de mission original après étude des pages.</x:v>
      </x:c>
      <x:c r="Q69" s="70" t="str">
        <x:v>Proposition : un seul individu nommé par opération, compté dans son budget ; s’il est joué, compter le joueur séparément. Aucun clone de renfort.</x:v>
      </x:c>
      <x:c r="R69" s="70" t="str">
        <x:v>Y/H : affrontement annoncé par Marvel. Y/X ou trois camps : original ; aucune continuité commune déduite du même mot Super.</x:v>
      </x:c>
      <x:c r="S69" s="70" t="str">
        <x:v>Y-L04 — réserve de captifs de The Last Hunt</x:v>
      </x:c>
      <x:c r="T69" s="70" t="str">
        <x:v>La notice confirme le nom descriptif et le conflit, pas une caste universelle ni l’identité de Mr. Black. Nom exact de planète et cartographie à vérifier.</x:v>
      </x:c>
      <x:c r="U69" s="70" t="str">
        <x:v>P2</x:v>
      </x:c>
    </x:row>
    <x:row r="70" ht="103.5" customHeight="1">
      <x:c r="A70" s="71" t="str">
        <x:v>YAU-027</x:v>
      </x:c>
      <x:c r="B70" s="71" t="str">
        <x:v>Yautja</x:v>
      </x:c>
      <x:c r="C70" s="71" t="str">
        <x:v>Scarface</x:v>
      </x:c>
      <x:c r="D70" s="71" t="str">
        <x:v>Individu de jeu ; exilé en quête de rédemption</x:v>
      </x:c>
      <x:c r="E70" s="71" t="str">
        <x:v>unique</x:v>
      </x:c>
      <x:c r="F70" s="71" t="str">
        <x:v>Predator: Concrete Jungle (2005)</x:v>
      </x:c>
      <x:c r="G70" s="71" t="str">
        <x:v>Jeu</x:v>
      </x:c>
      <x:c r="H70" s="71" t="str">
        <x:v>Confirmé dans la continuité du jeu via le catalogue licencié ; les films ne reprennent pas automatiquement son histoire.</x:v>
      </x:c>
      <x:c r="I70" s="71" t="str">
        <x:v>Confirmé dans l’œuvre</x:v>
      </x:c>
      <x:c r="J70" s="71" t="str">
        <x:v>Scarface revient d’exil pour récupérer à Neonopolis la technologie Yautja exploitée par des humains.</x:v>
      </x:c>
      <x:c r="K70" s="71" t="str">
        <x:v>Y-S22 — Ultimate Scarface — Concrete Jungle
NECA ; Catalogue licencié
Portée : Scarface, exil puis récupération de technologie à Neonopolis dans le jeu 2005 ; noms et prémisse, pas plan spatial certifié.
Consulté le 2026-10-26</x:v>
      </x:c>
      <x:c r="L70" s="76" t="str">
        <x:v>https://store.necaonline.com/blogs/behind-the-scenes/closer-look-video-game-appearance-ultimate-scarface-predator</x:v>
      </x:c>
      <x:c r="M70" s="71" t="str">
        <x:v>Partiel — armes du jeu citées, personnage absent du registre</x:v>
      </x:c>
      <x:c r="N70" s="71" t="str">
        <x:v>Registre des sept jouables inspecté ; aucun ID dédié à ce profil — v65.5 / 0f37cc52 : js/data/charactersData.js:49–162 ; https://github.com/darknigthmare/Yautja-hive-warriors/blob/0f37cc52f9d83a4abecc17b80f7bfc67701677cf/js/data/charactersData.js#L49-L162 ; Maul, glaive et armes attribuées à Concrete Jungle dans l’armurerie — v65.5 / 0f37cc52 : js/data/charactersData.js:3–27 ; https://github.com/darknigthmare/Yautja-hive-warriors/blob/0f37cc52f9d83a4abecc17b80f7bfc67701677cf/js/data/charactersData.js#L3-L27</x:v>
      </x:c>
      <x:c r="O70" s="71" t="str">
        <x:v>Créer l’individu et sa campagne urbaine ; vérifier armes et factions dans le jeu ; séparer héritage d’armurerie et mission réellement intégrée.</x:v>
      </x:c>
      <x:c r="P70" s="71" t="str">
        <x:v>Proposition : récupération d’objets, neutralisation de relais industriels et rupture des transferts technologiques.</x:v>
      </x:c>
      <x:c r="Q70" s="71" t="str">
        <x:v>Proposition : un seul individu nommé par opération, compté dans son budget ; s’il est joué, compter le joueur séparément. Aucun clone de renfort.</x:v>
      </x:c>
      <x:c r="R70" s="71" t="str">
        <x:v>Y/H : conflit de Neonopolis attesté ; Y/Y avec Stone Heart selon contexte du jeu ; X ou trois camps à documenter ou mode original.</x:v>
      </x:c>
      <x:c r="S70" s="71" t="str">
        <x:v>Y-L03 — Neonopolis</x:v>
      </x:c>
      <x:c r="T70" s="71" t="str">
        <x:v>Scarface ne correspond ni à Scar d’AVP ni au City Hunter. L’exil ne suffit pas à établir un rang Bad Blood ; arsenal accessible au joueur à vérifier.</x:v>
      </x:c>
      <x:c r="U70" s="71" t="str">
        <x:v>P1</x:v>
      </x:c>
    </x:row>
    <x:row r="71" ht="76.5" customHeight="1">
      <x:c r="A71" s="70" t="str">
        <x:v>YAU-028</x:v>
      </x:c>
      <x:c r="B71" s="70" t="str">
        <x:v>Yautja</x:v>
      </x:c>
      <x:c r="C71" s="70" t="str">
        <x:v>Stone Heart</x:v>
      </x:c>
      <x:c r="D71" s="70" t="str">
        <x:v>Individu Yautja transformé en cyborg</x:v>
      </x:c>
      <x:c r="E71" s="70" t="str">
        <x:v>unique</x:v>
      </x:c>
      <x:c r="F71" s="70" t="str">
        <x:v>Predator: Concrete Jungle (2005)</x:v>
      </x:c>
      <x:c r="G71" s="70" t="str">
        <x:v>Jeu</x:v>
      </x:c>
      <x:c r="H71" s="70" t="str">
        <x:v>Augmentation et conditionnement individuels confirmés dans la notice licenciée du jeu ; pas variante naturelle ni synthétique humain.</x:v>
      </x:c>
      <x:c r="I71" s="70" t="str">
        <x:v>Confirmé dans l’œuvre</x:v>
      </x:c>
      <x:c r="J71" s="70" t="str">
        <x:v>Borgia Industries capture Stone Heart, l’augmente et le conditionne pour en faire un cyborg.</x:v>
      </x:c>
      <x:c r="K71" s="70" t="str">
        <x:v>Y-S23 — Concrete Jungle — Stone Heart
NECA ; Catalogue licencié
Portée : Stone Heart capturé, augmenté et conditionné par Borgia Industries ; cyborg individuel, pas sous-espèce naturelle.
Consulté le 2026-10-26</x:v>
      </x:c>
      <x:c r="L71" s="77" t="str">
        <x:v>https://store.necaonline.com/products/predator-7-scale-action-figure-concrete-jungle-stone-heart-predator</x:v>
      </x:c>
      <x:c r="M71" s="70" t="str">
        <x:v>À créer comme individu et état de contrôle</x:v>
      </x:c>
      <x:c r="N71" s="70" t="str">
        <x:v>Registre des sept jouables inspecté ; aucun ID dédié à ce profil — v65.5 / 0f37cc52 : js/data/charactersData.js:49–162 ; https://github.com/darknigthmare/Yautja-hive-warriors/blob/0f37cc52f9d83a4abecc17b80f7bfc67701677cf/js/data/charactersData.js#L49-L162</x:v>
      </x:c>
      <x:c r="O71" s="70" t="str">
        <x:v>Créer identité, silhouette augmentée, contrôleur et états de libération ; vérifier ses attaques dans le jeu avant d’établir le boss.</x:v>
      </x:c>
      <x:c r="P71" s="70" t="str">
        <x:v>Proposition : garde de complexe industriel, dispositifs de contrôle comme objectifs et changement d’allégeance seulement si le scénario le prévoit.</x:v>
      </x:c>
      <x:c r="Q71" s="70" t="str">
        <x:v>Proposition : un seul individu nommé par opération, compté dans son budget ; s’il est joué, compter le joueur séparément. Aucun clone de renfort.</x:v>
      </x:c>
      <x:c r="R71" s="70" t="str">
        <x:v>Y/Y et implication d’une organisation humaine : contexte du jeu ; alliance avec tous les humains exclue ; Y/X ou trois camps = à documenter/original.</x:v>
      </x:c>
      <x:c r="S71" s="70" t="str">
        <x:v>Y-L03 — Neonopolis / installations Borgia à référencer</x:v>
      </x:c>
      <x:c r="T71" s="70" t="str">
        <x:v>Cyborg désigne une transformation, pas une caste. Ne pas le classer synthétique Weyland-Yutani ni fusionner sa technologie avec l’Assassin génétique 2018.</x:v>
      </x:c>
      <x:c r="U71" s="70" t="str">
        <x:v>P2</x:v>
      </x:c>
    </x:row>
    <x:row r="72" ht="103.5" customHeight="1">
      <x:c r="A72" s="71" t="str">
        <x:v>YAU-029</x:v>
      </x:c>
      <x:c r="B72" s="71" t="str">
        <x:v>Yautja</x:v>
      </x:c>
      <x:c r="C72" s="71" t="str">
        <x:v>Brawler</x:v>
      </x:c>
      <x:c r="D72" s="71" t="str">
        <x:v>Classe tactique de jeu ; pas un rang biologique</x:v>
      </x:c>
      <x:c r="E72" s="71" t="str">
        <x:v>Profil de jeu autorisé uniquement dans son preset</x:v>
      </x:c>
      <x:c r="F72" s="71" t="str">
        <x:v>Aliens Versus Predator: Extinction</x:v>
      </x:c>
      <x:c r="G72" s="71" t="str">
        <x:v>Jeu</x:v>
      </x:c>
      <x:c r="H72" s="71" t="str">
        <x:v>AVP / Extinction ; profil distinct de Hunting Grounds et des films</x:v>
      </x:c>
      <x:c r="I72" s="71" t="str">
        <x:v>Nom attesté dans le manuel officiel ; adaptation musou proposée</x:v>
      </x:c>
      <x:c r="J72" s="71" t="str">
        <x:v>Brawler figure au roster Predator.</x:v>
      </x:c>
      <x:c r="K7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2" s="76" t="str">
        <x:v>https://gamingalexandria.com/ps2/Aliens%20Versus%20Predator%20Extinction/Aliens%20Versus%20Predator%20Extinction%20-%20Manual.pdf</x:v>
      </x:c>
      <x:c r="M72" s="71" t="str">
        <x:v>Profil Extinction dédié absent du registre charactersData inspecté ; contrôle statique au SHA figé.</x:v>
      </x:c>
      <x:c r="N72" s="71" t="str">
        <x:v>https://github.com/darknigthmare/Yautja-hive-warriors/blob/0f37cc52f9d83a4abecc17b80f7bfc67701677cf/js/data/charactersData.js</x:v>
      </x:c>
      <x:c r="O72" s="71" t="str">
        <x:v>Créer silhouette, équipement, IA et coûts de rôle propres au preset Extinction. Les propositions de bataille ne valident pas l’ensemble des capacités originales.</x:v>
      </x:c>
      <x:c r="P72" s="71" t="str">
        <x:v>Combattant de mêlée ; proposition de conversion en bataille musou.</x:v>
      </x:c>
      <x:c r="Q72" s="71" t="str">
        <x:v>Rôle choisi dans une cellule finie de quatre ; appuis lourds rares et escorte incluse dans les budgets.</x:v>
      </x:c>
      <x:c r="R72" s="71" t="str">
        <x:v>Y-X ; Y-H ; X-Y-H dans le cadre Extinction ; Y-Y uniquement scénario original</x:v>
      </x:c>
      <x:c r="S72" s="71" t="str">
        <x:v>X-L01 — LV-742 — zones de guerre d’Extinction</x:v>
      </x:c>
      <x:c r="T72" s="71" t="str">
        <x:v>Ne pas transformer une classe de RTS en caste universelle. Aucun bonus chiffré ni arbre d’amélioration imposé aux films. La plateforme matérielle ne représente pas un Yautja supplémentaire.</x:v>
      </x:c>
      <x:c r="U72" s="71" t="str">
        <x:v>P1</x:v>
      </x:c>
    </x:row>
    <x:row r="73" ht="103.5" customHeight="1">
      <x:c r="A73" s="70" t="str">
        <x:v>YAU-030</x:v>
      </x:c>
      <x:c r="B73" s="70" t="str">
        <x:v>Yautja</x:v>
      </x:c>
      <x:c r="C73" s="70" t="str">
        <x:v>Hunter — Extinction</x:v>
      </x:c>
      <x:c r="D73" s="70" t="str">
        <x:v>Classe tactique de jeu ; pas un rang biologique</x:v>
      </x:c>
      <x:c r="E73" s="70" t="str">
        <x:v>Profil de jeu autorisé uniquement dans son preset</x:v>
      </x:c>
      <x:c r="F73" s="70" t="str">
        <x:v>Aliens Versus Predator: Extinction</x:v>
      </x:c>
      <x:c r="G73" s="70" t="str">
        <x:v>Jeu</x:v>
      </x:c>
      <x:c r="H73" s="70" t="str">
        <x:v>AVP / Extinction ; profil distinct de Hunting Grounds et des films</x:v>
      </x:c>
      <x:c r="I73" s="70" t="str">
        <x:v>Nom attesté dans le manuel officiel ; adaptation musou proposée</x:v>
      </x:c>
      <x:c r="J73" s="70" t="str">
        <x:v>Hunter figure au roster Predator.</x:v>
      </x:c>
      <x:c r="K7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3" s="77" t="str">
        <x:v>https://gamingalexandria.com/ps2/Aliens%20Versus%20Predator%20Extinction/Aliens%20Versus%20Predator%20Extinction%20-%20Manual.pdf</x:v>
      </x:c>
      <x:c r="M73" s="70" t="str">
        <x:v>Profil Extinction dédié absent du registre charactersData inspecté ; contrôle statique au SHA figé.</x:v>
      </x:c>
      <x:c r="N73" s="70" t="str">
        <x:v>https://github.com/darknigthmare/Yautja-hive-warriors/blob/0f37cc52f9d83a4abecc17b80f7bfc67701677cf/js/data/charactersData.js</x:v>
      </x:c>
      <x:c r="O73" s="70" t="str">
        <x:v>Créer silhouette, équipement, IA et coûts de rôle propres au preset Extinction. Les propositions de bataille ne valident pas l’ensemble des capacités originales.</x:v>
      </x:c>
      <x:c r="P73" s="70" t="str">
        <x:v>Appui de tir ; proposition de conversion en bataille musou.</x:v>
      </x:c>
      <x:c r="Q73" s="70" t="str">
        <x:v>Rôle choisi dans une cellule finie de quatre ; appuis lourds rares et escorte incluse dans les budgets.</x:v>
      </x:c>
      <x:c r="R73" s="70" t="str">
        <x:v>Y-X ; Y-H ; X-Y-H dans le cadre Extinction ; Y-Y uniquement scénario original</x:v>
      </x:c>
      <x:c r="S73" s="70" t="str">
        <x:v>X-L01 — LV-742 — zones de guerre d’Extinction</x:v>
      </x:c>
      <x:c r="T73" s="70" t="str">
        <x:v>Ne pas transformer une classe de RTS en caste universelle. Aucun bonus chiffré ni arbre d’amélioration imposé aux films. La plateforme matérielle ne représente pas un Yautja supplémentaire.</x:v>
      </x:c>
      <x:c r="U73" s="70" t="str">
        <x:v>P1</x:v>
      </x:c>
    </x:row>
    <x:row r="74" ht="103.5" customHeight="1">
      <x:c r="A74" s="71" t="str">
        <x:v>YAU-031</x:v>
      </x:c>
      <x:c r="B74" s="71" t="str">
        <x:v>Yautja</x:v>
      </x:c>
      <x:c r="C74" s="71" t="str">
        <x:v>Spear Master</x:v>
      </x:c>
      <x:c r="D74" s="71" t="str">
        <x:v>Classe tactique de jeu ; pas un rang biologique</x:v>
      </x:c>
      <x:c r="E74" s="71" t="str">
        <x:v>Profil de jeu autorisé uniquement dans son preset</x:v>
      </x:c>
      <x:c r="F74" s="71" t="str">
        <x:v>Aliens Versus Predator: Extinction</x:v>
      </x:c>
      <x:c r="G74" s="71" t="str">
        <x:v>Jeu</x:v>
      </x:c>
      <x:c r="H74" s="71" t="str">
        <x:v>AVP / Extinction ; profil distinct de Hunting Grounds et des films</x:v>
      </x:c>
      <x:c r="I74" s="71" t="str">
        <x:v>Nom attesté dans le manuel officiel ; adaptation musou proposée</x:v>
      </x:c>
      <x:c r="J74" s="71" t="str">
        <x:v>Spear Master figure au roster Predator.</x:v>
      </x:c>
      <x:c r="K74"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4" s="76" t="str">
        <x:v>https://gamingalexandria.com/ps2/Aliens%20Versus%20Predator%20Extinction/Aliens%20Versus%20Predator%20Extinction%20-%20Manual.pdf</x:v>
      </x:c>
      <x:c r="M74" s="71" t="str">
        <x:v>Profil Extinction dédié absent du registre charactersData inspecté ; contrôle statique au SHA figé.</x:v>
      </x:c>
      <x:c r="N74" s="71" t="str">
        <x:v>https://github.com/darknigthmare/Yautja-hive-warriors/blob/0f37cc52f9d83a4abecc17b80f7bfc67701677cf/js/data/charactersData.js</x:v>
      </x:c>
      <x:c r="O74" s="71" t="str">
        <x:v>Créer silhouette, équipement, IA et coûts de rôle propres au preset Extinction. Les propositions de bataille ne valident pas l’ensemble des capacités originales.</x:v>
      </x:c>
      <x:c r="P74" s="71" t="str">
        <x:v>Garde de passage ; proposition de conversion en bataille musou.</x:v>
      </x:c>
      <x:c r="Q74" s="71" t="str">
        <x:v>Rôle choisi dans une cellule finie de quatre ; appuis lourds rares et escorte incluse dans les budgets.</x:v>
      </x:c>
      <x:c r="R74" s="71" t="str">
        <x:v>Y-X ; Y-H ; X-Y-H dans le cadre Extinction ; Y-Y uniquement scénario original</x:v>
      </x:c>
      <x:c r="S74" s="71" t="str">
        <x:v>X-L01 — LV-742 — zones de guerre d’Extinction</x:v>
      </x:c>
      <x:c r="T74" s="71" t="str">
        <x:v>Ne pas transformer une classe de RTS en caste universelle. Aucun bonus chiffré ni arbre d’amélioration imposé aux films. La plateforme matérielle ne représente pas un Yautja supplémentaire.</x:v>
      </x:c>
      <x:c r="U74" s="71" t="str">
        <x:v>P1</x:v>
      </x:c>
    </x:row>
    <x:row r="75" ht="103.5" customHeight="1">
      <x:c r="A75" s="70" t="str">
        <x:v>YAU-032</x:v>
      </x:c>
      <x:c r="B75" s="70" t="str">
        <x:v>Yautja</x:v>
      </x:c>
      <x:c r="C75" s="70" t="str">
        <x:v>Stalker — Extinction</x:v>
      </x:c>
      <x:c r="D75" s="70" t="str">
        <x:v>Classe tactique de jeu ; pas un rang biologique</x:v>
      </x:c>
      <x:c r="E75" s="70" t="str">
        <x:v>Profil de jeu autorisé uniquement dans son preset</x:v>
      </x:c>
      <x:c r="F75" s="70" t="str">
        <x:v>Aliens Versus Predator: Extinction</x:v>
      </x:c>
      <x:c r="G75" s="70" t="str">
        <x:v>Jeu</x:v>
      </x:c>
      <x:c r="H75" s="70" t="str">
        <x:v>AVP / Extinction ; profil distinct de Hunting Grounds et des films</x:v>
      </x:c>
      <x:c r="I75" s="70" t="str">
        <x:v>Nom attesté dans le manuel officiel ; adaptation musou proposée</x:v>
      </x:c>
      <x:c r="J75" s="70" t="str">
        <x:v>Stalker figure au roster Predator.</x:v>
      </x:c>
      <x:c r="K75"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5" s="77" t="str">
        <x:v>https://gamingalexandria.com/ps2/Aliens%20Versus%20Predator%20Extinction/Aliens%20Versus%20Predator%20Extinction%20-%20Manual.pdf</x:v>
      </x:c>
      <x:c r="M75" s="70" t="str">
        <x:v>Profil Extinction dédié absent du registre charactersData inspecté ; contrôle statique au SHA figé.</x:v>
      </x:c>
      <x:c r="N75" s="70" t="str">
        <x:v>https://github.com/darknigthmare/Yautja-hive-warriors/blob/0f37cc52f9d83a4abecc17b80f7bfc67701677cf/js/data/charactersData.js</x:v>
      </x:c>
      <x:c r="O75" s="70" t="str">
        <x:v>Créer silhouette, équipement, IA et coûts de rôle propres au preset Extinction. Les propositions de bataille ne valident pas l’ensemble des capacités originales.</x:v>
      </x:c>
      <x:c r="P75" s="70" t="str">
        <x:v>Traque à distance ; proposition de conversion en bataille musou.</x:v>
      </x:c>
      <x:c r="Q75" s="70" t="str">
        <x:v>Rôle choisi dans une cellule finie de quatre ; appuis lourds rares et escorte incluse dans les budgets.</x:v>
      </x:c>
      <x:c r="R75" s="70" t="str">
        <x:v>Y-X ; Y-H ; X-Y-H dans le cadre Extinction ; Y-Y uniquement scénario original</x:v>
      </x:c>
      <x:c r="S75" s="70" t="str">
        <x:v>X-L01 — LV-742 — zones de guerre d’Extinction</x:v>
      </x:c>
      <x:c r="T75" s="70" t="str">
        <x:v>Ne pas transformer une classe de RTS en caste universelle. Aucun bonus chiffré ni arbre d’amélioration imposé aux films. La plateforme matérielle ne représente pas un Yautja supplémentaire.</x:v>
      </x:c>
      <x:c r="U75" s="70" t="str">
        <x:v>P1</x:v>
      </x:c>
    </x:row>
    <x:row r="76" ht="103.5" customHeight="1">
      <x:c r="A76" s="71" t="str">
        <x:v>YAU-033</x:v>
      </x:c>
      <x:c r="B76" s="71" t="str">
        <x:v>Yautja</x:v>
      </x:c>
      <x:c r="C76" s="71" t="str">
        <x:v>Disc Master</x:v>
      </x:c>
      <x:c r="D76" s="71" t="str">
        <x:v>Classe tactique de jeu ; pas un rang biologique</x:v>
      </x:c>
      <x:c r="E76" s="71" t="str">
        <x:v>Profil de jeu autorisé uniquement dans son preset</x:v>
      </x:c>
      <x:c r="F76" s="71" t="str">
        <x:v>Aliens Versus Predator: Extinction</x:v>
      </x:c>
      <x:c r="G76" s="71" t="str">
        <x:v>Jeu</x:v>
      </x:c>
      <x:c r="H76" s="71" t="str">
        <x:v>AVP / Extinction ; profil distinct de Hunting Grounds et des films</x:v>
      </x:c>
      <x:c r="I76" s="71" t="str">
        <x:v>Nom attesté dans le manuel officiel ; adaptation musou proposée</x:v>
      </x:c>
      <x:c r="J76" s="71" t="str">
        <x:v>Disc Master figure au roster Predator.</x:v>
      </x:c>
      <x:c r="K7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6" s="76" t="str">
        <x:v>https://gamingalexandria.com/ps2/Aliens%20Versus%20Predator%20Extinction/Aliens%20Versus%20Predator%20Extinction%20-%20Manual.pdf</x:v>
      </x:c>
      <x:c r="M76" s="71" t="str">
        <x:v>Profil Extinction dédié absent du registre charactersData inspecté ; contrôle statique au SHA figé.</x:v>
      </x:c>
      <x:c r="N76" s="71" t="str">
        <x:v>https://github.com/darknigthmare/Yautja-hive-warriors/blob/0f37cc52f9d83a4abecc17b80f7bfc67701677cf/js/data/charactersData.js</x:v>
      </x:c>
      <x:c r="O76" s="71" t="str">
        <x:v>Créer silhouette, équipement, IA et coûts de rôle propres au preset Extinction. Les propositions de bataille ne valident pas l’ensemble des capacités originales.</x:v>
      </x:c>
      <x:c r="P76" s="71" t="str">
        <x:v>Contrôle d’une ligne ouverte ; proposition de conversion en bataille musou.</x:v>
      </x:c>
      <x:c r="Q76" s="71" t="str">
        <x:v>Rôle choisi dans une cellule finie de quatre ; appuis lourds rares et escorte incluse dans les budgets.</x:v>
      </x:c>
      <x:c r="R76" s="71" t="str">
        <x:v>Y-X ; Y-H ; X-Y-H dans le cadre Extinction ; Y-Y uniquement scénario original</x:v>
      </x:c>
      <x:c r="S76" s="71" t="str">
        <x:v>X-L01 — LV-742 — zones de guerre d’Extinction</x:v>
      </x:c>
      <x:c r="T76" s="71" t="str">
        <x:v>Ne pas transformer une classe de RTS en caste universelle. Aucun bonus chiffré ni arbre d’amélioration imposé aux films. La plateforme matérielle ne représente pas un Yautja supplémentaire.</x:v>
      </x:c>
      <x:c r="U76" s="71" t="str">
        <x:v>P1</x:v>
      </x:c>
    </x:row>
    <x:row r="77" ht="103.5" customHeight="1">
      <x:c r="A77" s="70" t="str">
        <x:v>YAU-034</x:v>
      </x:c>
      <x:c r="B77" s="70" t="str">
        <x:v>Yautja</x:v>
      </x:c>
      <x:c r="C77" s="70" t="str">
        <x:v>Vanguard</x:v>
      </x:c>
      <x:c r="D77" s="70" t="str">
        <x:v>Classe tactique de jeu ; pas un rang biologique</x:v>
      </x:c>
      <x:c r="E77" s="70" t="str">
        <x:v>Profil de jeu autorisé uniquement dans son preset</x:v>
      </x:c>
      <x:c r="F77" s="70" t="str">
        <x:v>Aliens Versus Predator: Extinction</x:v>
      </x:c>
      <x:c r="G77" s="70" t="str">
        <x:v>Jeu</x:v>
      </x:c>
      <x:c r="H77" s="70" t="str">
        <x:v>AVP / Extinction ; profil distinct de Hunting Grounds et des films</x:v>
      </x:c>
      <x:c r="I77" s="70" t="str">
        <x:v>Nom attesté dans le manuel officiel ; adaptation musou proposée</x:v>
      </x:c>
      <x:c r="J77" s="70" t="str">
        <x:v>Vanguard figure au roster Predator.</x:v>
      </x:c>
      <x:c r="K7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7" s="77" t="str">
        <x:v>https://gamingalexandria.com/ps2/Aliens%20Versus%20Predator%20Extinction/Aliens%20Versus%20Predator%20Extinction%20-%20Manual.pdf</x:v>
      </x:c>
      <x:c r="M77" s="70" t="str">
        <x:v>Profil Extinction dédié absent du registre charactersData inspecté ; contrôle statique au SHA figé.</x:v>
      </x:c>
      <x:c r="N77" s="70" t="str">
        <x:v>https://github.com/darknigthmare/Yautja-hive-warriors/blob/0f37cc52f9d83a4abecc17b80f7bfc67701677cf/js/data/charactersData.js</x:v>
      </x:c>
      <x:c r="O77" s="70" t="str">
        <x:v>Créer silhouette, équipement, IA et coûts de rôle propres au preset Extinction. Les propositions de bataille ne valident pas l’ensemble des capacités originales.</x:v>
      </x:c>
      <x:c r="P77" s="70" t="str">
        <x:v>Protection d’un axe ; proposition de conversion en bataille musou.</x:v>
      </x:c>
      <x:c r="Q77" s="70" t="str">
        <x:v>Rôle choisi dans une cellule finie de quatre ; appuis lourds rares et escorte incluse dans les budgets.</x:v>
      </x:c>
      <x:c r="R77" s="70" t="str">
        <x:v>Y-X ; Y-H ; X-Y-H dans le cadre Extinction ; Y-Y uniquement scénario original</x:v>
      </x:c>
      <x:c r="S77" s="70" t="str">
        <x:v>X-L01 — LV-742 — zones de guerre d’Extinction</x:v>
      </x:c>
      <x:c r="T77" s="70" t="str">
        <x:v>Ne pas transformer une classe de RTS en caste universelle. Aucun bonus chiffré ni arbre d’amélioration imposé aux films. La plateforme matérielle ne représente pas un Yautja supplémentaire.</x:v>
      </x:c>
      <x:c r="U77" s="70" t="str">
        <x:v>P1</x:v>
      </x:c>
    </x:row>
    <x:row r="78" ht="103.5" customHeight="1">
      <x:c r="A78" s="71" t="str">
        <x:v>YAU-035</x:v>
      </x:c>
      <x:c r="B78" s="71" t="str">
        <x:v>Yautja</x:v>
      </x:c>
      <x:c r="C78" s="71" t="str">
        <x:v>Hydra</x:v>
      </x:c>
      <x:c r="D78" s="71" t="str">
        <x:v>Classe tactique de jeu ; pas un rang biologique</x:v>
      </x:c>
      <x:c r="E78" s="71" t="str">
        <x:v>Profil de jeu autorisé uniquement dans son preset</x:v>
      </x:c>
      <x:c r="F78" s="71" t="str">
        <x:v>Aliens Versus Predator: Extinction</x:v>
      </x:c>
      <x:c r="G78" s="71" t="str">
        <x:v>Jeu</x:v>
      </x:c>
      <x:c r="H78" s="71" t="str">
        <x:v>AVP / Extinction ; profil distinct de Hunting Grounds et des films</x:v>
      </x:c>
      <x:c r="I78" s="71" t="str">
        <x:v>Nom attesté dans le manuel officiel ; adaptation musou proposée</x:v>
      </x:c>
      <x:c r="J78" s="71" t="str">
        <x:v>Hydra figure au roster Predator.</x:v>
      </x:c>
      <x:c r="K7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8" s="76" t="str">
        <x:v>https://gamingalexandria.com/ps2/Aliens%20Versus%20Predator%20Extinction/Aliens%20Versus%20Predator%20Extinction%20-%20Manual.pdf</x:v>
      </x:c>
      <x:c r="M78" s="71" t="str">
        <x:v>Profil Extinction dédié absent du registre charactersData inspecté ; contrôle statique au SHA figé.</x:v>
      </x:c>
      <x:c r="N78" s="71" t="str">
        <x:v>https://github.com/darknigthmare/Yautja-hive-warriors/blob/0f37cc52f9d83a4abecc17b80f7bfc67701677cf/js/data/charactersData.js</x:v>
      </x:c>
      <x:c r="O78" s="71" t="str">
        <x:v>Créer silhouette, équipement, IA et coûts de rôle propres au preset Extinction. Les propositions de bataille ne valident pas l’ensemble des capacités originales.</x:v>
      </x:c>
      <x:c r="P78" s="71" t="str">
        <x:v>Appui lourd spécialisé ; proposition de conversion en bataille musou.</x:v>
      </x:c>
      <x:c r="Q78" s="71" t="str">
        <x:v>Rôle choisi dans une cellule finie de quatre ; appuis lourds rares et escorte incluse dans les budgets.</x:v>
      </x:c>
      <x:c r="R78" s="71" t="str">
        <x:v>Y-X ; Y-H ; X-Y-H dans le cadre Extinction ; Y-Y uniquement scénario original</x:v>
      </x:c>
      <x:c r="S78" s="71" t="str">
        <x:v>X-L01 — LV-742 — zones de guerre d’Extinction</x:v>
      </x:c>
      <x:c r="T78" s="71" t="str">
        <x:v>Ne pas transformer une classe de RTS en caste universelle. Aucun bonus chiffré ni arbre d’amélioration imposé aux films. La plateforme matérielle ne représente pas un Yautja supplémentaire.</x:v>
      </x:c>
      <x:c r="U78" s="71" t="str">
        <x:v>P1</x:v>
      </x:c>
    </x:row>
    <x:row r="79" ht="103.5" customHeight="1">
      <x:c r="A79" s="70" t="str">
        <x:v>YAU-036</x:v>
      </x:c>
      <x:c r="B79" s="70" t="str">
        <x:v>Yautja</x:v>
      </x:c>
      <x:c r="C79" s="70" t="str">
        <x:v>Blazer</x:v>
      </x:c>
      <x:c r="D79" s="70" t="str">
        <x:v>Classe tactique de jeu ; pas un rang biologique</x:v>
      </x:c>
      <x:c r="E79" s="70" t="str">
        <x:v>Profil de jeu autorisé uniquement dans son preset</x:v>
      </x:c>
      <x:c r="F79" s="70" t="str">
        <x:v>Aliens Versus Predator: Extinction</x:v>
      </x:c>
      <x:c r="G79" s="70" t="str">
        <x:v>Jeu</x:v>
      </x:c>
      <x:c r="H79" s="70" t="str">
        <x:v>AVP / Extinction ; profil distinct de Hunting Grounds et des films</x:v>
      </x:c>
      <x:c r="I79" s="70" t="str">
        <x:v>Nom attesté dans le manuel officiel ; adaptation musou proposée</x:v>
      </x:c>
      <x:c r="J79" s="70" t="str">
        <x:v>Blazer figure au roster Predator.</x:v>
      </x:c>
      <x:c r="K7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9" s="77" t="str">
        <x:v>https://gamingalexandria.com/ps2/Aliens%20Versus%20Predator%20Extinction/Aliens%20Versus%20Predator%20Extinction%20-%20Manual.pdf</x:v>
      </x:c>
      <x:c r="M79" s="70" t="str">
        <x:v>Profil Extinction dédié absent du registre charactersData inspecté ; contrôle statique au SHA figé.</x:v>
      </x:c>
      <x:c r="N79" s="70" t="str">
        <x:v>https://github.com/darknigthmare/Yautja-hive-warriors/blob/0f37cc52f9d83a4abecc17b80f7bfc67701677cf/js/data/charactersData.js</x:v>
      </x:c>
      <x:c r="O79" s="70" t="str">
        <x:v>Créer silhouette, équipement, IA et coûts de rôle propres au preset Extinction. Les propositions de bataille ne valident pas l’ensemble des capacités originales.</x:v>
      </x:c>
      <x:c r="P79" s="70" t="str">
        <x:v>Interdiction de zone ; proposition de conversion en bataille musou.</x:v>
      </x:c>
      <x:c r="Q79" s="70" t="str">
        <x:v>Rôle choisi dans une cellule finie de quatre ; appuis lourds rares et escorte incluse dans les budgets.</x:v>
      </x:c>
      <x:c r="R79" s="70" t="str">
        <x:v>Y-X ; Y-H ; X-Y-H dans le cadre Extinction ; Y-Y uniquement scénario original</x:v>
      </x:c>
      <x:c r="S79" s="70" t="str">
        <x:v>X-L01 — LV-742 — zones de guerre d’Extinction</x:v>
      </x:c>
      <x:c r="T79" s="70" t="str">
        <x:v>Ne pas transformer une classe de RTS en caste universelle. Aucun bonus chiffré ni arbre d’amélioration imposé aux films. La plateforme matérielle ne représente pas un Yautja supplémentaire.</x:v>
      </x:c>
      <x:c r="U79" s="70" t="str">
        <x:v>P1</x:v>
      </x:c>
    </x:row>
    <x:row r="80" ht="103.5" customHeight="1">
      <x:c r="A80" s="71" t="str">
        <x:v>YAU-037</x:v>
      </x:c>
      <x:c r="B80" s="71" t="str">
        <x:v>Matériel Yautja</x:v>
      </x:c>
      <x:c r="C80" s="71" t="str">
        <x:v>Predgun</x:v>
      </x:c>
      <x:c r="D80" s="71" t="str">
        <x:v>Plateforme de soutien de jeu ; pas un individu</x:v>
      </x:c>
      <x:c r="E80" s="71" t="str">
        <x:v>Matériel séparé du quota de combattants</x:v>
      </x:c>
      <x:c r="F80" s="71" t="str">
        <x:v>Aliens Versus Predator: Extinction</x:v>
      </x:c>
      <x:c r="G80" s="71" t="str">
        <x:v>Jeu</x:v>
      </x:c>
      <x:c r="H80" s="71" t="str">
        <x:v>AVP / Extinction ; profil distinct de Hunting Grounds et des films</x:v>
      </x:c>
      <x:c r="I80" s="71" t="str">
        <x:v>Nom attesté dans le manuel officiel ; adaptation musou proposée</x:v>
      </x:c>
      <x:c r="J80" s="71" t="str">
        <x:v>Predgun figure au roster Predator.</x:v>
      </x:c>
      <x:c r="K8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0" s="76" t="str">
        <x:v>https://gamingalexandria.com/ps2/Aliens%20Versus%20Predator%20Extinction/Aliens%20Versus%20Predator%20Extinction%20-%20Manual.pdf</x:v>
      </x:c>
      <x:c r="M80" s="71" t="str">
        <x:v>Profil Extinction dédié absent du registre charactersData inspecté ; contrôle statique au SHA figé.</x:v>
      </x:c>
      <x:c r="N80" s="71" t="str">
        <x:v>https://github.com/darknigthmare/Yautja-hive-warriors/blob/0f37cc52f9d83a4abecc17b80f7bfc67701677cf/js/data/charactersData.js</x:v>
      </x:c>
      <x:c r="O80" s="71" t="str">
        <x:v>Créer silhouette, équipement, IA et coûts de rôle propres au preset Extinction. Les propositions de bataille ne valident pas l’ensemble des capacités originales.</x:v>
      </x:c>
      <x:c r="P80" s="71" t="str">
        <x:v>Matériel de commandement et de soutien ; proposition de conversion en bataille musou.</x:v>
      </x:c>
      <x:c r="Q80" s="71" t="str">
        <x:v>Un dispositif identifié par base au maximum dans le pilote ; destruction persistante, réparateurs déjà comptés.</x:v>
      </x:c>
      <x:c r="R80" s="71" t="str">
        <x:v>Y-X ; Y-H ; X-Y-H dans le cadre Extinction ; Y-Y uniquement scénario original</x:v>
      </x:c>
      <x:c r="S80" s="71" t="str">
        <x:v>X-L01 — LV-742 — zones de guerre d’Extinction</x:v>
      </x:c>
      <x:c r="T80" s="71" t="str">
        <x:v>Ne pas transformer une classe de RTS en caste universelle. Aucun bonus chiffré ni arbre d’amélioration imposé aux films. La plateforme matérielle ne représente pas un Yautja supplémentaire.</x:v>
      </x:c>
      <x:c r="U80" s="71" t="str">
        <x:v>P2</x:v>
      </x:c>
    </x:row>
    <x:row r="81" ht="103.5" customHeight="1">
      <x:c r="A81" s="70" t="str">
        <x:v>HUM-001</x:v>
      </x:c>
      <x:c r="B81" s="70" t="str">
        <x:v>Humains et technologies humaines</x:v>
      </x:c>
      <x:c r="C81" s="70" t="str">
        <x:v>Infantry — AVP: Extinction</x:v>
      </x:c>
      <x:c r="D81" s="70" t="str">
        <x:v>Classe d’infanterie de jeu</x:v>
      </x:c>
      <x:c r="E81" s="70" t="str">
        <x:v>Profil commun à adapter ; nombres et formation proposés</x:v>
      </x:c>
      <x:c r="F81" s="70" t="str">
        <x:v>Aliens Versus Predator: Extinction</x:v>
      </x:c>
      <x:c r="G81" s="70" t="str">
        <x:v>Jeu</x:v>
      </x:c>
      <x:c r="H81" s="70" t="str">
        <x:v>AVP / Extinction</x:v>
      </x:c>
      <x:c r="I81" s="70" t="str">
        <x:v>Attesté dans l’œuvre citée ; portée limitée à sa continuité</x:v>
      </x:c>
      <x:c r="J81" s="70" t="str">
        <x:v>Infantry figure au roster humain.</x:v>
      </x:c>
      <x:c r="K8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1" s="77" t="str">
        <x:v>https://gamingalexandria.com/ps2/Aliens%20Versus%20Predator%20Extinction/Aliens%20Versus%20Predator%20Extinction%20-%20Manual.pdf</x:v>
      </x:c>
      <x:c r="M81" s="70" t="str">
        <x:v>Absent du registre de combat inspecté au commit figé ; contrôle statique, pas validation en jeu.</x:v>
      </x:c>
      <x:c r="N81" s="70" t="str">
        <x:v>https://github.com/darknigthmare/Yautja-hive-warriors/blob/0f37cc52f9d83a4abecc17b80f7bfc67701677cf/js/entities/ColonialMarines.js#L18-L49</x:v>
      </x:c>
      <x:c r="O81" s="70" t="str">
        <x:v>Créer une fiche d’unité, une IA de rôle, un équipement de période et une règle de sélection par théâtre. Les comportements ci-dessous sont des propositions de conception.</x:v>
      </x:c>
      <x:c r="P81" s="70" t="str">
        <x:v>Fusilier de ligne proposé : couvert, recul et suppression limitée.</x:v>
      </x:c>
      <x:c r="Q81" s="70" t="str">
        <x:v>Section de quatre ou huit ; officier inclus.</x:v>
      </x:c>
      <x:c r="R81" s="70" t="str">
        <x:v>X-H ; Y-H ; X-Y-H</x:v>
      </x:c>
      <x:c r="S81" s="70" t="str">
        <x:v>Théâtre original AVP du futur</x:v>
      </x:c>
      <x:c r="T81" s="70" t="str">
        <x:v>Preset AVP: Extinction uniquement par défaut ; sélectionner un rôle dans le groupe sans ajouter son effectif au budget. Aucun arbre d’amélioration transformé en biologie ou loi de la franchise.</x:v>
      </x:c>
      <x:c r="U81" s="70" t="str">
        <x:v>P1</x:v>
      </x:c>
    </x:row>
    <x:row r="82" ht="103.5" customHeight="1">
      <x:c r="A82" s="71" t="str">
        <x:v>HUM-002</x:v>
      </x:c>
      <x:c r="B82" s="71" t="str">
        <x:v>Humains et technologies humaines</x:v>
      </x:c>
      <x:c r="C82" s="71" t="str">
        <x:v>Smartgunner — profil humain dédié</x:v>
      </x:c>
      <x:c r="D82" s="71" t="str">
        <x:v>Spécialité d’arme / classe de jeu</x:v>
      </x:c>
      <x:c r="E82" s="71" t="str">
        <x:v>Profil commun à adapter ; nombres et formation proposés</x:v>
      </x:c>
      <x:c r="F82" s="71" t="str">
        <x:v>Aliens Versus Predator: Extinction</x:v>
      </x:c>
      <x:c r="G82" s="71" t="str">
        <x:v>Jeu</x:v>
      </x:c>
      <x:c r="H82" s="71" t="str">
        <x:v>AVP / Extinction</x:v>
      </x:c>
      <x:c r="I82" s="71" t="str">
        <x:v>Attesté dans l’œuvre citée ; portée limitée à sa continuité</x:v>
      </x:c>
      <x:c r="J82" s="71" t="str">
        <x:v>Smartgunner figure au roster humain.</x:v>
      </x:c>
      <x:c r="K8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2" s="76" t="str">
        <x:v>https://gamingalexandria.com/ps2/Aliens%20Versus%20Predator%20Extinction/Aliens%20Versus%20Predator%20Extinction%20-%20Manual.pdf</x:v>
      </x:c>
      <x:c r="M82" s="71" t="str">
        <x:v>Partiel — type smartgunner présent, sans composition ni doctrine propre complète.</x:v>
      </x:c>
      <x:c r="N82" s="71" t="str">
        <x:v>https://github.com/darknigthmare/Yautja-hive-warriors/blob/0f37cc52f9d83a4abecc17b80f7bfc67701677cf/js/entities/ColonialMarines.js#L18-L49</x:v>
      </x:c>
      <x:c r="O82" s="71" t="str">
        <x:v>Créer une fiche d’unité, une IA de rôle, un équipement de période et une règle de sélection par théâtre. Les comportements ci-dessous sont des propositions de conception.</x:v>
      </x:c>
      <x:c r="P82" s="71" t="str">
        <x:v>Appui latéral proposé, champs de tir et contraintes de rotation.</x:v>
      </x:c>
      <x:c r="Q82" s="71" t="str">
        <x:v>Un spécialiste remplace un fusilier ; pas toute la section.</x:v>
      </x:c>
      <x:c r="R82" s="71" t="str">
        <x:v>X-H ; Y-H ; X-Y-H</x:v>
      </x:c>
      <x:c r="S82" s="71" t="str">
        <x:v>Théâtre original AVP du futur</x:v>
      </x:c>
      <x:c r="T82" s="71" t="str">
        <x:v>Preset AVP: Extinction uniquement par défaut ; sélectionner un rôle dans le groupe sans ajouter son effectif au budget. Aucun arbre d’amélioration transformé en biologie ou loi de la franchise.</x:v>
      </x:c>
      <x:c r="U82" s="71" t="str">
        <x:v>P1</x:v>
      </x:c>
    </x:row>
    <x:row r="83" ht="103.5" customHeight="1">
      <x:c r="A83" s="70" t="str">
        <x:v>HUM-003</x:v>
      </x:c>
      <x:c r="B83" s="70" t="str">
        <x:v>Humains et technologies humaines</x:v>
      </x:c>
      <x:c r="C83" s="70" t="str">
        <x:v>Flamethrower — opérateur lance-flammes</x:v>
      </x:c>
      <x:c r="D83" s="70" t="str">
        <x:v>Spécialité d’arme / classe de jeu</x:v>
      </x:c>
      <x:c r="E83" s="70" t="str">
        <x:v>Profil commun à adapter ; nombres et formation proposés</x:v>
      </x:c>
      <x:c r="F83" s="70" t="str">
        <x:v>Aliens Versus Predator: Extinction</x:v>
      </x:c>
      <x:c r="G83" s="70" t="str">
        <x:v>Jeu</x:v>
      </x:c>
      <x:c r="H83" s="70" t="str">
        <x:v>AVP / Extinction</x:v>
      </x:c>
      <x:c r="I83" s="70" t="str">
        <x:v>Attesté dans l’œuvre citée ; portée limitée à sa continuité</x:v>
      </x:c>
      <x:c r="J83" s="70" t="str">
        <x:v>Flamethrower figure au roster humain.</x:v>
      </x:c>
      <x:c r="K8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3" s="77" t="str">
        <x:v>https://gamingalexandria.com/ps2/Aliens%20Versus%20Predator%20Extinction/Aliens%20Versus%20Predator%20Extinction%20-%20Manual.pdf</x:v>
      </x:c>
      <x:c r="M83" s="70" t="str">
        <x:v>Partiel — type flametrooper présent ; rôle tactique et ressource à compléter.</x:v>
      </x:c>
      <x:c r="N83" s="70" t="str">
        <x:v>https://github.com/darknigthmare/Yautja-hive-warriors/blob/0f37cc52f9d83a4abecc17b80f7bfc67701677cf/js/entities/ColonialMarines.js#L18-L49</x:v>
      </x:c>
      <x:c r="O83" s="70" t="str">
        <x:v>Créer une fiche d’unité, une IA de rôle, un équipement de période et une règle de sélection par théâtre. Les comportements ci-dessous sont des propositions de conception.</x:v>
      </x:c>
      <x:c r="P83" s="70" t="str">
        <x:v>Interdiction d’un passage proposée avec carburant suivi et risque de gêner les alliés.</x:v>
      </x:c>
      <x:c r="Q83" s="70" t="str">
        <x:v>Un spécialiste et protection de proximité ; tirs soumis au terrain.</x:v>
      </x:c>
      <x:c r="R83" s="70" t="str">
        <x:v>X-H ; Y-H ; X-Y-H</x:v>
      </x:c>
      <x:c r="S83" s="70" t="str">
        <x:v>Couloirs / accès de ruche</x:v>
      </x:c>
      <x:c r="T83" s="70" t="str">
        <x:v>Preset AVP: Extinction uniquement par défaut ; sélectionner un rôle dans le groupe sans ajouter son effectif au budget. Aucun arbre d’amélioration transformé en biologie ou loi de la franchise.</x:v>
      </x:c>
      <x:c r="U83" s="70" t="str">
        <x:v>P1</x:v>
      </x:c>
    </x:row>
    <x:row r="84" ht="76.5" customHeight="1">
      <x:c r="A84" s="71" t="str">
        <x:v>HUM-004</x:v>
      </x:c>
      <x:c r="B84" s="71" t="str">
        <x:v>Humains et technologies humaines</x:v>
      </x:c>
      <x:c r="C84" s="71" t="str">
        <x:v>Sergent des Colonial Marines</x:v>
      </x:c>
      <x:c r="D84" s="71" t="str">
        <x:v>Grade et fonction militaire</x:v>
      </x:c>
      <x:c r="E84" s="71" t="str">
        <x:v>Profil commun à adapter ; nombres et formation proposés</x:v>
      </x:c>
      <x:c r="F84" s="71" t="str">
        <x:v>Aliens: Dark Descent</x:v>
      </x:c>
      <x:c r="G84" s="71" t="str">
        <x:v>Jeu</x:v>
      </x:c>
      <x:c r="H84" s="71" t="str">
        <x:v>Alien / Dark Descent</x:v>
      </x:c>
      <x:c r="I84" s="71" t="str">
        <x:v>Attesté dans l’œuvre citée ; portée limitée à sa continuité</x:v>
      </x:c>
      <x:c r="J84" s="71" t="str">
        <x:v>Jonas Harper est sergent des Colonial Marines.</x:v>
      </x:c>
      <x:c r="K84" s="71" t="str">
        <x:v>H-S04 — Dark Descent — bande-annonce de l’histoire
Focus Entertainment / Tindalos ; Source primaire officielle
Portée : Lethe, Otago, Pioneer Station, commandos humains rebelles et fonctions des personnages cités.
Consulté le 2026-10-26</x:v>
      </x:c>
      <x:c r="L84" s="76" t="str">
        <x:v>https://www.focus-entmt.com/en/news/tindalos-and-focus-reveal-story-trailer-for-aliens-dark-descent</x:v>
      </x:c>
      <x:c r="M84" s="71" t="str">
        <x:v>Absent du registre de combat inspecté au commit figé ; contrôle statique, pas validation en jeu.</x:v>
      </x:c>
      <x:c r="N84" s="71" t="str">
        <x:v>https://github.com/darknigthmare/Yautja-hive-warriors/blob/0f37cc52f9d83a4abecc17b80f7bfc67701677cf/js/entities/ColonialMarines.js#L18-L49</x:v>
      </x:c>
      <x:c r="O84" s="71" t="str">
        <x:v>Créer une fiche d’unité, une IA de rôle, un équipement de période et une règle de sélection par théâtre. Les comportements ci-dessous sont des propositions de conception.</x:v>
      </x:c>
      <x:c r="P84" s="71" t="str">
        <x:v>Chef humain original pour ordres, cohésion et repli ; Harper reste une option narrative unique.</x:v>
      </x:c>
      <x:c r="Q84" s="71" t="str">
        <x:v>Un sergent inclus dans la section ; pas une créature à PV de monstre.</x:v>
      </x:c>
      <x:c r="R84" s="71" t="str">
        <x:v>X-H ; extension Y-H ou X-Y-H originale</x:v>
      </x:c>
      <x:c r="S84" s="71" t="str">
        <x:v>H-L02 ; H-L04</x:v>
      </x:c>
      <x:c r="T84" s="71" t="str">
        <x:v>Pas de clones de Jonas Harper ; ses relations scénaristiques ne sont pas transférées automatiquement.</x:v>
      </x:c>
      <x:c r="U84" s="71" t="str">
        <x:v>P1</x:v>
      </x:c>
    </x:row>
    <x:row r="85" ht="76.5" customHeight="1">
      <x:c r="A85" s="70" t="str">
        <x:v>HUM-005</x:v>
      </x:c>
      <x:c r="B85" s="70" t="str">
        <x:v>Humains et technologies humaines</x:v>
      </x:c>
      <x:c r="C85" s="70" t="str">
        <x:v>Gunner — Fireteam Elite</x:v>
      </x:c>
      <x:c r="D85" s="70" t="str">
        <x:v>Kit de classe de jeu</x:v>
      </x:c>
      <x:c r="E85" s="70" t="str">
        <x:v>Profil commun à adapter ; nombres et formation proposés</x:v>
      </x:c>
      <x:c r="F85" s="70" t="str">
        <x:v>Aliens: Fireteam Elite</x:v>
      </x:c>
      <x:c r="G85" s="70" t="str">
        <x:v>Jeu</x:v>
      </x:c>
      <x:c r="H85" s="70" t="str">
        <x:v>Alien / Fireteam Elite</x:v>
      </x:c>
      <x:c r="I85" s="70" t="str">
        <x:v>Attesté dans l’œuvre citée ; portée limitée à sa continuité</x:v>
      </x:c>
      <x:c r="J85" s="70" t="str">
        <x:v>Gunner est un kit de classe.</x:v>
      </x:c>
      <x:c r="K85" s="70" t="str">
        <x:v>H-S02 — Aliens: Fireteam Elite — présentation officielle
Cold Iron Studios ; Source primaire officielle
Portée : Colonial Marines, cinq classes initiales et ennemis synthétiques Weyland-Yutani ; pas un inventaire complet des unités du jeu.
Consulté le 2026-10-26</x:v>
      </x:c>
      <x:c r="L85" s="77" t="str">
        <x:v>https://www.aliensfireteamelite.com/</x:v>
      </x:c>
      <x:c r="M85" s="70" t="str">
        <x:v>Absent du registre de combat inspecté au commit figé ; contrôle statique, pas validation en jeu.</x:v>
      </x:c>
      <x:c r="N85" s="70" t="str">
        <x:v>https://github.com/darknigthmare/Yautja-hive-warriors/blob/0f37cc52f9d83a4abecc17b80f7bfc67701677cf/js/entities/ColonialMarines.js#L18-L49</x:v>
      </x:c>
      <x:c r="O85" s="70" t="str">
        <x:v>Créer une fiche d’unité, une IA de rôle, un équipement de période et une règle de sélection par théâtre. Les comportements ci-dessous sont des propositions de conception.</x:v>
      </x:c>
      <x:c r="P85" s="70" t="str">
        <x:v>Assaut et ouverture d’axe ; rythme de tir puis changement de couvert. Proposition d’adaptation PNJ.</x:v>
      </x:c>
      <x:c r="Q85" s="70" t="str">
        <x:v>Choisir au plus quatre spécialistes complémentaires par section ; les sept kits ne deviennent pas sept soldats obligatoires.</x:v>
      </x:c>
      <x:c r="R85" s="70" t="str">
        <x:v>X-H ; extension X-Y-H originale</x:v>
      </x:c>
      <x:c r="S85" s="70" t="str">
        <x:v>LV-895 ; théâtre Fireteam documenté</x:v>
      </x:c>
      <x:c r="T85" s="70" t="str">
        <x:v>Classe de jeu, pas caste biologique ni grade universel. Ne pas recopier les bonus chiffrés comme pouvoirs canoniques.</x:v>
      </x:c>
      <x:c r="U85" s="70" t="str">
        <x:v>P1</x:v>
      </x:c>
    </x:row>
    <x:row r="86" ht="76.5" customHeight="1">
      <x:c r="A86" s="71" t="str">
        <x:v>HUM-006</x:v>
      </x:c>
      <x:c r="B86" s="71" t="str">
        <x:v>Humains et technologies humaines</x:v>
      </x:c>
      <x:c r="C86" s="71" t="str">
        <x:v>Demolisher — Fireteam Elite</x:v>
      </x:c>
      <x:c r="D86" s="71" t="str">
        <x:v>Kit de classe de jeu</x:v>
      </x:c>
      <x:c r="E86" s="71" t="str">
        <x:v>Profil commun à adapter ; nombres et formation proposés</x:v>
      </x:c>
      <x:c r="F86" s="71" t="str">
        <x:v>Aliens: Fireteam Elite</x:v>
      </x:c>
      <x:c r="G86" s="71" t="str">
        <x:v>Jeu</x:v>
      </x:c>
      <x:c r="H86" s="71" t="str">
        <x:v>Alien / Fireteam Elite</x:v>
      </x:c>
      <x:c r="I86" s="71" t="str">
        <x:v>Attesté dans l’œuvre citée ; portée limitée à sa continuité</x:v>
      </x:c>
      <x:c r="J86" s="71" t="str">
        <x:v>Demolisher est un kit de classe.</x:v>
      </x:c>
      <x:c r="K86" s="71" t="str">
        <x:v>H-S02 — Aliens: Fireteam Elite — présentation officielle
Cold Iron Studios ; Source primaire officielle
Portée : Colonial Marines, cinq classes initiales et ennemis synthétiques Weyland-Yutani ; pas un inventaire complet des unités du jeu.
Consulté le 2026-10-26</x:v>
      </x:c>
      <x:c r="L86" s="76" t="str">
        <x:v>https://www.aliensfireteamelite.com/</x:v>
      </x:c>
      <x:c r="M86" s="71" t="str">
        <x:v>Absent du registre de combat inspecté au commit figé ; contrôle statique, pas validation en jeu.</x:v>
      </x:c>
      <x:c r="N86" s="71" t="str">
        <x:v>https://github.com/darknigthmare/Yautja-hive-warriors/blob/0f37cc52f9d83a4abecc17b80f7bfc67701677cf/js/entities/ColonialMarines.js#L18-L49</x:v>
      </x:c>
      <x:c r="O86" s="71" t="str">
        <x:v>Créer une fiche d’unité, une IA de rôle, un équipement de période et une règle de sélection par théâtre. Les comportements ci-dessous sont des propositions de conception.</x:v>
      </x:c>
      <x:c r="P86" s="71" t="str">
        <x:v>Appui lourd contre regroupements ; angles et délais de déplacement lisibles. Proposition d’adaptation PNJ.</x:v>
      </x:c>
      <x:c r="Q86" s="71" t="str">
        <x:v>Choisir au plus quatre spécialistes complémentaires par section ; les sept kits ne deviennent pas sept soldats obligatoires.</x:v>
      </x:c>
      <x:c r="R86" s="71" t="str">
        <x:v>X-H ; extension X-Y-H originale</x:v>
      </x:c>
      <x:c r="S86" s="71" t="str">
        <x:v>LV-895 ; théâtre Fireteam documenté</x:v>
      </x:c>
      <x:c r="T86" s="71" t="str">
        <x:v>Classe de jeu, pas caste biologique ni grade universel. Ne pas recopier les bonus chiffrés comme pouvoirs canoniques.</x:v>
      </x:c>
      <x:c r="U86" s="71" t="str">
        <x:v>P1</x:v>
      </x:c>
    </x:row>
    <x:row r="87" ht="76.5" customHeight="1">
      <x:c r="A87" s="70" t="str">
        <x:v>HUM-007</x:v>
      </x:c>
      <x:c r="B87" s="70" t="str">
        <x:v>Humains et technologies humaines</x:v>
      </x:c>
      <x:c r="C87" s="70" t="str">
        <x:v>Technician — Fireteam Elite</x:v>
      </x:c>
      <x:c r="D87" s="70" t="str">
        <x:v>Kit de classe de jeu</x:v>
      </x:c>
      <x:c r="E87" s="70" t="str">
        <x:v>Profil commun à adapter ; nombres et formation proposés</x:v>
      </x:c>
      <x:c r="F87" s="70" t="str">
        <x:v>Aliens: Fireteam Elite</x:v>
      </x:c>
      <x:c r="G87" s="70" t="str">
        <x:v>Jeu</x:v>
      </x:c>
      <x:c r="H87" s="70" t="str">
        <x:v>Alien / Fireteam Elite</x:v>
      </x:c>
      <x:c r="I87" s="70" t="str">
        <x:v>Attesté dans l’œuvre citée ; portée limitée à sa continuité</x:v>
      </x:c>
      <x:c r="J87" s="70" t="str">
        <x:v>Technician est un kit de classe.</x:v>
      </x:c>
      <x:c r="K87" s="70" t="str">
        <x:v>H-S02 — Aliens: Fireteam Elite — présentation officielle
Cold Iron Studios ; Source primaire officielle
Portée : Colonial Marines, cinq classes initiales et ennemis synthétiques Weyland-Yutani ; pas un inventaire complet des unités du jeu.
Consulté le 2026-10-26</x:v>
      </x:c>
      <x:c r="L87" s="77" t="str">
        <x:v>https://www.aliensfireteamelite.com/</x:v>
      </x:c>
      <x:c r="M87" s="70" t="str">
        <x:v>Absent du registre de combat inspecté au commit figé ; contrôle statique, pas validation en jeu.</x:v>
      </x:c>
      <x:c r="N87" s="70" t="str">
        <x:v>https://github.com/darknigthmare/Yautja-hive-warriors/blob/0f37cc52f9d83a4abecc17b80f7bfc67701677cf/js/entities/ColonialMarines.js#L18-L49</x:v>
      </x:c>
      <x:c r="O87" s="70" t="str">
        <x:v>Créer une fiche d’unité, une IA de rôle, un équipement de période et une règle de sélection par théâtre. Les comportements ci-dessous sont des propositions de conception.</x:v>
      </x:c>
      <x:c r="P87" s="70" t="str">
        <x:v>Sécurisation d’objectif et matériel déployé ; la tourelle est comptée comme équipement. Proposition d’adaptation PNJ.</x:v>
      </x:c>
      <x:c r="Q87" s="70" t="str">
        <x:v>Choisir au plus quatre spécialistes complémentaires par section ; les sept kits ne deviennent pas sept soldats obligatoires.</x:v>
      </x:c>
      <x:c r="R87" s="70" t="str">
        <x:v>X-H ; extension X-Y-H originale</x:v>
      </x:c>
      <x:c r="S87" s="70" t="str">
        <x:v>LV-895 ; théâtre Fireteam documenté</x:v>
      </x:c>
      <x:c r="T87" s="70" t="str">
        <x:v>Classe de jeu, pas caste biologique ni grade universel. Ne pas recopier les bonus chiffrés comme pouvoirs canoniques.</x:v>
      </x:c>
      <x:c r="U87" s="70" t="str">
        <x:v>P1</x:v>
      </x:c>
    </x:row>
    <x:row r="88" ht="76.5" customHeight="1">
      <x:c r="A88" s="71" t="str">
        <x:v>HUM-008</x:v>
      </x:c>
      <x:c r="B88" s="71" t="str">
        <x:v>Humains et technologies humaines</x:v>
      </x:c>
      <x:c r="C88" s="71" t="str">
        <x:v>Doc — Fireteam Elite</x:v>
      </x:c>
      <x:c r="D88" s="71" t="str">
        <x:v>Kit de classe de jeu</x:v>
      </x:c>
      <x:c r="E88" s="71" t="str">
        <x:v>Profil commun à adapter ; nombres et formation proposés</x:v>
      </x:c>
      <x:c r="F88" s="71" t="str">
        <x:v>Aliens: Fireteam Elite</x:v>
      </x:c>
      <x:c r="G88" s="71" t="str">
        <x:v>Jeu</x:v>
      </x:c>
      <x:c r="H88" s="71" t="str">
        <x:v>Alien / Fireteam Elite</x:v>
      </x:c>
      <x:c r="I88" s="71" t="str">
        <x:v>Attesté dans l’œuvre citée ; portée limitée à sa continuité</x:v>
      </x:c>
      <x:c r="J88" s="71" t="str">
        <x:v>Doc est un kit de classe.</x:v>
      </x:c>
      <x:c r="K88" s="71" t="str">
        <x:v>H-S02 — Aliens: Fireteam Elite — présentation officielle
Cold Iron Studios ; Source primaire officielle
Portée : Colonial Marines, cinq classes initiales et ennemis synthétiques Weyland-Yutani ; pas un inventaire complet des unités du jeu.
Consulté le 2026-10-26</x:v>
      </x:c>
      <x:c r="L88" s="76" t="str">
        <x:v>https://www.aliensfireteamelite.com/</x:v>
      </x:c>
      <x:c r="M88" s="71" t="str">
        <x:v>Absent du registre de combat inspecté au commit figé ; contrôle statique, pas validation en jeu.</x:v>
      </x:c>
      <x:c r="N88" s="71" t="str">
        <x:v>https://github.com/darknigthmare/Yautja-hive-warriors/blob/0f37cc52f9d83a4abecc17b80f7bfc67701677cf/js/entities/ColonialMarines.js#L18-L49</x:v>
      </x:c>
      <x:c r="O88" s="71" t="str">
        <x:v>Créer une fiche d’unité, une IA de rôle, un équipement de période et une règle de sélection par théâtre. Les comportements ci-dessous sont des propositions de conception.</x:v>
      </x:c>
      <x:c r="P88" s="71" t="str">
        <x:v>Soins et évacuation ; charges limitées, blessés persistants, pas résurrection gratuite. Proposition d’adaptation PNJ.</x:v>
      </x:c>
      <x:c r="Q88" s="71" t="str">
        <x:v>Choisir au plus quatre spécialistes complémentaires par section ; les sept kits ne deviennent pas sept soldats obligatoires.</x:v>
      </x:c>
      <x:c r="R88" s="71" t="str">
        <x:v>X-H ; extension X-Y-H originale</x:v>
      </x:c>
      <x:c r="S88" s="71" t="str">
        <x:v>LV-895 ; théâtre Fireteam documenté</x:v>
      </x:c>
      <x:c r="T88" s="71" t="str">
        <x:v>Classe de jeu, pas caste biologique ni grade universel. Ne pas recopier les bonus chiffrés comme pouvoirs canoniques.</x:v>
      </x:c>
      <x:c r="U88" s="71" t="str">
        <x:v>P1</x:v>
      </x:c>
    </x:row>
    <x:row r="89" ht="76.5" customHeight="1">
      <x:c r="A89" s="70" t="str">
        <x:v>HUM-009</x:v>
      </x:c>
      <x:c r="B89" s="70" t="str">
        <x:v>Humains et technologies humaines</x:v>
      </x:c>
      <x:c r="C89" s="70" t="str">
        <x:v>Recon — Fireteam Elite</x:v>
      </x:c>
      <x:c r="D89" s="70" t="str">
        <x:v>Kit de classe de jeu</x:v>
      </x:c>
      <x:c r="E89" s="70" t="str">
        <x:v>Profil commun à adapter ; nombres et formation proposés</x:v>
      </x:c>
      <x:c r="F89" s="70" t="str">
        <x:v>Aliens: Fireteam Elite</x:v>
      </x:c>
      <x:c r="G89" s="70" t="str">
        <x:v>Jeu</x:v>
      </x:c>
      <x:c r="H89" s="70" t="str">
        <x:v>Alien / Fireteam Elite</x:v>
      </x:c>
      <x:c r="I89" s="70" t="str">
        <x:v>Attesté dans l’œuvre citée ; portée limitée à sa continuité</x:v>
      </x:c>
      <x:c r="J89" s="70" t="str">
        <x:v>Recon est un kit de classe.</x:v>
      </x:c>
      <x:c r="K89" s="70" t="str">
        <x:v>H-S02 — Aliens: Fireteam Elite — présentation officielle
Cold Iron Studios ; Source primaire officielle
Portée : Colonial Marines, cinq classes initiales et ennemis synthétiques Weyland-Yutani ; pas un inventaire complet des unités du jeu.
Consulté le 2026-10-26</x:v>
      </x:c>
      <x:c r="L89" s="77" t="str">
        <x:v>https://www.aliensfireteamelite.com/</x:v>
      </x:c>
      <x:c r="M89" s="70" t="str">
        <x:v>Absent du registre de combat inspecté au commit figé ; contrôle statique, pas validation en jeu.</x:v>
      </x:c>
      <x:c r="N89" s="70" t="str">
        <x:v>https://github.com/darknigthmare/Yautja-hive-warriors/blob/0f37cc52f9d83a4abecc17b80f7bfc67701677cf/js/entities/ColonialMarines.js#L18-L49</x:v>
      </x:c>
      <x:c r="O89" s="70" t="str">
        <x:v>Créer une fiche d’unité, une IA de rôle, un équipement de période et une règle de sélection par théâtre. Les comportements ci-dessous sont des propositions de conception.</x:v>
      </x:c>
      <x:c r="P89" s="70" t="str">
        <x:v>Observation et désignation ; information limitée à capteurs et liaisons réels. Proposition d’adaptation PNJ.</x:v>
      </x:c>
      <x:c r="Q89" s="70" t="str">
        <x:v>Choisir au plus quatre spécialistes complémentaires par section ; les sept kits ne deviennent pas sept soldats obligatoires.</x:v>
      </x:c>
      <x:c r="R89" s="70" t="str">
        <x:v>X-H ; extension X-Y-H originale</x:v>
      </x:c>
      <x:c r="S89" s="70" t="str">
        <x:v>LV-895 ; théâtre Fireteam documenté</x:v>
      </x:c>
      <x:c r="T89" s="70" t="str">
        <x:v>Classe de jeu, pas caste biologique ni grade universel. Ne pas recopier les bonus chiffrés comme pouvoirs canoniques.</x:v>
      </x:c>
      <x:c r="U89" s="70" t="str">
        <x:v>P1</x:v>
      </x:c>
    </x:row>
    <x:row r="90" ht="76.5" customHeight="1">
      <x:c r="A90" s="71" t="str">
        <x:v>HUM-010</x:v>
      </x:c>
      <x:c r="B90" s="71" t="str">
        <x:v>Humains et technologies humaines</x:v>
      </x:c>
      <x:c r="C90" s="71" t="str">
        <x:v>Phalanx — Fireteam Elite</x:v>
      </x:c>
      <x:c r="D90" s="71" t="str">
        <x:v>Kit de classe de jeu</x:v>
      </x:c>
      <x:c r="E90" s="71" t="str">
        <x:v>Profil commun à adapter ; nombres et formation proposés</x:v>
      </x:c>
      <x:c r="F90" s="71" t="str">
        <x:v>Aliens: Fireteam Elite</x:v>
      </x:c>
      <x:c r="G90" s="71" t="str">
        <x:v>Jeu</x:v>
      </x:c>
      <x:c r="H90" s="71" t="str">
        <x:v>Alien / Fireteam Elite</x:v>
      </x:c>
      <x:c r="I90" s="71" t="str">
        <x:v>Attesté dans l’œuvre citée ; portée limitée à sa continuité</x:v>
      </x:c>
      <x:c r="J90" s="71" t="str">
        <x:v>Phalanx est un kit de classe.</x:v>
      </x:c>
      <x:c r="K90" s="71" t="str">
        <x:v>H-S03 — Aliens: Fireteam Elite — notes de version
Cold Iron Studios ; Source primaire officielle
Portée : Sept kits de classe identifiables, dont Phalanx et Lancer. Abilités de jeu propres à cette continuité.
Consulté le 2026-10-26</x:v>
      </x:c>
      <x:c r="L90" s="76" t="str">
        <x:v>https://www.aliensfireteamelite.com/en/releasenotes/</x:v>
      </x:c>
      <x:c r="M90" s="71" t="str">
        <x:v>Absent du registre de combat inspecté au commit figé ; contrôle statique, pas validation en jeu.</x:v>
      </x:c>
      <x:c r="N90" s="71" t="str">
        <x:v>https://github.com/darknigthmare/Yautja-hive-warriors/blob/0f37cc52f9d83a4abecc17b80f7bfc67701677cf/js/entities/ColonialMarines.js#L18-L49</x:v>
      </x:c>
      <x:c r="O90" s="71" t="str">
        <x:v>Créer une fiche d’unité, une IA de rôle, un équipement de période et une règle de sélection par théâtre. Les comportements ci-dessous sont des propositions de conception.</x:v>
      </x:c>
      <x:c r="P90" s="71" t="str">
        <x:v>Protection d’une progression en couloir ; angles de protection explicités. Proposition d’adaptation PNJ.</x:v>
      </x:c>
      <x:c r="Q90" s="71" t="str">
        <x:v>Choisir au plus quatre spécialistes complémentaires par section ; les sept kits ne deviennent pas sept soldats obligatoires.</x:v>
      </x:c>
      <x:c r="R90" s="71" t="str">
        <x:v>X-H ; extension X-Y-H originale</x:v>
      </x:c>
      <x:c r="S90" s="71" t="str">
        <x:v>LV-895 ; théâtre Fireteam documenté</x:v>
      </x:c>
      <x:c r="T90" s="71" t="str">
        <x:v>Classe de jeu, pas caste biologique ni grade universel. Ne pas recopier les bonus chiffrés comme pouvoirs canoniques.</x:v>
      </x:c>
      <x:c r="U90" s="71" t="str">
        <x:v>P1</x:v>
      </x:c>
    </x:row>
    <x:row r="91" ht="76.5" customHeight="1">
      <x:c r="A91" s="70" t="str">
        <x:v>HUM-011</x:v>
      </x:c>
      <x:c r="B91" s="70" t="str">
        <x:v>Humains et technologies humaines</x:v>
      </x:c>
      <x:c r="C91" s="70" t="str">
        <x:v>Lancer — Fireteam Elite</x:v>
      </x:c>
      <x:c r="D91" s="70" t="str">
        <x:v>Kit de classe de jeu</x:v>
      </x:c>
      <x:c r="E91" s="70" t="str">
        <x:v>Profil commun à adapter ; nombres et formation proposés</x:v>
      </x:c>
      <x:c r="F91" s="70" t="str">
        <x:v>Aliens: Fireteam Elite</x:v>
      </x:c>
      <x:c r="G91" s="70" t="str">
        <x:v>Jeu</x:v>
      </x:c>
      <x:c r="H91" s="70" t="str">
        <x:v>Alien / Fireteam Elite</x:v>
      </x:c>
      <x:c r="I91" s="70" t="str">
        <x:v>Attesté dans l’œuvre citée ; portée limitée à sa continuité</x:v>
      </x:c>
      <x:c r="J91" s="70" t="str">
        <x:v>Lancer est un kit lourd supplémentaire.</x:v>
      </x:c>
      <x:c r="K91" s="70" t="str">
        <x:v>H-S03 — Aliens: Fireteam Elite — notes de version
Cold Iron Studios ; Source primaire officielle
Portée : Sept kits de classe identifiables, dont Phalanx et Lancer. Abilités de jeu propres à cette continuité.
Consulté le 2026-10-26</x:v>
      </x:c>
      <x:c r="L91" s="77" t="str">
        <x:v>https://www.aliensfireteamelite.com/en/releasenotes/</x:v>
      </x:c>
      <x:c r="M91" s="70" t="str">
        <x:v>Absent du registre de combat inspecté au commit figé ; contrôle statique, pas validation en jeu.</x:v>
      </x:c>
      <x:c r="N91" s="70" t="str">
        <x:v>https://github.com/darknigthmare/Yautja-hive-warriors/blob/0f37cc52f9d83a4abecc17b80f7bfc67701677cf/js/entities/ColonialMarines.js#L18-L49</x:v>
      </x:c>
      <x:c r="O91" s="70" t="str">
        <x:v>Créer une fiche d’unité, une IA de rôle, un équipement de période et une règle de sélection par théâtre. Les comportements ci-dessous sont des propositions de conception.</x:v>
      </x:c>
      <x:c r="P91" s="70" t="str">
        <x:v>Appui contre élites depuis une position exposée ; évite de remplacer tout le groupe. Proposition d’adaptation PNJ.</x:v>
      </x:c>
      <x:c r="Q91" s="70" t="str">
        <x:v>Choisir au plus quatre spécialistes complémentaires par section ; les sept kits ne deviennent pas sept soldats obligatoires.</x:v>
      </x:c>
      <x:c r="R91" s="70" t="str">
        <x:v>X-H ; extension X-Y-H originale</x:v>
      </x:c>
      <x:c r="S91" s="70" t="str">
        <x:v>LV-895 ; théâtre Fireteam documenté</x:v>
      </x:c>
      <x:c r="T91" s="70" t="str">
        <x:v>Classe de jeu, pas caste biologique ni grade universel. Ne pas recopier les bonus chiffrés comme pouvoirs canoniques.</x:v>
      </x:c>
      <x:c r="U91" s="70" t="str">
        <x:v>P1</x:v>
      </x:c>
    </x:row>
    <x:row r="92" ht="76.5" customHeight="1">
      <x:c r="A92" s="71" t="str">
        <x:v>HUM-012</x:v>
      </x:c>
      <x:c r="B92" s="71" t="str">
        <x:v>Humains et technologies humaines</x:v>
      </x:c>
      <x:c r="C92" s="71" t="str">
        <x:v>Commandos humains rebelles</x:v>
      </x:c>
      <x:c r="D92" s="71" t="str">
        <x:v>Faction / rôle combattant</x:v>
      </x:c>
      <x:c r="E92" s="71" t="str">
        <x:v>Profil commun à adapter ; nombres et formation proposés</x:v>
      </x:c>
      <x:c r="F92" s="71" t="str">
        <x:v>Aliens: Dark Descent</x:v>
      </x:c>
      <x:c r="G92" s="71" t="str">
        <x:v>Jeu</x:v>
      </x:c>
      <x:c r="H92" s="71" t="str">
        <x:v>Alien / Dark Descent</x:v>
      </x:c>
      <x:c r="I92" s="71" t="str">
        <x:v>Attesté dans l’œuvre citée ; portée limitée à sa continuité</x:v>
      </x:c>
      <x:c r="J92" s="71" t="str">
        <x:v>Le jeu présente des commandos humains rebelles.</x:v>
      </x:c>
      <x:c r="K92" s="71" t="str">
        <x:v>H-S04 — Dark Descent — bande-annonce de l’histoire
Focus Entertainment / Tindalos ; Source primaire officielle
Portée : Lethe, Otago, Pioneer Station, commandos humains rebelles et fonctions des personnages cités.
Consulté le 2026-10-26</x:v>
      </x:c>
      <x:c r="L92" s="76" t="str">
        <x:v>https://www.focus-entmt.com/en/news/tindalos-and-focus-reveal-story-trailer-for-aliens-dark-descent</x:v>
      </x:c>
      <x:c r="M92" s="71" t="str">
        <x:v>Absent du registre de combat inspecté au commit figé ; contrôle statique, pas validation en jeu.</x:v>
      </x:c>
      <x:c r="N92" s="71" t="str">
        <x:v>https://github.com/darknigthmare/Yautja-hive-warriors/blob/0f37cc52f9d83a4abecc17b80f7bfc67701677cf/js/entities/ColonialMarines.js#L18-L49</x:v>
      </x:c>
      <x:c r="O92" s="71" t="str">
        <x:v>Créer une fiche d’unité, une IA de rôle, un équipement de période et une règle de sélection par théâtre. Les comportements ci-dessous sont des propositions de conception.</x:v>
      </x:c>
      <x:c r="P92" s="71" t="str">
        <x:v>Camp humain distinct pour sabotage, défense d’un accès et poursuite d’un objectif propre.</x:v>
      </x:c>
      <x:c r="Q92" s="71" t="str">
        <x:v>Groupes séparés des Marines ; affiliation et ordres affichés.</x:v>
      </x:c>
      <x:c r="R92" s="71" t="str">
        <x:v>H-H ; X-H ; extension X-Y-H originale</x:v>
      </x:c>
      <x:c r="S92" s="71" t="str">
        <x:v>H-L02 — Lethe</x:v>
      </x:c>
      <x:c r="T92" s="71" t="str">
        <x:v>Pas de fusion automatique de tout humain dans une faction amie ; dirigeants et doctrine précise à documenter.</x:v>
      </x:c>
      <x:c r="U92" s="71" t="str">
        <x:v>P1</x:v>
      </x:c>
    </x:row>
    <x:row r="93" ht="76.5" customHeight="1">
      <x:c r="A93" s="70" t="str">
        <x:v>HUM-013</x:v>
      </x:c>
      <x:c r="B93" s="70" t="str">
        <x:v>Humains et technologies humaines</x:v>
      </x:c>
      <x:c r="C93" s="70" t="str">
        <x:v>Administration coloniale Weyland-Yutani</x:v>
      </x:c>
      <x:c r="D93" s="70" t="str">
        <x:v>Fonction civile / commandement local</x:v>
      </x:c>
      <x:c r="E93" s="70" t="str">
        <x:v>Personnages uniques / civils ; hors horde</x:v>
      </x:c>
      <x:c r="F93" s="70" t="str">
        <x:v>Aliens: Dark Descent</x:v>
      </x:c>
      <x:c r="G93" s="70" t="str">
        <x:v>Jeu</x:v>
      </x:c>
      <x:c r="H93" s="70" t="str">
        <x:v>Alien / Dark Descent</x:v>
      </x:c>
      <x:c r="I93" s="70" t="str">
        <x:v>Attesté dans l’œuvre citée ; portée limitée à sa continuité</x:v>
      </x:c>
      <x:c r="J93" s="70" t="str">
        <x:v>Maeko Hayes et Barbara Pryce occupent des fonctions administratives.</x:v>
      </x:c>
      <x:c r="K93" s="70" t="str">
        <x:v>H-S04 — Dark Descent — bande-annonce de l’histoire
Focus Entertainment / Tindalos ; Source primaire officielle
Portée : Lethe, Otago, Pioneer Station, commandos humains rebelles et fonctions des personnages cités.
Consulté le 2026-10-26</x:v>
      </x:c>
      <x:c r="L93" s="77" t="str">
        <x:v>https://www.focus-entmt.com/en/news/tindalos-and-focus-reveal-story-trailer-for-aliens-dark-descent</x:v>
      </x:c>
      <x:c r="M93" s="70" t="str">
        <x:v>Absent du registre de combat inspecté au commit figé ; contrôle statique, pas validation en jeu.</x:v>
      </x:c>
      <x:c r="N93" s="70" t="str">
        <x:v>https://github.com/darknigthmare/Yautja-hive-warriors/blob/0f37cc52f9d83a4abecc17b80f7bfc67701677cf/js/entities/ColonialMarines.js#L18-L49</x:v>
      </x:c>
      <x:c r="O93" s="70" t="str">
        <x:v>Créer une fiche d’unité, une IA de rôle, un équipement de période et une règle de sélection par théâtre. Les comportements ci-dessous sont des propositions de conception.</x:v>
      </x:c>
      <x:c r="P93" s="70" t="str">
        <x:v>Objectifs de négociation, d’accès ou d’évacuation ; personnel civil hors quotas de soldats.</x:v>
      </x:c>
      <x:c r="Q93" s="70" t="str">
        <x:v>Personnages nommés uniques ; assistants originaux seulement dans une variante de guerre.</x:v>
      </x:c>
      <x:c r="R93" s="70" t="str">
        <x:v>X-H ; extension X-Y-H originale</x:v>
      </x:c>
      <x:c r="S93" s="70" t="str">
        <x:v>H-L02 ; H-L03</x:v>
      </x:c>
      <x:c r="T93" s="70" t="str">
        <x:v>Un employeur ne rend pas chaque civil combattant ou antagoniste.</x:v>
      </x:c>
      <x:c r="U93" s="70" t="str">
        <x:v>P1</x:v>
      </x:c>
    </x:row>
    <x:row r="94" ht="76.5" customHeight="1">
      <x:c r="A94" s="71" t="str">
        <x:v>HUM-014</x:v>
      </x:c>
      <x:c r="B94" s="71" t="str">
        <x:v>Humains et technologies humaines</x:v>
      </x:c>
      <x:c r="C94" s="71" t="str">
        <x:v>Colons et spécialistes rescapés</x:v>
      </x:c>
      <x:c r="D94" s="71" t="str">
        <x:v>Population civile</x:v>
      </x:c>
      <x:c r="E94" s="71" t="str">
        <x:v>Civils ; exclus des quotas combattants</x:v>
      </x:c>
      <x:c r="F94" s="71" t="str">
        <x:v>Aliens: Dark Descent</x:v>
      </x:c>
      <x:c r="G94" s="71" t="str">
        <x:v>Jeu</x:v>
      </x:c>
      <x:c r="H94" s="71" t="str">
        <x:v>Alien / Dark Descent</x:v>
      </x:c>
      <x:c r="I94" s="71" t="str">
        <x:v>Attesté dans l’œuvre citée ; portée limitée à sa continuité</x:v>
      </x:c>
      <x:c r="J94" s="71" t="str">
        <x:v>Les colonies de Lethe subissent l’infestation.</x:v>
      </x:c>
      <x:c r="K94" s="71" t="str">
        <x:v>H-S05 — Dark Descent — FAQ du 13 juin 2023
Focus Entertainment ; Source primaire officielle
Portée : Cadre Lethe, colonies, personnages et campagne ; les effectifs musou proposés ne sont pas ceux du jeu.
Consulté le 2026-10-26</x:v>
      </x:c>
      <x:c r="L94" s="76" t="str">
        <x:v>https://support.focus-entmt.com/hc/en-us/articles/16126166561425-FREQUENTLY-ASKED-QUESTIONS-JUNE-13-2023</x:v>
      </x:c>
      <x:c r="M94" s="71" t="str">
        <x:v>Absent du registre de combat inspecté au commit figé ; contrôle statique, pas validation en jeu.</x:v>
      </x:c>
      <x:c r="N94" s="71" t="str">
        <x:v>https://github.com/darknigthmare/Yautja-hive-warriors/blob/0f37cc52f9d83a4abecc17b80f7bfc67701677cf/js/entities/ColonialMarines.js#L18-L49</x:v>
      </x:c>
      <x:c r="O94" s="71" t="str">
        <x:v>Créer une fiche d’unité, une IA de rôle, un équipement de période et une règle de sélection par théâtre. Les comportements ci-dessous sont des propositions de conception.</x:v>
      </x:c>
      <x:c r="P94" s="71" t="str">
        <x:v>Sauvetage, remise en service d’un relais et extraction ; effectif civil distinct.</x:v>
      </x:c>
      <x:c r="Q94" s="71" t="str">
        <x:v>Groupes civils de quatre à huit proposés, guide identifié ; aucun score de massacre.</x:v>
      </x:c>
      <x:c r="R94" s="71" t="str">
        <x:v>X-H ; extension X-Y-H originale</x:v>
      </x:c>
      <x:c r="S94" s="71" t="str">
        <x:v>H-L02 ; H-L04</x:v>
      </x:c>
      <x:c r="T94" s="71" t="str">
        <x:v>Les métiers, armes et nombres d’une colonie élargie sont des ajouts de conception.</x:v>
      </x:c>
      <x:c r="U94" s="71" t="str">
        <x:v>P1</x:v>
      </x:c>
    </x:row>
    <x:row r="95" ht="76.5" customHeight="1">
      <x:c r="A95" s="70" t="str">
        <x:v>HUM-015</x:v>
      </x:c>
      <x:c r="B95" s="70" t="str">
        <x:v>Synthétiques de fabrication humaine</x:v>
      </x:c>
      <x:c r="C95" s="70" t="str">
        <x:v>Synthétiques de combat Weyland-Yutani</x:v>
      </x:c>
      <x:c r="D95" s="70" t="str">
        <x:v>Famille de robots combattants</x:v>
      </x:c>
      <x:c r="E95" s="70" t="str">
        <x:v>Profil commun à adapter ; nombres et formation proposés</x:v>
      </x:c>
      <x:c r="F95" s="70" t="str">
        <x:v>Aliens: Fireteam Elite</x:v>
      </x:c>
      <x:c r="G95" s="70" t="str">
        <x:v>Jeu</x:v>
      </x:c>
      <x:c r="H95" s="70" t="str">
        <x:v>Alien / Fireteam Elite</x:v>
      </x:c>
      <x:c r="I95" s="70" t="str">
        <x:v>Attesté dans l’œuvre citée ; portée limitée à sa continuité</x:v>
      </x:c>
      <x:c r="J95" s="70" t="str">
        <x:v>Les Marines affrontent des synthétiques Weyland-Yutani.</x:v>
      </x:c>
      <x:c r="K95" s="70" t="str">
        <x:v>H-S02 — Aliens: Fireteam Elite — présentation officielle
Cold Iron Studios ; Source primaire officielle
Portée : Colonial Marines, cinq classes initiales et ennemis synthétiques Weyland-Yutani ; pas un inventaire complet des unités du jeu.
Consulté le 2026-10-26</x:v>
      </x:c>
      <x:c r="L95" s="77" t="str">
        <x:v>https://www.aliensfireteamelite.com/</x:v>
      </x:c>
      <x:c r="M95" s="70" t="str">
        <x:v>Partiel — weyland_combat générique présent ; sous-profils sourcés à développer.</x:v>
      </x:c>
      <x:c r="N95" s="70" t="str">
        <x:v>https://github.com/darknigthmare/Yautja-hive-warriors/blob/0f37cc52f9d83a4abecc17b80f7bfc67701677cf/js/entities/Synthetics.js#L31-L49</x:v>
      </x:c>
      <x:c r="O95" s="70" t="str">
        <x:v>Créer une fiche d’unité, une IA de rôle, un équipement de période et une règle de sélection par théâtre. Les comportements ci-dessous sont des propositions de conception.</x:v>
      </x:c>
      <x:c r="P95" s="70" t="str">
        <x:v>Sécurité armée à objectifs corporatistes ; liaisons et consignes de cible définies par mission.</x:v>
      </x:c>
      <x:c r="Q95" s="70" t="str">
        <x:v>Cellules homogènes, soutien et chef comptés une seule fois.</x:v>
      </x:c>
      <x:c r="R95" s="70" t="str">
        <x:v>X-H ; H-H ; extension X-Y-H originale</x:v>
      </x:c>
      <x:c r="S95" s="70" t="str">
        <x:v>Théâtre Fireteam documenté</x:v>
      </x:c>
      <x:c r="T95" s="70" t="str">
        <x:v>Warden, Heavy ou autres sous-types ne sont pas automatiquement certifiés par cette seule source générale.</x:v>
      </x:c>
      <x:c r="U95" s="70" t="str">
        <x:v>P1</x:v>
      </x:c>
    </x:row>
    <x:row r="96" ht="76.5" customHeight="1">
      <x:c r="A96" s="71" t="str">
        <x:v>HUM-016</x:v>
      </x:c>
      <x:c r="B96" s="71" t="str">
        <x:v>Synthétiques de fabrication humaine</x:v>
      </x:c>
      <x:c r="C96" s="71" t="str">
        <x:v>Working Joe</x:v>
      </x:c>
      <x:c r="D96" s="71" t="str">
        <x:v>Modèle de synthétique industriel</x:v>
      </x:c>
      <x:c r="E96" s="71" t="str">
        <x:v>Profil commun à adapter ; nombres et formation proposés</x:v>
      </x:c>
      <x:c r="F96" s="71" t="str">
        <x:v>Alien: Isolation — The Trigger</x:v>
      </x:c>
      <x:c r="G96" s="71" t="str">
        <x:v>Jeu</x:v>
      </x:c>
      <x:c r="H96" s="71" t="str">
        <x:v>Alien / Isolation</x:v>
      </x:c>
      <x:c r="I96" s="71" t="str">
        <x:v>Attesté dans l’œuvre citée ; portée limitée à sa continuité</x:v>
      </x:c>
      <x:c r="J96" s="71" t="str">
        <x:v>Working Joes et Sevastopol figurent dans ce contenu officiel.</x:v>
      </x:c>
      <x:c r="K96" s="71" t="str">
        <x:v>H-S06 — Alien: Isolation — The Trigger
SEGA / page éditeur Epic Games Store ; Source primaire officielle
Portée : Sevastopol et Working Joes dans le texte commercial du contenu officiel ; ne prouve pas toutes leurs règles d’IA.
Consulté le 2026-10-26</x:v>
      </x:c>
      <x:c r="L96" s="76" t="str">
        <x:v>https://store.epicgames.com/p/alien-isolation--the-trigger?lang=en-US</x:v>
      </x:c>
      <x:c r="M96" s="71" t="str">
        <x:v>Partiel — working_joe présent ; identité d’IA et matériel à compléter.</x:v>
      </x:c>
      <x:c r="N96" s="71" t="str">
        <x:v>https://github.com/darknigthmare/Yautja-hive-warriors/blob/0f37cc52f9d83a4abecc17b80f7bfc67701677cf/js/entities/Synthetics.js#L31-L49</x:v>
      </x:c>
      <x:c r="O96" s="71" t="str">
        <x:v>Créer une fiche d’unité, une IA de rôle, un équipement de période et une règle de sélection par théâtre. Les comportements ci-dessous sont des propositions de conception.</x:v>
      </x:c>
      <x:c r="P96" s="71" t="str">
        <x:v>Obstacle industriel persistant ; routines et hostilité déclenchées par règles du scénario.</x:v>
      </x:c>
      <x:c r="Q96" s="71" t="str">
        <x:v>Petites équipes de maintenance ; pas arsenal de Marine ajouté par défaut.</x:v>
      </x:c>
      <x:c r="R96" s="71" t="str">
        <x:v>X-H ; H-H ; extension Y-H originale</x:v>
      </x:c>
      <x:c r="S96" s="71" t="str">
        <x:v>H-L01 — Sevastopol</x:v>
      </x:c>
      <x:c r="T96" s="71" t="str">
        <x:v>Leur relation aux Xénomorphes doit être contrôlée séparément ; trois camps présents ne signifie pas trois camps mutuellement hostiles.</x:v>
      </x:c>
      <x:c r="U96" s="71" t="str">
        <x:v>P1</x:v>
      </x:c>
    </x:row>
    <x:row r="97" ht="76.5" customHeight="1">
      <x:c r="A97" s="70" t="str">
        <x:v>HUM-017</x:v>
      </x:c>
      <x:c r="B97" s="70" t="str">
        <x:v>Humains et technologies humaines</x:v>
      </x:c>
      <x:c r="C97" s="70" t="str">
        <x:v>Assault — Hunting Grounds</x:v>
      </x:c>
      <x:c r="D97" s="70" t="str">
        <x:v>Classe de force paramilitaire</x:v>
      </x:c>
      <x:c r="E97" s="70" t="str">
        <x:v>Profil commun à adapter ; nombres et formation proposés</x:v>
      </x:c>
      <x:c r="F97" s="70" t="str">
        <x:v>Predator: Hunting Grounds</x:v>
      </x:c>
      <x:c r="G97" s="70" t="str">
        <x:v>Jeu</x:v>
      </x:c>
      <x:c r="H97" s="70" t="str">
        <x:v>Predator / Hunting Grounds</x:v>
      </x:c>
      <x:c r="I97" s="70" t="str">
        <x:v>Attesté dans l’œuvre citée ; portée limitée à sa continuité</x:v>
      </x:c>
      <x:c r="J97" s="70" t="str">
        <x:v>Assault est une classe polyvalente.</x:v>
      </x:c>
      <x:c r="K97" s="70" t="str">
        <x:v>H-S07 — Predator: Hunting Grounds — The Fireteam
IllFonic ; Source primaire officielle
Portée : Quatre classes humaines et rôles généraux ; classes du jeu, sans équivalence automatique avec un grade militaire.
Consulté le 2026-10-26</x:v>
      </x:c>
      <x:c r="L97" s="77" t="str">
        <x:v>https://predator.illfonic.com/the-fireteam/</x:v>
      </x:c>
      <x:c r="M97" s="70" t="str">
        <x:v>Absent du registre de combat inspecté au commit figé ; contrôle statique, pas validation en jeu.</x:v>
      </x:c>
      <x:c r="N97" s="70" t="str">
        <x:v>https://github.com/darknigthmare/Yautja-hive-warriors/blob/0f37cc52f9d83a4abecc17b80f7bfc67701677cf/js/entities/ColonialMarines.js#L18-L49</x:v>
      </x:c>
      <x:c r="O97" s="70" t="str">
        <x:v>Créer une fiche d’unité, une IA de rôle, un équipement de période et une règle de sélection par théâtre. Les comportements ci-dessous sont des propositions de conception.</x:v>
      </x:c>
      <x:c r="P97" s="70" t="str">
        <x:v>Assaut de camp et progression collective ; adaptation PNJ proposée.</x:v>
      </x:c>
      <x:c r="Q97" s="70" t="str">
        <x:v>Quatre membres au total par équipe proposée, rôles choisis selon mission.</x:v>
      </x:c>
      <x:c r="R97" s="70" t="str">
        <x:v>Y-H ; H-H ; X seulement dans crossover original</x:v>
      </x:c>
      <x:c r="S97" s="70" t="str">
        <x:v>Jungle et installations compatibles avec Hunting Grounds</x:v>
      </x:c>
      <x:c r="T97" s="70" t="str">
        <x:v>Ne pas confondre Recon Hunting Grounds et Recon Fireteam : périodes et équipements distincts.</x:v>
      </x:c>
      <x:c r="U97" s="70" t="str">
        <x:v>P1</x:v>
      </x:c>
    </x:row>
    <x:row r="98" ht="76.5" customHeight="1">
      <x:c r="A98" s="71" t="str">
        <x:v>HUM-018</x:v>
      </x:c>
      <x:c r="B98" s="71" t="str">
        <x:v>Humains et technologies humaines</x:v>
      </x:c>
      <x:c r="C98" s="71" t="str">
        <x:v>Recon — Hunting Grounds</x:v>
      </x:c>
      <x:c r="D98" s="71" t="str">
        <x:v>Classe de force paramilitaire</x:v>
      </x:c>
      <x:c r="E98" s="71" t="str">
        <x:v>Profil commun à adapter ; nombres et formation proposés</x:v>
      </x:c>
      <x:c r="F98" s="71" t="str">
        <x:v>Predator: Hunting Grounds</x:v>
      </x:c>
      <x:c r="G98" s="71" t="str">
        <x:v>Jeu</x:v>
      </x:c>
      <x:c r="H98" s="71" t="str">
        <x:v>Predator / Hunting Grounds</x:v>
      </x:c>
      <x:c r="I98" s="71" t="str">
        <x:v>Attesté dans l’œuvre citée ; portée limitée à sa continuité</x:v>
      </x:c>
      <x:c r="J98" s="71" t="str">
        <x:v>Recon privilégie observation et combat distant.</x:v>
      </x:c>
      <x:c r="K98" s="71" t="str">
        <x:v>H-S07 — Predator: Hunting Grounds — The Fireteam
IllFonic ; Source primaire officielle
Portée : Quatre classes humaines et rôles généraux ; classes du jeu, sans équivalence automatique avec un grade militaire.
Consulté le 2026-10-26</x:v>
      </x:c>
      <x:c r="L98" s="76" t="str">
        <x:v>https://predator.illfonic.com/the-fireteam/</x:v>
      </x:c>
      <x:c r="M98" s="71" t="str">
        <x:v>Absent du registre de combat inspecté au commit figé ; contrôle statique, pas validation en jeu.</x:v>
      </x:c>
      <x:c r="N98" s="71" t="str">
        <x:v>https://github.com/darknigthmare/Yautja-hive-warriors/blob/0f37cc52f9d83a4abecc17b80f7bfc67701677cf/js/entities/ColonialMarines.js#L18-L49</x:v>
      </x:c>
      <x:c r="O98" s="71" t="str">
        <x:v>Créer une fiche d’unité, une IA de rôle, un équipement de période et une règle de sélection par théâtre. Les comportements ci-dessous sont des propositions de conception.</x:v>
      </x:c>
      <x:c r="P98" s="71" t="str">
        <x:v>Guet, couverture d’une évacuation et signalement ; adaptation PNJ proposée.</x:v>
      </x:c>
      <x:c r="Q98" s="71" t="str">
        <x:v>Quatre membres au total par équipe proposée, rôles choisis selon mission.</x:v>
      </x:c>
      <x:c r="R98" s="71" t="str">
        <x:v>Y-H ; H-H ; X seulement dans crossover original</x:v>
      </x:c>
      <x:c r="S98" s="71" t="str">
        <x:v>Jungle et installations compatibles avec Hunting Grounds</x:v>
      </x:c>
      <x:c r="T98" s="71" t="str">
        <x:v>Ne pas confondre Recon Hunting Grounds et Recon Fireteam : périodes et équipements distincts.</x:v>
      </x:c>
      <x:c r="U98" s="71" t="str">
        <x:v>P1</x:v>
      </x:c>
    </x:row>
    <x:row r="99" ht="76.5" customHeight="1">
      <x:c r="A99" s="70" t="str">
        <x:v>HUM-019</x:v>
      </x:c>
      <x:c r="B99" s="70" t="str">
        <x:v>Humains et technologies humaines</x:v>
      </x:c>
      <x:c r="C99" s="70" t="str">
        <x:v>Scout — Hunting Grounds</x:v>
      </x:c>
      <x:c r="D99" s="70" t="str">
        <x:v>Classe de force paramilitaire</x:v>
      </x:c>
      <x:c r="E99" s="70" t="str">
        <x:v>Profil commun à adapter ; nombres et formation proposés</x:v>
      </x:c>
      <x:c r="F99" s="70" t="str">
        <x:v>Predator: Hunting Grounds</x:v>
      </x:c>
      <x:c r="G99" s="70" t="str">
        <x:v>Jeu</x:v>
      </x:c>
      <x:c r="H99" s="70" t="str">
        <x:v>Predator / Hunting Grounds</x:v>
      </x:c>
      <x:c r="I99" s="70" t="str">
        <x:v>Attesté dans l’œuvre citée ; portée limitée à sa continuité</x:v>
      </x:c>
      <x:c r="J99" s="70" t="str">
        <x:v>Scout privilégie mobilité et agilité.</x:v>
      </x:c>
      <x:c r="K99" s="70" t="str">
        <x:v>H-S07 — Predator: Hunting Grounds — The Fireteam
IllFonic ; Source primaire officielle
Portée : Quatre classes humaines et rôles généraux ; classes du jeu, sans équivalence automatique avec un grade militaire.
Consulté le 2026-10-26</x:v>
      </x:c>
      <x:c r="L99" s="77" t="str">
        <x:v>https://predator.illfonic.com/the-fireteam/</x:v>
      </x:c>
      <x:c r="M99" s="70" t="str">
        <x:v>Absent du registre de combat inspecté au commit figé ; contrôle statique, pas validation en jeu.</x:v>
      </x:c>
      <x:c r="N99" s="70" t="str">
        <x:v>https://github.com/darknigthmare/Yautja-hive-warriors/blob/0f37cc52f9d83a4abecc17b80f7bfc67701677cf/js/entities/ColonialMarines.js#L18-L49</x:v>
      </x:c>
      <x:c r="O99" s="70" t="str">
        <x:v>Créer une fiche d’unité, une IA de rôle, un équipement de période et une règle de sélection par théâtre. Les comportements ci-dessous sont des propositions de conception.</x:v>
      </x:c>
      <x:c r="P99" s="70" t="str">
        <x:v>Reconnaissance d’itinéraire et contournement ; adaptation PNJ proposée.</x:v>
      </x:c>
      <x:c r="Q99" s="70" t="str">
        <x:v>Quatre membres au total par équipe proposée, rôles choisis selon mission.</x:v>
      </x:c>
      <x:c r="R99" s="70" t="str">
        <x:v>Y-H ; H-H ; X seulement dans crossover original</x:v>
      </x:c>
      <x:c r="S99" s="70" t="str">
        <x:v>Jungle et installations compatibles avec Hunting Grounds</x:v>
      </x:c>
      <x:c r="T99" s="70" t="str">
        <x:v>Ne pas confondre Recon Hunting Grounds et Recon Fireteam : périodes et équipements distincts.</x:v>
      </x:c>
      <x:c r="U99" s="70" t="str">
        <x:v>P1</x:v>
      </x:c>
    </x:row>
    <x:row r="100" ht="76.5" customHeight="1">
      <x:c r="A100" s="71" t="str">
        <x:v>HUM-020</x:v>
      </x:c>
      <x:c r="B100" s="71" t="str">
        <x:v>Humains et technologies humaines</x:v>
      </x:c>
      <x:c r="C100" s="71" t="str">
        <x:v>Support — Hunting Grounds</x:v>
      </x:c>
      <x:c r="D100" s="71" t="str">
        <x:v>Classe de force paramilitaire</x:v>
      </x:c>
      <x:c r="E100" s="71" t="str">
        <x:v>Profil commun à adapter ; nombres et formation proposés</x:v>
      </x:c>
      <x:c r="F100" s="71" t="str">
        <x:v>Predator: Hunting Grounds</x:v>
      </x:c>
      <x:c r="G100" s="71" t="str">
        <x:v>Jeu</x:v>
      </x:c>
      <x:c r="H100" s="71" t="str">
        <x:v>Predator / Hunting Grounds</x:v>
      </x:c>
      <x:c r="I100" s="71" t="str">
        <x:v>Attesté dans l’œuvre citée ; portée limitée à sa continuité</x:v>
      </x:c>
      <x:c r="J100" s="71" t="str">
        <x:v>Support privilégie puissance de feu et protection.</x:v>
      </x:c>
      <x:c r="K100" s="71" t="str">
        <x:v>H-S07 — Predator: Hunting Grounds — The Fireteam
IllFonic ; Source primaire officielle
Portée : Quatre classes humaines et rôles généraux ; classes du jeu, sans équivalence automatique avec un grade militaire.
Consulté le 2026-10-26</x:v>
      </x:c>
      <x:c r="L100" s="76" t="str">
        <x:v>https://predator.illfonic.com/the-fireteam/</x:v>
      </x:c>
      <x:c r="M100" s="71" t="str">
        <x:v>Absent du registre de combat inspecté au commit figé ; contrôle statique, pas validation en jeu.</x:v>
      </x:c>
      <x:c r="N100" s="71" t="str">
        <x:v>https://github.com/darknigthmare/Yautja-hive-warriors/blob/0f37cc52f9d83a4abecc17b80f7bfc67701677cf/js/entities/ColonialMarines.js#L18-L49</x:v>
      </x:c>
      <x:c r="O100" s="71" t="str">
        <x:v>Créer une fiche d’unité, une IA de rôle, un équipement de période et une règle de sélection par théâtre. Les comportements ci-dessous sont des propositions de conception.</x:v>
      </x:c>
      <x:c r="P100" s="71" t="str">
        <x:v>Appui du groupe et maintien d’un passage ; adaptation PNJ proposée.</x:v>
      </x:c>
      <x:c r="Q100" s="71" t="str">
        <x:v>Quatre membres au total par équipe proposée, rôles choisis selon mission.</x:v>
      </x:c>
      <x:c r="R100" s="71" t="str">
        <x:v>Y-H ; H-H ; X seulement dans crossover original</x:v>
      </x:c>
      <x:c r="S100" s="71" t="str">
        <x:v>Jungle et installations compatibles avec Hunting Grounds</x:v>
      </x:c>
      <x:c r="T100" s="71" t="str">
        <x:v>Ne pas confondre Recon Hunting Grounds et Recon Fireteam : périodes et équipements distincts.</x:v>
      </x:c>
      <x:c r="U100" s="71" t="str">
        <x:v>P1</x:v>
      </x:c>
    </x:row>
    <x:row r="101" ht="76.5" customHeight="1">
      <x:c r="A101" s="70" t="str">
        <x:v>HUM-021</x:v>
      </x:c>
      <x:c r="B101" s="70" t="str">
        <x:v>Humains et technologies humaines</x:v>
      </x:c>
      <x:c r="C101" s="70" t="str">
        <x:v>Soldats tactiques de Prodigy</x:v>
      </x:c>
      <x:c r="D101" s="70" t="str">
        <x:v>Faction / emploi militaire</x:v>
      </x:c>
      <x:c r="E101" s="70" t="str">
        <x:v>Profil commun à adapter ; nombres et formation proposés</x:v>
      </x:c>
      <x:c r="F101" s="70" t="str">
        <x:v>Alien: Earth</x:v>
      </x:c>
      <x:c r="G101" s="70" t="str">
        <x:v>Série</x:v>
      </x:c>
      <x:c r="H101" s="70" t="str">
        <x:v>Alien / Earth, 2120</x:v>
      </x:c>
      <x:c r="I101" s="70" t="str">
        <x:v>Attesté dans l’œuvre citée ; portée limitée à sa continuité</x:v>
      </x:c>
      <x:c r="J101" s="70" t="str">
        <x:v>La série présente des soldats tactiques de Prodigy.</x:v>
      </x:c>
      <x:c r="K101" s="70" t="str">
        <x:v>H-S08 — Alien: Earth — personnages
FX ; Source primaire officielle
Portée : Rôles de Wendy, Hermit, Kirsh, Morrow, troupes et techniciens de Prodigy ; personnages nommés uniques.
Consulté le 2026-10-26</x:v>
      </x:c>
      <x:c r="L101" s="77" t="str">
        <x:v>https://www.fxnetworks.com/shows/alien-earth/characters</x:v>
      </x:c>
      <x:c r="M101" s="70" t="str">
        <x:v>Absent du registre de combat inspecté au commit figé ; contrôle statique, pas validation en jeu.</x:v>
      </x:c>
      <x:c r="N101" s="70" t="str">
        <x:v>https://github.com/darknigthmare/Yautja-hive-warriors/blob/0f37cc52f9d83a4abecc17b80f7bfc67701677cf/js/entities/ColonialMarines.js#L18-L49</x:v>
      </x:c>
      <x:c r="O101" s="70" t="str">
        <x:v>Créer une fiche d’unité, une IA de rôle, un équipement de période et une règle de sélection par théâtre. Les comportements ci-dessous sont des propositions de conception.</x:v>
      </x:c>
      <x:c r="P101" s="70" t="str">
        <x:v>Sécurité du périmètre et récupération de survivants ; ordres corporatistes distincts des Marines.</x:v>
      </x:c>
      <x:c r="Q101" s="70" t="str">
        <x:v>Cellules de quatre originales ; Siberian et Rashidi restent des personnes uniques.</x:v>
      </x:c>
      <x:c r="R101" s="70" t="str">
        <x:v>X-H ; H-H ; extension X-Y-H originale</x:v>
      </x:c>
      <x:c r="S101" s="70" t="str">
        <x:v>H-L05 — Prodigy City et épave de l’USCSS Maginot</x:v>
      </x:c>
      <x:c r="T101" s="70" t="str">
        <x:v>Aucune armée USCM importée automatiquement dans ce cadre.</x:v>
      </x:c>
      <x:c r="U101" s="70" t="str">
        <x:v>P1</x:v>
      </x:c>
    </x:row>
    <x:row r="102" ht="76.5" customHeight="1">
      <x:c r="A102" s="71" t="str">
        <x:v>HUM-022</x:v>
      </x:c>
      <x:c r="B102" s="71" t="str">
        <x:v>Humains et technologies humaines</x:v>
      </x:c>
      <x:c r="C102" s="71" t="str">
        <x:v>Hermit — officier tactique et secouriste</x:v>
      </x:c>
      <x:c r="D102" s="71" t="str">
        <x:v>Personnage humain unique / double rôle</x:v>
      </x:c>
      <x:c r="E102" s="71" t="str">
        <x:v>Individu unique ; jamais unité de masse</x:v>
      </x:c>
      <x:c r="F102" s="71" t="str">
        <x:v>Alien: Earth</x:v>
      </x:c>
      <x:c r="G102" s="71" t="str">
        <x:v>Série</x:v>
      </x:c>
      <x:c r="H102" s="71" t="str">
        <x:v>Alien / Earth, 2120</x:v>
      </x:c>
      <x:c r="I102" s="71" t="str">
        <x:v>Attesté dans l’œuvre citée ; portée limitée à sa continuité</x:v>
      </x:c>
      <x:c r="J102" s="71" t="str">
        <x:v>Hermit est officier tactique et secouriste.</x:v>
      </x:c>
      <x:c r="K102" s="71" t="str">
        <x:v>H-S08 — Alien: Earth — personnages
FX ; Source primaire officielle
Portée : Rôles de Wendy, Hermit, Kirsh, Morrow, troupes et techniciens de Prodigy ; personnages nommés uniques.
Consulté le 2026-10-26</x:v>
      </x:c>
      <x:c r="L102" s="76" t="str">
        <x:v>https://www.fxnetworks.com/shows/alien-earth/characters</x:v>
      </x:c>
      <x:c r="M102" s="71" t="str">
        <x:v>Absent du registre de combat inspecté au commit figé ; contrôle statique, pas validation en jeu.</x:v>
      </x:c>
      <x:c r="N102" s="71" t="str">
        <x:v>https://github.com/darknigthmare/Yautja-hive-warriors/blob/0f37cc52f9d83a4abecc17b80f7bfc67701677cf/js/entities/ColonialMarines.js#L18-L49</x:v>
      </x:c>
      <x:c r="O102" s="71" t="str">
        <x:v>Créer une fiche d’unité, une IA de rôle, un équipement de période et une règle de sélection par théâtre. Les comportements ci-dessous sont des propositions de conception.</x:v>
      </x:c>
      <x:c r="P102" s="71" t="str">
        <x:v>Allié de scénario et secours ; comportement et liens personnels à conserver.</x:v>
      </x:c>
      <x:c r="Q102" s="71" t="str">
        <x:v>Une seule instance ; un profil de secouriste original peut exister sans porter son identité.</x:v>
      </x:c>
      <x:c r="R102" s="71" t="str">
        <x:v>X-H ; extension X-Y-H originale</x:v>
      </x:c>
      <x:c r="S102" s="71" t="str">
        <x:v>H-L05 — Prodigy City et épave de l’USCSS Maginot</x:v>
      </x:c>
      <x:c r="T102" s="71" t="str">
        <x:v>Pas de clones de Hermit dans chaque escouade.</x:v>
      </x:c>
      <x:c r="U102" s="71" t="str">
        <x:v>P1</x:v>
      </x:c>
    </x:row>
    <x:row r="103" ht="76.5" customHeight="1">
      <x:c r="A103" s="70" t="str">
        <x:v>HUM-023</x:v>
      </x:c>
      <x:c r="B103" s="70" t="str">
        <x:v>Humains et technologies humaines</x:v>
      </x:c>
      <x:c r="C103" s="70" t="str">
        <x:v>Techniciens de Prodigy</x:v>
      </x:c>
      <x:c r="D103" s="70" t="str">
        <x:v>Fonction scientifique et technique</x:v>
      </x:c>
      <x:c r="E103" s="70" t="str">
        <x:v>Civils / support ; pas horde armée</x:v>
      </x:c>
      <x:c r="F103" s="70" t="str">
        <x:v>Alien: Earth</x:v>
      </x:c>
      <x:c r="G103" s="70" t="str">
        <x:v>Série</x:v>
      </x:c>
      <x:c r="H103" s="70" t="str">
        <x:v>Alien / Earth, 2120</x:v>
      </x:c>
      <x:c r="I103" s="70" t="str">
        <x:v>Attesté dans l’œuvre citée ; portée limitée à sa continuité</x:v>
      </x:c>
      <x:c r="J103" s="70" t="str">
        <x:v>Arthur Sylvia est l’un des techniciens responsables de Prodigy.</x:v>
      </x:c>
      <x:c r="K103" s="70" t="str">
        <x:v>H-S08 — Alien: Earth — personnages
FX ; Source primaire officielle
Portée : Rôles de Wendy, Hermit, Kirsh, Morrow, troupes et techniciens de Prodigy ; personnages nommés uniques.
Consulté le 2026-10-26</x:v>
      </x:c>
      <x:c r="L103" s="77" t="str">
        <x:v>https://www.fxnetworks.com/shows/alien-earth/characters</x:v>
      </x:c>
      <x:c r="M103" s="70" t="str">
        <x:v>Absent du registre de combat inspecté au commit figé ; contrôle statique, pas validation en jeu.</x:v>
      </x:c>
      <x:c r="N103" s="70" t="str">
        <x:v>https://github.com/darknigthmare/Yautja-hive-warriors/blob/0f37cc52f9d83a4abecc17b80f7bfc67701677cf/js/entities/ColonialMarines.js#L18-L49</x:v>
      </x:c>
      <x:c r="O103" s="70" t="str">
        <x:v>Créer une fiche d’unité, une IA de rôle, un équipement de période et une règle de sélection par théâtre. Les comportements ci-dessous sont des propositions de conception.</x:v>
      </x:c>
      <x:c r="P103" s="70" t="str">
        <x:v>Réparer, isoler un secteur et sécuriser des données ; civils accompagnés et plafonnés.</x:v>
      </x:c>
      <x:c r="Q103" s="70" t="str">
        <x:v>Arthur unique ; techniciens originaux hors quotas combattants.</x:v>
      </x:c>
      <x:c r="R103" s="70" t="str">
        <x:v>X-H ; H-H ; extension X-Y-H originale</x:v>
      </x:c>
      <x:c r="S103" s="70" t="str">
        <x:v>H-L05 — Prodigy City et épave de l’USCSS Maginot</x:v>
      </x:c>
      <x:c r="T103" s="70" t="str">
        <x:v>Le scientifique n’est pas un soldat automatique ; fonctions et permissions distinctes.</x:v>
      </x:c>
      <x:c r="U103" s="70" t="str">
        <x:v>P1</x:v>
      </x:c>
    </x:row>
    <x:row r="104" ht="76.5" customHeight="1">
      <x:c r="A104" s="71" t="str">
        <x:v>HUM-024</x:v>
      </x:c>
      <x:c r="B104" s="71" t="str">
        <x:v>Humains et technologies humaines</x:v>
      </x:c>
      <x:c r="C104" s="71" t="str">
        <x:v>Morrow — sécurité du Maginot</x:v>
      </x:c>
      <x:c r="D104" s="71" t="str">
        <x:v>Personnage unique / fonction de sûreté</x:v>
      </x:c>
      <x:c r="E104" s="71" t="str">
        <x:v>Individu unique ; pas classe reproductible</x:v>
      </x:c>
      <x:c r="F104" s="71" t="str">
        <x:v>Alien: Earth</x:v>
      </x:c>
      <x:c r="G104" s="71" t="str">
        <x:v>Série</x:v>
      </x:c>
      <x:c r="H104" s="71" t="str">
        <x:v>Alien / Earth, 2120</x:v>
      </x:c>
      <x:c r="I104" s="71" t="str">
        <x:v>Attesté dans l’œuvre citée ; portée limitée à sa continuité</x:v>
      </x:c>
      <x:c r="J104" s="71" t="str">
        <x:v>Morrow est responsable de la sécurité du Maginot pour Weyland-Yutani.</x:v>
      </x:c>
      <x:c r="K104" s="71" t="str">
        <x:v>H-S08 — Alien: Earth — personnages
FX ; Source primaire officielle
Portée : Rôles de Wendy, Hermit, Kirsh, Morrow, troupes et techniciens de Prodigy ; personnages nommés uniques.
Consulté le 2026-10-26</x:v>
      </x:c>
      <x:c r="L104" s="76" t="str">
        <x:v>https://www.fxnetworks.com/shows/alien-earth/characters</x:v>
      </x:c>
      <x:c r="M104" s="71" t="str">
        <x:v>Absent du registre de combat inspecté au commit figé ; contrôle statique, pas validation en jeu.</x:v>
      </x:c>
      <x:c r="N104" s="71" t="str">
        <x:v>https://github.com/darknigthmare/Yautja-hive-warriors/blob/0f37cc52f9d83a4abecc17b80f7bfc67701677cf/js/entities/ColonialMarines.js#L18-L49</x:v>
      </x:c>
      <x:c r="O104" s="71" t="str">
        <x:v>Créer une fiche d’unité, une IA de rôle, un équipement de période et une règle de sélection par théâtre. Les comportements ci-dessous sont des propositions de conception.</x:v>
      </x:c>
      <x:c r="P104" s="71" t="str">
        <x:v>Objectif autonome de récupération ; trêve, conflit ou retrait déterminés par le scénario.</x:v>
      </x:c>
      <x:c r="Q104" s="71" t="str">
        <x:v>Une seule instance ; escorte éventuelle entièrement originale.</x:v>
      </x:c>
      <x:c r="R104" s="71" t="str">
        <x:v>X-H ; H-H ; extension X-Y-H originale</x:v>
      </x:c>
      <x:c r="S104" s="71" t="str">
        <x:v>H-L05 — Prodigy City et épave de l’USCSS Maginot</x:v>
      </x:c>
      <x:c r="T104" s="71" t="str">
        <x:v>Ne pas généraliser son identité ou son agenda à toutes les unités humaines.</x:v>
      </x:c>
      <x:c r="U104" s="71" t="str">
        <x:v>P1</x:v>
      </x:c>
    </x:row>
    <x:row r="105" ht="76.5" customHeight="1">
      <x:c r="A105" s="70" t="str">
        <x:v>HUM-025</x:v>
      </x:c>
      <x:c r="B105" s="70" t="str">
        <x:v>Humains et technologies humaines</x:v>
      </x:c>
      <x:c r="C105" s="70" t="str">
        <x:v>Cyborgs humains</x:v>
      </x:c>
      <x:c r="D105" s="70" t="str">
        <x:v>Catégorie technologique, pas caste</x:v>
      </x:c>
      <x:c r="E105" s="70" t="str">
        <x:v>Cadre de classification ; profil précis requis</x:v>
      </x:c>
      <x:c r="F105" s="70" t="str">
        <x:v>Alien: Earth</x:v>
      </x:c>
      <x:c r="G105" s="70" t="str">
        <x:v>Série</x:v>
      </x:c>
      <x:c r="H105" s="70" t="str">
        <x:v>Alien / Earth, 2120</x:v>
      </x:c>
      <x:c r="I105" s="70" t="str">
        <x:v>Attesté dans l’œuvre citée ; portée limitée à sa continuité</x:v>
      </x:c>
      <x:c r="J105" s="70" t="str">
        <x:v>Un cyborg combine parties biologiques et artificielles.</x:v>
      </x:c>
      <x:c r="K105" s="70" t="str">
        <x:v>H-S10 — Alien: Earth — nouvelle série FX
The Walt Disney Company ; Source primaire officielle
Portée : Définition des trois catégories technologiques ; Wendy prototype et crash du Maginot.
Consulté le 2026-10-26</x:v>
      </x:c>
      <x:c r="L105" s="77" t="str">
        <x:v>https://thewaltdisneycompany.com/news/alien-earth-fx-noah-hawley/</x:v>
      </x:c>
      <x:c r="M105" s="70" t="str">
        <x:v>Absent du registre de combat inspecté au commit figé ; contrôle statique, pas validation en jeu.</x:v>
      </x:c>
      <x:c r="N105" s="70" t="str">
        <x:v>https://github.com/darknigthmare/Yautja-hive-warriors/blob/0f37cc52f9d83a4abecc17b80f7bfc67701677cf/js/entities/Synthetics.js#L31-L49</x:v>
      </x:c>
      <x:c r="O105" s="70" t="str">
        <x:v>Créer une fiche d’unité, une IA de rôle, un équipement de période et une règle de sélection par théâtre. Les comportements ci-dessous sont des propositions de conception.</x:v>
      </x:c>
      <x:c r="P105" s="70" t="str">
        <x:v>Concevoir des composants et vulnérabilités propres au personnage choisi, après documentation.</x:v>
      </x:c>
      <x:c r="Q105" s="70" t="str">
        <x:v>Aucun bataillon de cyborgs déduit de cette définition.</x:v>
      </x:c>
      <x:c r="R105" s="70" t="str">
        <x:v>Selon personnage et œuvre ; extensions annoncées</x:v>
      </x:c>
      <x:c r="S105" s="70" t="str">
        <x:v>H-L05 — Prodigy City et épave de l’USCSS Maginot</x:v>
      </x:c>
      <x:c r="T105" s="70" t="str">
        <x:v>La catégorie ne prouve ni un arsenal partagé ni une résistance universelle.</x:v>
      </x:c>
      <x:c r="U105" s="70" t="str">
        <x:v>P2</x:v>
      </x:c>
    </x:row>
    <x:row r="106" ht="76.5" customHeight="1">
      <x:c r="A106" s="71" t="str">
        <x:v>HUM-026</x:v>
      </x:c>
      <x:c r="B106" s="71" t="str">
        <x:v>Synthétiques de fabrication humaine</x:v>
      </x:c>
      <x:c r="C106" s="71" t="str">
        <x:v>Kirsh — synthétique de Prodigy</x:v>
      </x:c>
      <x:c r="D106" s="71" t="str">
        <x:v>Personnage synthétique unique</x:v>
      </x:c>
      <x:c r="E106" s="71" t="str">
        <x:v>Individu unique</x:v>
      </x:c>
      <x:c r="F106" s="71" t="str">
        <x:v>Alien: Earth</x:v>
      </x:c>
      <x:c r="G106" s="71" t="str">
        <x:v>Série</x:v>
      </x:c>
      <x:c r="H106" s="71" t="str">
        <x:v>Alien / Earth, 2120</x:v>
      </x:c>
      <x:c r="I106" s="71" t="str">
        <x:v>Attesté dans l’œuvre citée ; portée limitée à sa continuité</x:v>
      </x:c>
      <x:c r="J106" s="71" t="str">
        <x:v>Kirsh est un synthétique participant à l’entraînement des hybrides.</x:v>
      </x:c>
      <x:c r="K106" s="71" t="str">
        <x:v>H-S08 — Alien: Earth — personnages
FX ; Source primaire officielle
Portée : Rôles de Wendy, Hermit, Kirsh, Morrow, troupes et techniciens de Prodigy ; personnages nommés uniques.
Consulté le 2026-10-26</x:v>
      </x:c>
      <x:c r="L106" s="76" t="str">
        <x:v>https://www.fxnetworks.com/shows/alien-earth/characters</x:v>
      </x:c>
      <x:c r="M106" s="71" t="str">
        <x:v>Absent du registre de combat inspecté au commit figé ; contrôle statique, pas validation en jeu.</x:v>
      </x:c>
      <x:c r="N106" s="71" t="str">
        <x:v>https://github.com/darknigthmare/Yautja-hive-warriors/blob/0f37cc52f9d83a4abecc17b80f7bfc67701677cf/js/entities/Synthetics.js#L31-L49</x:v>
      </x:c>
      <x:c r="O106" s="71" t="str">
        <x:v>Créer une fiche d’unité, une IA de rôle, un équipement de période et une règle de sélection par théâtre. Les comportements ci-dessous sont des propositions de conception.</x:v>
      </x:c>
      <x:c r="P106" s="71" t="str">
        <x:v>Interlocuteur ou superviseur unique ; objectifs liés au site plutôt que chef de horde.</x:v>
      </x:c>
      <x:c r="Q106" s="71" t="str">
        <x:v>Un personnage ; aucune production de masse de Kirsh.</x:v>
      </x:c>
      <x:c r="R106" s="71" t="str">
        <x:v>X-H ; H-H ; extension Y-H originale</x:v>
      </x:c>
      <x:c r="S106" s="71" t="str">
        <x:v>H-L05 — Prodigy City et épave de l’USCSS Maginot</x:v>
      </x:c>
      <x:c r="T106" s="71" t="str">
        <x:v>Synthétique à IA, distinct d’un hybride porteur de conscience humaine.</x:v>
      </x:c>
      <x:c r="U106" s="71" t="str">
        <x:v>P2</x:v>
      </x:c>
    </x:row>
    <x:row r="107" ht="76.5" customHeight="1">
      <x:c r="A107" s="70" t="str">
        <x:v>HUM-027</x:v>
      </x:c>
      <x:c r="B107" s="70" t="str">
        <x:v>Hybrides technologiques de Prodigy</x:v>
      </x:c>
      <x:c r="C107" s="70" t="str">
        <x:v>Wendy et premiers hybrides de Prodigy</x:v>
      </x:c>
      <x:c r="D107" s="70" t="str">
        <x:v>Groupe nommé / technologie de conscience transférée</x:v>
      </x:c>
      <x:c r="E107" s="70" t="str">
        <x:v>Personnages uniques ; hors réserve générique</x:v>
      </x:c>
      <x:c r="F107" s="70" t="str">
        <x:v>Alien: Earth</x:v>
      </x:c>
      <x:c r="G107" s="70" t="str">
        <x:v>Série</x:v>
      </x:c>
      <x:c r="H107" s="70" t="str">
        <x:v>Alien / Earth, 2120</x:v>
      </x:c>
      <x:c r="I107" s="70" t="str">
        <x:v>Attesté dans l’œuvre citée ; portée limitée à sa continuité</x:v>
      </x:c>
      <x:c r="J107" s="70" t="str">
        <x:v>Wendy est le premier prototype hybride à conscience humaine.</x:v>
      </x:c>
      <x:c r="K107" s="70" t="str">
        <x:v>H-S10 — Alien: Earth — nouvelle série FX
The Walt Disney Company ; Source primaire officielle
Portée : Définition des trois catégories technologiques ; Wendy prototype et crash du Maginot.
Consulté le 2026-10-26</x:v>
      </x:c>
      <x:c r="L107" s="77" t="str">
        <x:v>https://thewaltdisneycompany.com/news/alien-earth-fx-noah-hawley/</x:v>
      </x:c>
      <x:c r="M107" s="70" t="str">
        <x:v>Absent du registre de combat inspecté au commit figé ; contrôle statique, pas validation en jeu.</x:v>
      </x:c>
      <x:c r="N107" s="70" t="str">
        <x:v>https://github.com/darknigthmare/Yautja-hive-warriors/blob/0f37cc52f9d83a4abecc17b80f7bfc67701677cf/js/entities/Synthetics.js#L31-L49</x:v>
      </x:c>
      <x:c r="O107" s="70" t="str">
        <x:v>Créer une fiche d’unité, une IA de rôle, un équipement de période et une règle de sélection par théâtre. Les comportements ci-dessous sont des propositions de conception.</x:v>
      </x:c>
      <x:c r="P107" s="70" t="str">
        <x:v>Personnages narratifs avec états persistants ; capacités individuelles à documenter avant combat.</x:v>
      </x:c>
      <x:c r="Q107" s="70" t="str">
        <x:v>Identités distinctes, uniques ; aucun générateur de Lost Boys anonymes.</x:v>
      </x:c>
      <x:c r="R107" s="70" t="str">
        <x:v>X-H ; extension X-Y-H originale</x:v>
      </x:c>
      <x:c r="S107" s="70" t="str">
        <x:v>H-L05 — Prodigy City et épave de l’USCSS Maginot</x:v>
      </x:c>
      <x:c r="T107" s="70" t="str">
        <x:v>Le terme hybride ici ne signifie pas hybride biologique xénomorphe ; ne pas confondre avec Predalien ou Offspring.</x:v>
      </x:c>
      <x:c r="U107" s="70" t="str">
        <x:v>P2</x:v>
      </x:c>
    </x:row>
    <x:row r="108" ht="76.5" customHeight="1">
      <x:c r="A108" s="71" t="str">
        <x:v>HUM-028</x:v>
      </x:c>
      <x:c r="B108" s="71" t="str">
        <x:v>Synthétiques de fabrication humaine</x:v>
      </x:c>
      <x:c r="C108" s="71" t="str">
        <x:v>Steel Team</x:v>
      </x:c>
      <x:c r="D108" s="71" t="str">
        <x:v>Unité synthétique nommée</x:v>
      </x:c>
      <x:c r="E108" s="71" t="str">
        <x:v>Unité nommée unique ; composition exacte à documenter</x:v>
      </x:c>
      <x:c r="F108" s="71" t="str">
        <x:v>Alien (2022) #2–3</x:v>
      </x:c>
      <x:c r="G108" s="71" t="str">
        <x:v>Comic</x:v>
      </x:c>
      <x:c r="H108" s="71" t="str">
        <x:v>Alien / série Marvel 2022</x:v>
      </x:c>
      <x:c r="I108" s="71" t="str">
        <x:v>Attesté dans l’œuvre citée ; portée limitée à sa continuité</x:v>
      </x:c>
      <x:c r="J108" s="71" t="str">
        <x:v>Steel Team est une unité synthétique d’opérations spéciales.</x:v>
      </x:c>
      <x:c r="K108" s="71" t="str">
        <x:v>H-S11 — Alien (2022) #3
Marvel ; Source primaire officielle
Portée : Steel Team, survivants de Tobler-9 et coopération conditionnelle ; pas un effectif de bataille certifié.
Consulté le 2026-10-26</x:v>
      </x:c>
      <x:c r="L108" s="76" t="str">
        <x:v>https://www.marvel.com/comics/issue/103780/read</x:v>
      </x:c>
      <x:c r="M108" s="71" t="str">
        <x:v>Absent du registre de combat inspecté au commit figé ; contrôle statique, pas validation en jeu.</x:v>
      </x:c>
      <x:c r="N108" s="71" t="str">
        <x:v>https://github.com/darknigthmare/Yautja-hive-warriors/blob/0f37cc52f9d83a4abecc17b80f7bfc67701677cf/js/entities/Synthetics.js#L31-L49</x:v>
      </x:c>
      <x:c r="O108" s="71" t="str">
        <x:v>Créer une fiche d’unité, une IA de rôle, un équipement de période et une règle de sélection par théâtre. Les comportements ci-dessous sont des propositions de conception.</x:v>
      </x:c>
      <x:c r="P108" s="71" t="str">
        <x:v>Détachement unique capable de coopérer temporairement avec des survivants.</x:v>
      </x:c>
      <x:c r="Q108" s="71" t="str">
        <x:v>Chaque membre garde son identité ; des renforts ne sont pas des clones de Steel Team.</x:v>
      </x:c>
      <x:c r="R108" s="71" t="str">
        <x:v>X-H ; H-H ; extension X-Y-H originale</x:v>
      </x:c>
      <x:c r="S108" s="71" t="str">
        <x:v>H-L06 — Tobler-9</x:v>
      </x:c>
      <x:c r="T108" s="71" t="str">
        <x:v>Décompte et noms exacts à relever avant reconstitution ; escorte originale explicitement distinguée.</x:v>
      </x:c>
      <x:c r="U108" s="71" t="str">
        <x:v>P1</x:v>
      </x:c>
    </x:row>
    <x:row r="109" ht="76.5" customHeight="1">
      <x:c r="A109" s="70" t="str">
        <x:v>HUM-029</x:v>
      </x:c>
      <x:c r="B109" s="70" t="str">
        <x:v>Humains et technologies humaines</x:v>
      </x:c>
      <x:c r="C109" s="70" t="str">
        <x:v>Survivants humains de Tobler-9</x:v>
      </x:c>
      <x:c r="D109" s="70" t="str">
        <x:v>Communauté de survivants</x:v>
      </x:c>
      <x:c r="E109" s="70" t="str">
        <x:v>Profil commun à adapter ; nombres et formation proposés</x:v>
      </x:c>
      <x:c r="F109" s="70" t="str">
        <x:v>Alien (2022) #3</x:v>
      </x:c>
      <x:c r="G109" s="70" t="str">
        <x:v>Comic</x:v>
      </x:c>
      <x:c r="H109" s="70" t="str">
        <x:v>Alien / série Marvel 2022</x:v>
      </x:c>
      <x:c r="I109" s="70" t="str">
        <x:v>Attesté dans l’œuvre citée ; portée limitée à sa continuité</x:v>
      </x:c>
      <x:c r="J109" s="70" t="str">
        <x:v>Des humains survivent sur Tobler-9 et négocient avec Steel Team.</x:v>
      </x:c>
      <x:c r="K109" s="70" t="str">
        <x:v>H-S11 — Alien (2022) #3
Marvel ; Source primaire officielle
Portée : Steel Team, survivants de Tobler-9 et coopération conditionnelle ; pas un effectif de bataille certifié.
Consulté le 2026-10-26</x:v>
      </x:c>
      <x:c r="L109" s="77" t="str">
        <x:v>https://www.marvel.com/comics/issue/103780/read</x:v>
      </x:c>
      <x:c r="M109" s="70" t="str">
        <x:v>Absent du registre de combat inspecté au commit figé ; contrôle statique, pas validation en jeu.</x:v>
      </x:c>
      <x:c r="N109" s="70" t="str">
        <x:v>https://github.com/darknigthmare/Yautja-hive-warriors/blob/0f37cc52f9d83a4abecc17b80f7bfc67701677cf/js/entities/ColonialMarines.js#L18-L49</x:v>
      </x:c>
      <x:c r="O109" s="70" t="str">
        <x:v>Créer une fiche d’unité, une IA de rôle, un équipement de période et une règle de sélection par théâtre. Les comportements ci-dessous sont des propositions de conception.</x:v>
      </x:c>
      <x:c r="P109" s="70" t="str">
        <x:v>Guide, défense locale ou évacuation ; relations fondées sur objectifs et confiance.</x:v>
      </x:c>
      <x:c r="Q109" s="70" t="str">
        <x:v>Séparer combattants volontaires et civils ; nombres proposés, pas relevés de planche.</x:v>
      </x:c>
      <x:c r="R109" s="70" t="str">
        <x:v>X-H ; H-H ; extension X-Y-H originale</x:v>
      </x:c>
      <x:c r="S109" s="70" t="str">
        <x:v>H-L06 — Tobler-9</x:v>
      </x:c>
      <x:c r="T109" s="70" t="str">
        <x:v>La coopération avec les synthétiques ne crée pas une alliance universelle.</x:v>
      </x:c>
      <x:c r="U109" s="70" t="str">
        <x:v>P1</x:v>
      </x:c>
    </x:row>
    <x:row r="110" ht="76.5" customHeight="1">
      <x:c r="A110" s="71" t="str">
        <x:v>HUM-030</x:v>
      </x:c>
      <x:c r="B110" s="71" t="str">
        <x:v>Humains et technologies humaines</x:v>
      </x:c>
      <x:c r="C110" s="71" t="str">
        <x:v>Communauté des Spinners</x:v>
      </x:c>
      <x:c r="D110" s="71" t="str">
        <x:v>Population coloniale civile</x:v>
      </x:c>
      <x:c r="E110" s="71" t="str">
        <x:v>Population civile ; combattants uniquement sur preuve ou variante originale</x:v>
      </x:c>
      <x:c r="F110" s="71" t="str">
        <x:v>Alien (2021) #7</x:v>
      </x:c>
      <x:c r="G110" s="71" t="str">
        <x:v>Comic</x:v>
      </x:c>
      <x:c r="H110" s="71" t="str">
        <x:v>Alien / série Marvel 2021</x:v>
      </x:c>
      <x:c r="I110" s="71" t="str">
        <x:v>Attesté dans l’œuvre citée ; portée limitée à sa continuité</x:v>
      </x:c>
      <x:c r="J110" s="71" t="str">
        <x:v>Les Spinners habitent une colonie de lune en terraformation.</x:v>
      </x:c>
      <x:c r="K110" s="71" t="str">
        <x:v>H-S12 — Alien (2021) #7 — fiche officielle
Marvel ; Source primaire officielle
Portée : Communauté des Spinners sur une lune en terraformation ; nom précis non confirmé par la fiche consultée.
Consulté le 2026-10-26</x:v>
      </x:c>
      <x:c r="L110" s="76" t="str">
        <x:v>https://www.marvel.com/comics/issue/96969/alien_2021_7_variant/variant</x:v>
      </x:c>
      <x:c r="M110" s="71" t="str">
        <x:v>Absent du registre de combat inspecté au commit figé ; contrôle statique, pas validation en jeu.</x:v>
      </x:c>
      <x:c r="N110" s="71" t="str">
        <x:v>https://github.com/darknigthmare/Yautja-hive-warriors/blob/0f37cc52f9d83a4abecc17b80f7bfc67701677cf/js/entities/ColonialMarines.js#L18-L49</x:v>
      </x:c>
      <x:c r="O110" s="71" t="str">
        <x:v>Créer une fiche d’unité, une IA de rôle, un équipement de période et une règle de sélection par théâtre. Les comportements ci-dessous sont des propositions de conception.</x:v>
      </x:c>
      <x:c r="P110" s="71" t="str">
        <x:v>Evacuation, survie et remise en route du habitat ; habitants distincts des soldats.</x:v>
      </x:c>
      <x:c r="Q110" s="71" t="str">
        <x:v>Groupes civils finis ; gardes originaux seulement si la variante le précise.</x:v>
      </x:c>
      <x:c r="R110" s="71" t="str">
        <x:v>X-H ; extension X-Y-H originale</x:v>
      </x:c>
      <x:c r="S110" s="71" t="str">
        <x:v>H-L08 — Lune des Spinners — nom à confirmer</x:v>
      </x:c>
      <x:c r="T110" s="71" t="str">
        <x:v>Nom exact de la lune à confirmer ; ne pas déduire un arsenal militaire de la fiche éditoriale.</x:v>
      </x:c>
      <x:c r="U110" s="71" t="str">
        <x:v>P1</x:v>
      </x:c>
    </x:row>
    <x:row r="111" ht="76.5" customHeight="1">
      <x:c r="A111" s="70" t="str">
        <x:v>HUM-031</x:v>
      </x:c>
      <x:c r="B111" s="70" t="str">
        <x:v>Synthétiques de fabrication humaine</x:v>
      </x:c>
      <x:c r="C111" s="70" t="str">
        <x:v>Thia — synthétique Weyland-Yutani</x:v>
      </x:c>
      <x:c r="D111" s="70" t="str">
        <x:v>Personnage synthétique unique</x:v>
      </x:c>
      <x:c r="E111" s="70" t="str">
        <x:v>Individu unique</x:v>
      </x:c>
      <x:c r="F111" s="70" t="str">
        <x:v>Predator: Badlands</x:v>
      </x:c>
      <x:c r="G111" s="70" t="str">
        <x:v>Film</x:v>
      </x:c>
      <x:c r="H111" s="70" t="str">
        <x:v>Predator / Badlands</x:v>
      </x:c>
      <x:c r="I111" s="70" t="str">
        <x:v>Attesté dans l’œuvre citée ; portée limitée à sa continuité</x:v>
      </x:c>
      <x:c r="J111" s="70" t="str">
        <x:v>Thia est une synthétique Weyland-Yutani endommagée qui accompagne Dek.</x:v>
      </x:c>
      <x:c r="K111" s="70" t="str">
        <x:v>H-S14 — Predator: Badlands — histoire et personnages
Disney+ ; Source primaire officielle
Portée : Genna, Dek et Thia, synthétique endommagée Weyland-Yutani ; aucune armée de clones déduite.
Consulté le 2026-10-26</x:v>
      </x:c>
      <x:c r="L111" s="77" t="str">
        <x:v>https://www.disneyplus.com/explore/articles/predator-badlands-movie</x:v>
      </x:c>
      <x:c r="M111" s="70" t="str">
        <x:v>Absent du registre de combat inspecté au commit figé ; contrôle statique, pas validation en jeu.</x:v>
      </x:c>
      <x:c r="N111" s="70" t="str">
        <x:v>https://github.com/darknigthmare/Yautja-hive-warriors/blob/0f37cc52f9d83a4abecc17b80f7bfc67701677cf/js/entities/Synthetics.js#L31-L49</x:v>
      </x:c>
      <x:c r="O111" s="70" t="str">
        <x:v>Créer une fiche d’unité, une IA de rôle, un équipement de période et une règle de sélection par théâtre. Les comportements ci-dessous sont des propositions de conception.</x:v>
      </x:c>
      <x:c r="P111" s="70" t="str">
        <x:v>Compagne de mission ; fonctions d’information et d’entraide à scénariser.</x:v>
      </x:c>
      <x:c r="Q111" s="70" t="str">
        <x:v>Une seule Thia ; aucune escouade de copies déduite.</x:v>
      </x:c>
      <x:c r="R111" s="70" t="str">
        <x:v>Y-H coopératif ; autres conflits uniquement variante originale</x:v>
      </x:c>
      <x:c r="S111" s="70" t="str">
        <x:v>Genna</x:v>
      </x:c>
      <x:c r="T111" s="70" t="str">
        <x:v>Affiliation Weyland-Yutani ne signifie pas hostilité automatique au joueur ; pas d’armée attribuée sans source.</x:v>
      </x:c>
      <x:c r="U111" s="70" t="str">
        <x:v>P1</x:v>
      </x:c>
    </x:row>
    <x:row r="112" ht="76.5" customHeight="1">
      <x:c r="A112" s="71" t="str">
        <x:v>HUM-032</x:v>
      </x:c>
      <x:c r="B112" s="71" t="str">
        <x:v>Humains et technologies humaines</x:v>
      </x:c>
      <x:c r="C112" s="71" t="str">
        <x:v>Theta</x:v>
      </x:c>
      <x:c r="D112" s="71" t="str">
        <x:v>Personnage humain unique / chasseuse de Yautja</x:v>
      </x:c>
      <x:c r="E112" s="71" t="str">
        <x:v>Individu unique</x:v>
      </x:c>
      <x:c r="F112" s="71" t="str">
        <x:v>Predator (2022) #1–2</x:v>
      </x:c>
      <x:c r="G112" s="71" t="str">
        <x:v>Comic</x:v>
      </x:c>
      <x:c r="H112" s="71" t="str">
        <x:v>Predator / série Marvel 2022</x:v>
      </x:c>
      <x:c r="I112" s="71" t="str">
        <x:v>Attesté dans l’œuvre citée ; portée limitée à sa continuité</x:v>
      </x:c>
      <x:c r="J112" s="71" t="str">
        <x:v>Theta traque le Yautja responsable de la mort de sa famille.</x:v>
      </x:c>
      <x:c r="K112" s="71" t="str">
        <x:v>H-S15 — Predator (2022) #1
Marvel ; Source primaire officielle
Portée : Theta poursuit le Yautja ayant tué sa famille ; personnage individuel.
Consulté le 2026-10-26</x:v>
      </x:c>
      <x:c r="L112" s="76" t="str">
        <x:v>https://www.marvel.com/comics/issue/89617/predator</x:v>
      </x:c>
      <x:c r="M112" s="71" t="str">
        <x:v>Absent du registre de combat inspecté au commit figé ; contrôle statique, pas validation en jeu.</x:v>
      </x:c>
      <x:c r="N112" s="71" t="str">
        <x:v>https://github.com/darknigthmare/Yautja-hive-warriors/blob/0f37cc52f9d83a4abecc17b80f7bfc67701677cf/js/entities/ColonialMarines.js#L18-L49</x:v>
      </x:c>
      <x:c r="O112" s="71" t="str">
        <x:v>Créer une fiche d’unité, une IA de rôle, un équipement de période et une règle de sélection par théâtre. Les comportements ci-dessous sont des propositions de conception.</x:v>
      </x:c>
      <x:c r="P112" s="71" t="str">
        <x:v>Adversaire ou interlocutrice d’une traque précise ; choix de fuite, de duel ou de négociation.</x:v>
      </x:c>
      <x:c r="Q112" s="71" t="str">
        <x:v>Une seule instance ; effectif d’avant-poste ajouté explicitement original.</x:v>
      </x:c>
      <x:c r="R112" s="71" t="str">
        <x:v>Y-H ; autres espèces seulement crossover annoncé</x:v>
      </x:c>
      <x:c r="S112" s="71" t="str">
        <x:v>H-L09 — Planète de toundra de Theta — nom non donné</x:v>
      </x:c>
      <x:c r="T112" s="71" t="str">
        <x:v>Pas de caste humaine de Theta, ni d’alliance imposée à toutes ses rencontres.</x:v>
      </x:c>
      <x:c r="U112" s="71" t="str">
        <x:v>P1</x:v>
      </x:c>
    </x:row>
    <x:row r="113" ht="90" customHeight="1">
      <x:c r="A113" s="70" t="str">
        <x:v>HUM-033</x:v>
      </x:c>
      <x:c r="B113" s="70" t="str">
        <x:v>Humains et technologies humaines</x:v>
      </x:c>
      <x:c r="C113" s="70" t="str">
        <x:v>Chasseurs comanches — Naru et Taabe</x:v>
      </x:c>
      <x:c r="D113" s="70" t="str">
        <x:v>Groupe humain et personnages uniques</x:v>
      </x:c>
      <x:c r="E113" s="70" t="str">
        <x:v>Personnages uniques + groupe humain de période</x:v>
      </x:c>
      <x:c r="F113" s="70" t="str">
        <x:v>Prey</x:v>
      </x:c>
      <x:c r="G113" s="70" t="str">
        <x:v>Film</x:v>
      </x:c>
      <x:c r="H113" s="70" t="str">
        <x:v>Predator / Prey, 1719</x:v>
      </x:c>
      <x:c r="I113" s="70" t="str">
        <x:v>Attesté dans l’œuvre citée ; portée limitée à sa continuité</x:v>
      </x:c>
      <x:c r="J113" s="70" t="str">
        <x:v>Naru et Taabe sont des chasseurs comanches du film.</x:v>
      </x:c>
      <x:c r="K11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3" s="77" t="str">
        <x:v>https://lumiere-a.akamaihd.net/v1/documents/prey_final_production_notes_bios_59_82be4e25.pdf</x:v>
      </x:c>
      <x:c r="M113" s="70" t="str">
        <x:v>Partiel — accessoires et interactions Naru/Taabe ; pas de profils PNJ complets établis.</x:v>
      </x:c>
      <x:c r="N113" s="70" t="str">
        <x:v>https://github.com/darknigthmare/Yautja-hive-warriors/blob/0f37cc52f9d83a4abecc17b80f7bfc67701677cf/js/entities/Environment.js#L15210-L15325</x:v>
      </x:c>
      <x:c r="O113" s="70" t="str">
        <x:v>Créer une fiche d’unité, une IA de rôle, un équipement de période et une règle de sélection par théâtre. Les comportements ci-dessous sont des propositions de conception.</x:v>
      </x:c>
      <x:c r="P113" s="70" t="str">
        <x:v>Pistage, secours et protection du camp ; duels individuels et terrain utile.</x:v>
      </x:c>
      <x:c r="Q113" s="70" t="str">
        <x:v>Naru et Taabe uniques ; groupe de chasse séparé des personnes du camp.</x:v>
      </x:c>
      <x:c r="R113" s="70" t="str">
        <x:v>Y-H ; H-H ; pas de Xénomorphes en reconstitution</x:v>
      </x:c>
      <x:c r="S113" s="70" t="str">
        <x:v>H-L10 ; LD-10</x:v>
      </x:c>
      <x:c r="T113" s="70" t="str">
        <x:v>Equipement de période ; identité culturelle ne définit pas une faction ennemie automatique.</x:v>
      </x:c>
      <x:c r="U113" s="70" t="str">
        <x:v>P1</x:v>
      </x:c>
    </x:row>
    <x:row r="114" ht="90" customHeight="1">
      <x:c r="A114" s="71" t="str">
        <x:v>HUM-034</x:v>
      </x:c>
      <x:c r="B114" s="71" t="str">
        <x:v>Humains et technologies humaines</x:v>
      </x:c>
      <x:c r="C114" s="71" t="str">
        <x:v>Trappeurs de Prey</x:v>
      </x:c>
      <x:c r="D114" s="71" t="str">
        <x:v>Groupe humain de période</x:v>
      </x:c>
      <x:c r="E114" s="71" t="str">
        <x:v>Profil commun à adapter ; nombres et formation proposés</x:v>
      </x:c>
      <x:c r="F114" s="71" t="str">
        <x:v>Prey</x:v>
      </x:c>
      <x:c r="G114" s="71" t="str">
        <x:v>Film</x:v>
      </x:c>
      <x:c r="H114" s="71" t="str">
        <x:v>Predator / Prey, 1719</x:v>
      </x:c>
      <x:c r="I114" s="71" t="str">
        <x:v>Attesté dans l’œuvre citée ; portée limitée à sa continuité</x:v>
      </x:c>
      <x:c r="J114" s="71" t="str">
        <x:v>Les notes de production décrivent les trappeurs du film.</x:v>
      </x:c>
      <x:c r="K114" s="71"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4" s="76" t="str">
        <x:v>https://lumiere-a.akamaihd.net/v1/documents/prey_final_production_notes_bios_59_82be4e25.pdf</x:v>
      </x:c>
      <x:c r="M114" s="71" t="str">
        <x:v>Absent du registre de combat inspecté au commit figé ; contrôle statique, pas validation en jeu.</x:v>
      </x:c>
      <x:c r="N114" s="71" t="str">
        <x:v>https://github.com/darknigthmare/Yautja-hive-warriors/blob/0f37cc52f9d83a4abecc17b80f7bfc67701677cf/js/entities/ColonialMarines.js#L18-L49</x:v>
      </x:c>
      <x:c r="O114" s="71" t="str">
        <x:v>Créer une fiche d’unité, une IA de rôle, un équipement de période et une règle de sélection par théâtre. Les comportements ci-dessous sont des propositions de conception.</x:v>
      </x:c>
      <x:c r="P114" s="71" t="str">
        <x:v>Camp, capture, poursuite et rechargement ; liens avec pistes et ravitaillement.</x:v>
      </x:c>
      <x:c r="Q114" s="71" t="str">
        <x:v>Petits groupes finis ; quantité du film à relever pour une reconstitution.</x:v>
      </x:c>
      <x:c r="R114" s="71" t="str">
        <x:v>Y-H ; H-H ; X seulement variante explicitement originale</x:v>
      </x:c>
      <x:c r="S114" s="71" t="str">
        <x:v>H-L10 ; LD-10</x:v>
      </x:c>
      <x:c r="T114" s="71" t="str">
        <x:v>Pas de fusils automatiques, de Marines ou de robots par défaut.</x:v>
      </x:c>
      <x:c r="U114" s="71" t="str">
        <x:v>P1</x:v>
      </x:c>
    </x:row>
    <x:row r="115" ht="76.5" customHeight="1">
      <x:c r="A115" s="70" t="str">
        <x:v>HUM-035</x:v>
      </x:c>
      <x:c r="B115" s="70" t="str">
        <x:v>Humains et technologies humaines</x:v>
      </x:c>
      <x:c r="C115" s="70" t="str">
        <x:v>Lynch, Dynamic et Threshold</x:v>
      </x:c>
      <x:c r="D115" s="70" t="str">
        <x:v>Corporations attestées, roster militaire non confirmé</x:v>
      </x:c>
      <x:c r="E115" s="70" t="str">
        <x:v>Exclu du spawn tant que le roster reste non sourcé</x:v>
      </x:c>
      <x:c r="F115" s="70" t="str">
        <x:v>Alien: Earth</x:v>
      </x:c>
      <x:c r="G115" s="70" t="str">
        <x:v>Série</x:v>
      </x:c>
      <x:c r="H115" s="70" t="str">
        <x:v>Alien / Earth, 2120</x:v>
      </x:c>
      <x:c r="I115" s="70" t="str">
        <x:v>Existence des corporations confirmée ; unités non documentées</x:v>
      </x:c>
      <x:c r="J115" s="70" t="str">
        <x:v>Lynch, Dynamic et Threshold font partie des cinq corporations.</x:v>
      </x:c>
      <x:c r="K115" s="70" t="str">
        <x:v>H-S09 — Alien: Earth — présentation de la série
ABC / Disney ; Source primaire officielle
Portée : Année 2120, cinq corporations, cyborgs/synthétiques/hybrides, Maginot et Prodigy City.
Consulté le 2026-10-26</x:v>
      </x:c>
      <x:c r="L115" s="77" t="str">
        <x:v>https://abc.com/show/95f00a9c-4cd4-4307-8eac-1485d9e439ea/about-the-show</x:v>
      </x:c>
      <x:c r="M115" s="70" t="str">
        <x:v>Absent du registre de combat inspecté au commit figé ; contrôle statique, pas validation en jeu.</x:v>
      </x:c>
      <x:c r="N115" s="70" t="str">
        <x:v>https://github.com/darknigthmare/Yautja-hive-warriors/blob/0f37cc52f9d83a4abecc17b80f7bfc67701677cf/js/entities/ColonialMarines.js#L18-L49</x:v>
      </x:c>
      <x:c r="O115" s="70" t="str">
        <x:v>Créer une fiche d’unité, une IA de rôle, un équipement de période et une règle de sélection par théâtre. Les comportements ci-dessous sont des propositions de conception.</x:v>
      </x:c>
      <x:c r="P115" s="70" t="str">
        <x:v>Réserve de recherche pour diplomatie et contrats ; aucun soldat spécifique validé par leur seul nom.</x:v>
      </x:c>
      <x:c r="Q115" s="70" t="str">
        <x:v>Aucune unité autorisée sans source supplémentaire.</x:v>
      </x:c>
      <x:c r="R115" s="70" t="str">
        <x:v>Non défini : données de faction à compléter</x:v>
      </x:c>
      <x:c r="S115" s="70" t="str">
        <x:v>H-L05 — Prodigy City et épave de l’USCSS Maginot</x:v>
      </x:c>
      <x:c r="T115" s="70" t="str">
        <x:v>Ne pas inventer une armée canonique, une hiérarchie ou un équipement à partir d’un nom d’entreprise.</x:v>
      </x:c>
      <x:c r="U115" s="70" t="str">
        <x:v>P2</x:v>
      </x:c>
    </x:row>
    <x:row r="116" ht="103.5" customHeight="1">
      <x:c r="A116" s="71" t="str">
        <x:v>HUM-036</x:v>
      </x:c>
      <x:c r="B116" s="71" t="str">
        <x:v>Humains et technologies humaines</x:v>
      </x:c>
      <x:c r="C116" s="71" t="str">
        <x:v>Sniper — Extinction</x:v>
      </x:c>
      <x:c r="D116" s="71" t="str">
        <x:v>Classe humaine de jeu</x:v>
      </x:c>
      <x:c r="E116" s="71" t="str">
        <x:v>Profil commun à adapter ; nombres et formation proposés</x:v>
      </x:c>
      <x:c r="F116" s="71" t="str">
        <x:v>Aliens Versus Predator: Extinction</x:v>
      </x:c>
      <x:c r="G116" s="71" t="str">
        <x:v>Jeu</x:v>
      </x:c>
      <x:c r="H116" s="71" t="str">
        <x:v>AVP / Extinction</x:v>
      </x:c>
      <x:c r="I116" s="71" t="str">
        <x:v>Attesté dans l’œuvre citée ; portée limitée à sa continuité</x:v>
      </x:c>
      <x:c r="J116" s="71" t="str">
        <x:v>Sniper figure au roster humain.</x:v>
      </x:c>
      <x:c r="K11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6" s="76" t="str">
        <x:v>https://gamingalexandria.com/ps2/Aliens%20Versus%20Predator%20Extinction/Aliens%20Versus%20Predator%20Extinction%20-%20Manual.pdf</x:v>
      </x:c>
      <x:c r="M116" s="71" t="str">
        <x:v>Absent du registre de combat inspecté au commit figé ; contrôle statique, pas validation en jeu.</x:v>
      </x:c>
      <x:c r="N116" s="71" t="str">
        <x:v>https://github.com/darknigthmare/Yautja-hive-warriors/blob/0f37cc52f9d83a4abecc17b80f7bfc67701677cf/js/entities/ColonialMarines.js#L18-L49</x:v>
      </x:c>
      <x:c r="O116" s="71" t="str">
        <x:v>Créer une fiche d’unité, une IA de rôle, un équipement de période et une règle de sélection par théâtre. Les comportements ci-dessous sont des propositions de conception.</x:v>
      </x:c>
      <x:c r="P116" s="71" t="str">
        <x:v>Tireur spécialisé de couverture ; adaptation tactique à développer et à profiler.</x:v>
      </x:c>
      <x:c r="Q116" s="71" t="str">
        <x:v>Profil intégré à une section ; pilote compté comme combattant, véhicule comme matériel séparé si applicable.</x:v>
      </x:c>
      <x:c r="R116" s="71" t="str">
        <x:v>X-H ; Y-H ; X-Y-H</x:v>
      </x:c>
      <x:c r="S116" s="71" t="str">
        <x:v>Théâtre original AVP du futur</x:v>
      </x:c>
      <x:c r="T116" s="71" t="str">
        <x:v>Preset AVP: Extinction uniquement par défaut ; sélectionner un rôle dans le groupe sans ajouter son effectif au budget. Aucun arbre d’amélioration transformé en biologie ou loi de la franchise.</x:v>
      </x:c>
      <x:c r="U116" s="71" t="str">
        <x:v>P1</x:v>
      </x:c>
    </x:row>
    <x:row r="117" ht="103.5" customHeight="1">
      <x:c r="A117" s="70" t="str">
        <x:v>HUM-037</x:v>
      </x:c>
      <x:c r="B117" s="70" t="str">
        <x:v>Humains et technologies humaines</x:v>
      </x:c>
      <x:c r="C117" s="70" t="str">
        <x:v>Medic — Extinction</x:v>
      </x:c>
      <x:c r="D117" s="70" t="str">
        <x:v>Classe humaine de jeu</x:v>
      </x:c>
      <x:c r="E117" s="70" t="str">
        <x:v>Profil commun à adapter ; nombres et formation proposés</x:v>
      </x:c>
      <x:c r="F117" s="70" t="str">
        <x:v>Aliens Versus Predator: Extinction</x:v>
      </x:c>
      <x:c r="G117" s="70" t="str">
        <x:v>Jeu</x:v>
      </x:c>
      <x:c r="H117" s="70" t="str">
        <x:v>AVP / Extinction</x:v>
      </x:c>
      <x:c r="I117" s="70" t="str">
        <x:v>Attesté dans l’œuvre citée ; portée limitée à sa continuité</x:v>
      </x:c>
      <x:c r="J117" s="70" t="str">
        <x:v>Medic figure au roster humain.</x:v>
      </x:c>
      <x:c r="K11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7" s="77" t="str">
        <x:v>https://gamingalexandria.com/ps2/Aliens%20Versus%20Predator%20Extinction/Aliens%20Versus%20Predator%20Extinction%20-%20Manual.pdf</x:v>
      </x:c>
      <x:c r="M117" s="70" t="str">
        <x:v>Absent du registre de combat inspecté au commit figé ; contrôle statique, pas validation en jeu.</x:v>
      </x:c>
      <x:c r="N117" s="70" t="str">
        <x:v>https://github.com/darknigthmare/Yautja-hive-warriors/blob/0f37cc52f9d83a4abecc17b80f7bfc67701677cf/js/entities/ColonialMarines.js#L18-L49</x:v>
      </x:c>
      <x:c r="O117" s="70" t="str">
        <x:v>Créer une fiche d’unité, une IA de rôle, un équipement de période et une règle de sélection par théâtre. Les comportements ci-dessous sont des propositions de conception.</x:v>
      </x:c>
      <x:c r="P117" s="70" t="str">
        <x:v>Secours médical de section ; adaptation tactique à développer et à profiler.</x:v>
      </x:c>
      <x:c r="Q117" s="70" t="str">
        <x:v>Profil intégré à une section ; pilote compté comme combattant, véhicule comme matériel séparé si applicable.</x:v>
      </x:c>
      <x:c r="R117" s="70" t="str">
        <x:v>X-H ; Y-H ; X-Y-H</x:v>
      </x:c>
      <x:c r="S117" s="70" t="str">
        <x:v>Théâtre original AVP du futur</x:v>
      </x:c>
      <x:c r="T117" s="70" t="str">
        <x:v>Preset AVP: Extinction uniquement par défaut ; sélectionner un rôle dans le groupe sans ajouter son effectif au budget. Aucun arbre d’amélioration transformé en biologie ou loi de la franchise.</x:v>
      </x:c>
      <x:c r="U117" s="70" t="str">
        <x:v>P1</x:v>
      </x:c>
    </x:row>
    <x:row r="118" ht="103.5" customHeight="1">
      <x:c r="A118" s="71" t="str">
        <x:v>HUM-038</x:v>
      </x:c>
      <x:c r="B118" s="71" t="str">
        <x:v>Humains et technologies humaines</x:v>
      </x:c>
      <x:c r="C118" s="71" t="str">
        <x:v>CommTech — Extinction</x:v>
      </x:c>
      <x:c r="D118" s="71" t="str">
        <x:v>Classe humaine de jeu</x:v>
      </x:c>
      <x:c r="E118" s="71" t="str">
        <x:v>Profil commun à adapter ; nombres et formation proposés</x:v>
      </x:c>
      <x:c r="F118" s="71" t="str">
        <x:v>Aliens Versus Predator: Extinction</x:v>
      </x:c>
      <x:c r="G118" s="71" t="str">
        <x:v>Jeu</x:v>
      </x:c>
      <x:c r="H118" s="71" t="str">
        <x:v>AVP / Extinction</x:v>
      </x:c>
      <x:c r="I118" s="71" t="str">
        <x:v>Attesté dans l’œuvre citée ; portée limitée à sa continuité</x:v>
      </x:c>
      <x:c r="J118" s="71" t="str">
        <x:v>CommTech figure au roster humain.</x:v>
      </x:c>
      <x:c r="K11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8" s="76" t="str">
        <x:v>https://gamingalexandria.com/ps2/Aliens%20Versus%20Predator%20Extinction/Aliens%20Versus%20Predator%20Extinction%20-%20Manual.pdf</x:v>
      </x:c>
      <x:c r="M118" s="71" t="str">
        <x:v>Absent du registre de combat inspecté au commit figé ; contrôle statique, pas validation en jeu.</x:v>
      </x:c>
      <x:c r="N118" s="71" t="str">
        <x:v>https://github.com/darknigthmare/Yautja-hive-warriors/blob/0f37cc52f9d83a4abecc17b80f7bfc67701677cf/js/entities/ColonialMarines.js#L18-L49</x:v>
      </x:c>
      <x:c r="O118" s="71" t="str">
        <x:v>Créer une fiche d’unité, une IA de rôle, un équipement de période et une règle de sélection par théâtre. Les comportements ci-dessous sont des propositions de conception.</x:v>
      </x:c>
      <x:c r="P118" s="71" t="str">
        <x:v>Communications et logistique ; adaptation tactique à développer et à profiler.</x:v>
      </x:c>
      <x:c r="Q118" s="71" t="str">
        <x:v>Profil intégré à une section ; pilote compté comme combattant, véhicule comme matériel séparé si applicable.</x:v>
      </x:c>
      <x:c r="R118" s="71" t="str">
        <x:v>X-H ; Y-H ; X-Y-H</x:v>
      </x:c>
      <x:c r="S118" s="71" t="str">
        <x:v>Théâtre original AVP du futur</x:v>
      </x:c>
      <x:c r="T118" s="71" t="str">
        <x:v>Preset AVP: Extinction uniquement par défaut ; sélectionner un rôle dans le groupe sans ajouter son effectif au budget. Aucun arbre d’amélioration transformé en biologie ou loi de la franchise.</x:v>
      </x:c>
      <x:c r="U118" s="71" t="str">
        <x:v>P1</x:v>
      </x:c>
    </x:row>
    <x:row r="119" ht="103.5" customHeight="1">
      <x:c r="A119" s="70" t="str">
        <x:v>HUM-039</x:v>
      </x:c>
      <x:c r="B119" s="70" t="str">
        <x:v>Synthétiques de fabrication humaine</x:v>
      </x:c>
      <x:c r="C119" s="70" t="str">
        <x:v>Synthetic — Extinction</x:v>
      </x:c>
      <x:c r="D119" s="70" t="str">
        <x:v>Classe synthétique de jeu</x:v>
      </x:c>
      <x:c r="E119" s="70" t="str">
        <x:v>Profil commun à adapter ; nombres et formation proposés</x:v>
      </x:c>
      <x:c r="F119" s="70" t="str">
        <x:v>Aliens Versus Predator: Extinction</x:v>
      </x:c>
      <x:c r="G119" s="70" t="str">
        <x:v>Jeu</x:v>
      </x:c>
      <x:c r="H119" s="70" t="str">
        <x:v>AVP / Extinction</x:v>
      </x:c>
      <x:c r="I119" s="70" t="str">
        <x:v>Attesté dans l’œuvre citée ; portée limitée à sa continuité</x:v>
      </x:c>
      <x:c r="J119" s="70" t="str">
        <x:v>Synthetic figure au roster humain.</x:v>
      </x:c>
      <x:c r="K11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19" s="77" t="str">
        <x:v>https://gamingalexandria.com/ps2/Aliens%20Versus%20Predator%20Extinction/Aliens%20Versus%20Predator%20Extinction%20-%20Manual.pdf</x:v>
      </x:c>
      <x:c r="M119" s="70" t="str">
        <x:v>Absent du registre de combat inspecté au commit figé ; contrôle statique, pas validation en jeu.</x:v>
      </x:c>
      <x:c r="N119" s="70" t="str">
        <x:v>https://github.com/darknigthmare/Yautja-hive-warriors/blob/0f37cc52f9d83a4abecc17b80f7bfc67701677cf/js/entities/Synthetics.js#L31-L49</x:v>
      </x:c>
      <x:c r="O119" s="70" t="str">
        <x:v>Créer une fiche d’unité, une IA de rôle, un équipement de période et une règle de sélection par théâtre. Les comportements ci-dessous sont des propositions de conception.</x:v>
      </x:c>
      <x:c r="P119" s="70" t="str">
        <x:v>Support robotique de section ; adaptation tactique à développer et à profiler.</x:v>
      </x:c>
      <x:c r="Q119" s="70" t="str">
        <x:v>Profil intégré à une section ; pilote compté comme combattant, véhicule comme matériel séparé si applicable.</x:v>
      </x:c>
      <x:c r="R119" s="70" t="str">
        <x:v>X-H ; Y-H ; X-Y-H</x:v>
      </x:c>
      <x:c r="S119" s="70" t="str">
        <x:v>Théâtre original AVP du futur</x:v>
      </x:c>
      <x:c r="T119" s="70" t="str">
        <x:v>Preset AVP: Extinction uniquement par défaut ; sélectionner un rôle dans le groupe sans ajouter son effectif au budget. Aucun arbre d’amélioration transformé en biologie ou loi de la franchise.</x:v>
      </x:c>
      <x:c r="U119" s="70" t="str">
        <x:v>P1</x:v>
      </x:c>
    </x:row>
    <x:row r="120" ht="103.5" customHeight="1">
      <x:c r="A120" s="71" t="str">
        <x:v>HUM-040</x:v>
      </x:c>
      <x:c r="B120" s="71" t="str">
        <x:v>Humains et technologies humaines</x:v>
      </x:c>
      <x:c r="C120" s="71" t="str">
        <x:v>Exosuit — Extinction</x:v>
      </x:c>
      <x:c r="D120" s="71" t="str">
        <x:v>Matériel piloté / classe de jeu</x:v>
      </x:c>
      <x:c r="E120" s="71" t="str">
        <x:v>Profil commun à adapter ; nombres et formation proposés</x:v>
      </x:c>
      <x:c r="F120" s="71" t="str">
        <x:v>Aliens Versus Predator: Extinction</x:v>
      </x:c>
      <x:c r="G120" s="71" t="str">
        <x:v>Jeu</x:v>
      </x:c>
      <x:c r="H120" s="71" t="str">
        <x:v>AVP / Extinction</x:v>
      </x:c>
      <x:c r="I120" s="71" t="str">
        <x:v>Attesté dans l’œuvre citée ; portée limitée à sa continuité</x:v>
      </x:c>
      <x:c r="J120" s="71" t="str">
        <x:v>Exosuit figure au roster humain.</x:v>
      </x:c>
      <x:c r="K12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0" s="76" t="str">
        <x:v>https://gamingalexandria.com/ps2/Aliens%20Versus%20Predator%20Extinction/Aliens%20Versus%20Predator%20Extinction%20-%20Manual.pdf</x:v>
      </x:c>
      <x:c r="M120" s="71" t="str">
        <x:v>Absent du registre de combat inspecté au commit figé ; contrôle statique, pas validation en jeu.</x:v>
      </x:c>
      <x:c r="N120" s="71" t="str">
        <x:v>https://github.com/darknigthmare/Yautja-hive-warriors/blob/0f37cc52f9d83a4abecc17b80f7bfc67701677cf/js/entities/ColonialMarines.js#L18-L49</x:v>
      </x:c>
      <x:c r="O120" s="71" t="str">
        <x:v>Créer une fiche d’unité, une IA de rôle, un équipement de période et une règle de sélection par théâtre. Les comportements ci-dessous sont des propositions de conception.</x:v>
      </x:c>
      <x:c r="P120" s="71" t="str">
        <x:v>Plateforme pilotée lourde ; adaptation tactique à développer et à profiler.</x:v>
      </x:c>
      <x:c r="Q120" s="71" t="str">
        <x:v>Profil intégré à une section ; pilote compté comme combattant, véhicule comme matériel séparé si applicable.</x:v>
      </x:c>
      <x:c r="R120" s="71" t="str">
        <x:v>X-H ; Y-H ; X-Y-H</x:v>
      </x:c>
      <x:c r="S120" s="71" t="str">
        <x:v>Théâtre original AVP du futur</x:v>
      </x:c>
      <x:c r="T120" s="71" t="str">
        <x:v>Preset AVP: Extinction uniquement par défaut ; sélectionner un rôle dans le groupe sans ajouter son effectif au budget. Aucun arbre d’amélioration transformé en biologie ou loi de la franchise.</x:v>
      </x:c>
      <x:c r="U120" s="71" t="str">
        <x:v>P2</x:v>
      </x:c>
    </x:row>
    <x:row r="121" ht="103.5" customHeight="1">
      <x:c r="A121" s="70" t="str">
        <x:v>HUM-041</x:v>
      </x:c>
      <x:c r="B121" s="70" t="str">
        <x:v>Humains et technologies humaines</x:v>
      </x:c>
      <x:c r="C121" s="70" t="str">
        <x:v>SADAR — Extinction</x:v>
      </x:c>
      <x:c r="D121" s="70" t="str">
        <x:v>Classe humaine de jeu</x:v>
      </x:c>
      <x:c r="E121" s="70" t="str">
        <x:v>Profil commun à adapter ; nombres et formation proposés</x:v>
      </x:c>
      <x:c r="F121" s="70" t="str">
        <x:v>Aliens Versus Predator: Extinction</x:v>
      </x:c>
      <x:c r="G121" s="70" t="str">
        <x:v>Jeu</x:v>
      </x:c>
      <x:c r="H121" s="70" t="str">
        <x:v>AVP / Extinction</x:v>
      </x:c>
      <x:c r="I121" s="70" t="str">
        <x:v>Attesté dans l’œuvre citée ; portée limitée à sa continuité</x:v>
      </x:c>
      <x:c r="J121" s="70" t="str">
        <x:v>SADAR figure au roster humain.</x:v>
      </x:c>
      <x:c r="K121"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121" s="77" t="str">
        <x:v>https://gamingalexandria.com/ps2/Aliens%20Versus%20Predator%20Extinction/Aliens%20Versus%20Predator%20Extinction%20-%20Manual.pdf</x:v>
      </x:c>
      <x:c r="M121" s="70" t="str">
        <x:v>Absent du registre de combat inspecté au commit figé ; contrôle statique, pas validation en jeu.</x:v>
      </x:c>
      <x:c r="N121" s="70" t="str">
        <x:v>https://github.com/darknigthmare/Yautja-hive-warriors/blob/0f37cc52f9d83a4abecc17b80f7bfc67701677cf/js/entities/ColonialMarines.js#L18-L49</x:v>
      </x:c>
      <x:c r="O121" s="70" t="str">
        <x:v>Créer une fiche d’unité, une IA de rôle, un équipement de période et une règle de sélection par théâtre. Les comportements ci-dessous sont des propositions de conception.</x:v>
      </x:c>
      <x:c r="P121" s="70" t="str">
        <x:v>Spécialiste de frappe antiblindage ; adaptation tactique à développer et à profiler.</x:v>
      </x:c>
      <x:c r="Q121" s="70" t="str">
        <x:v>Profil intégré à une section ; pilote compté comme combattant, véhicule comme matériel séparé si applicable.</x:v>
      </x:c>
      <x:c r="R121" s="70" t="str">
        <x:v>X-H ; Y-H ; X-Y-H</x:v>
      </x:c>
      <x:c r="S121" s="70" t="str">
        <x:v>Théâtre original AVP du futur</x:v>
      </x:c>
      <x:c r="T121" s="70" t="str">
        <x:v>Preset AVP: Extinction uniquement par défaut ; sélectionner un rôle dans le groupe sans ajouter son effectif au budget. Aucun arbre d’amélioration transformé en biologie ou loi de la franchise.</x:v>
      </x:c>
      <x:c r="U121" s="70" t="str">
        <x:v>P1</x:v>
      </x:c>
    </x:row>
  </x:sheetData>
  <x:conditionalFormatting sqref="U7:U121">
    <x:cfRule type="cellIs" dxfId="52" priority="1" operator="equal">
      <x:formula>"P0"</x:formula>
    </x:cfRule>
    <x:cfRule type="cellIs" dxfId="53" priority="2" operator="equal">
      <x:formula>"P1"</x:formula>
    </x:cfRule>
    <x:cfRule type="cellIs" dxfId="54" priority="3" operator="equal">
      <x:formula>"P2"</x:formula>
    </x:cfRule>
  </x:conditionalFormatting>
  <x:dataValidations count="1">
    <x:dataValidation type="list" sqref="U7:U121">
      <x:formula1>"P0,P1,P2,P3"</x:formula1>
    </x:dataValidation>
  </x:dataValidations>
  <x:pageMargins left="0.7" right="0.7" top="0.75" bottom="0.75" header="0.3" footer="0.3"/>
  <x:tableParts count="1">
    <x:tablePart xmlns:r="http://schemas.openxmlformats.org/officeDocument/2006/relationships" r:id="Rd33c984047684c00"/>
  </x:tableParts>
</x:worksheet>
</file>

<file path=xl/worksheets/sheet15.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49" hidden="0" customWidth="1"/>
    <x:col min="4" max="4" width="22" hidden="0" customWidth="1"/>
    <x:col min="5" max="5" width="69" hidden="0" customWidth="1"/>
    <x:col min="6" max="6" width="32" hidden="0" customWidth="1"/>
    <x:col min="7" max="7" width="86" hidden="0" customWidth="1"/>
    <x:col min="8" max="8" width="75" hidden="0" customWidth="1"/>
    <x:col min="9" max="9" width="70" hidden="0" customWidth="1"/>
    <x:col min="10" max="10" width="72" hidden="0" customWidth="1"/>
    <x:col min="11" max="11" width="96" hidden="0" customWidth="1"/>
    <x:col min="12" max="12" width="97" hidden="0" customWidth="1"/>
  </x:cols>
  <x:sheetData>
    <x:row r="1" ht="12" customHeight="1">
      <x:c r="A1" s="78"/>
      <x:c r="B1" s="78"/>
      <x:c r="C1" s="78"/>
      <x:c r="D1" s="78"/>
      <x:c r="E1" s="78"/>
      <x:c r="F1" s="78"/>
      <x:c r="G1" s="78"/>
      <x:c r="H1" s="78"/>
      <x:c r="I1" s="78"/>
      <x:c r="J1" s="78"/>
      <x:c r="K1" s="78"/>
      <x:c r="L1" s="78"/>
    </x:row>
    <x:row r="2" ht="29" customHeight="1">
      <x:c r="A2" s="79" t="str">
        <x:v>Références de lieux et conditions d’adaptation</x:v>
      </x:c>
      <x:c r="B2" s="78"/>
      <x:c r="C2" s="78"/>
      <x:c r="D2" s="78"/>
      <x:c r="E2" s="78"/>
      <x:c r="F2" s="78"/>
      <x:c r="G2" s="78"/>
      <x:c r="H2" s="78"/>
      <x:c r="I2" s="78"/>
      <x:c r="J2" s="78"/>
      <x:c r="K2" s="78"/>
      <x:c r="L2" s="78"/>
    </x:row>
    <x:row r="3" ht="8" customHeight="1">
      <x:c r="A3" s="80"/>
      <x:c r="B3" s="80"/>
      <x:c r="C3" s="80"/>
      <x:c r="D3" s="80"/>
      <x:c r="E3" s="80"/>
      <x:c r="F3" s="80"/>
      <x:c r="G3" s="80"/>
      <x:c r="H3" s="80"/>
      <x:c r="I3" s="80"/>
      <x:c r="J3" s="80"/>
      <x:c r="K3" s="80"/>
      <x:c r="L3" s="80"/>
    </x:row>
    <x:row r="4">
      <x:c r="A4" s="81" t="str">
        <x:v>Plusieurs références peuvent décrire un même site. La provenance ne certifie pas la topographie jouable ; implantation et affrontements doivent respecter l’œuvre et sa continuité.</x:v>
      </x:c>
      <x:c r="B4" s="78"/>
      <x:c r="C4" s="78"/>
      <x:c r="D4" s="78"/>
      <x:c r="E4" s="78"/>
      <x:c r="F4" s="78"/>
      <x:c r="G4" s="78"/>
      <x:c r="H4" s="78"/>
      <x:c r="I4" s="78"/>
      <x:c r="J4" s="78"/>
      <x:c r="K4" s="78"/>
      <x:c r="L4" s="78"/>
    </x:row>
    <x:row r="5">
      <x:c r="A5" s="94" t="str">
        <x:v>27 lignes</x:v>
      </x:c>
      <x:c r="B5" s="78"/>
      <x:c r="C5" s="78"/>
      <x:c r="D5" s="78"/>
      <x:c r="E5" s="78"/>
      <x:c r="F5" s="78"/>
      <x:c r="G5" s="78"/>
      <x:c r="H5" s="78"/>
      <x:c r="I5" s="78"/>
      <x:c r="J5" s="78"/>
      <x:c r="K5" s="78"/>
      <x:c r="L5" s="78"/>
    </x:row>
    <x:row r="6" ht="36" customHeight="1">
      <x:c r="A6" s="91" t="str">
        <x:v>ID</x:v>
      </x:c>
      <x:c r="B6" s="92" t="str">
        <x:v>Lieu documenté</x:v>
      </x:c>
      <x:c r="C6" s="92" t="str">
        <x:v>Œuvre de référence</x:v>
      </x:c>
      <x:c r="D6" s="92" t="str">
        <x:v>Média</x:v>
      </x:c>
      <x:c r="E6" s="92" t="str">
        <x:v>Continuité / périmètre</x:v>
      </x:c>
      <x:c r="F6" s="92" t="str">
        <x:v>Niveau de preuve</x:v>
      </x:c>
      <x:c r="G6" s="92" t="str">
        <x:v>Fait établi par la source</x:v>
      </x:c>
      <x:c r="H6" s="92" t="str">
        <x:v>Source et portée</x:v>
      </x:c>
      <x:c r="I6" s="92" t="str">
        <x:v>URL de la source</x:v>
      </x:c>
      <x:c r="J6" s="92" t="str">
        <x:v>Affrontements compatibles</x:v>
      </x:c>
      <x:c r="K6" s="92" t="str">
        <x:v>Implantation proposée</x:v>
      </x:c>
      <x:c r="L6" s="93" t="str">
        <x:v>Restrictions de cohérence</x:v>
      </x:c>
    </x:row>
    <x:row r="7" ht="103.5" customHeight="1">
      <x:c r="A7" s="70" t="str">
        <x:v>X-L01</x:v>
      </x:c>
      <x:c r="B7" s="70" t="str">
        <x:v>LV-742 — zones de guerre d’Extinction</x:v>
      </x:c>
      <x:c r="C7" s="70" t="str">
        <x:v>Aliens versus Predator: Extinction</x:v>
      </x:c>
      <x:c r="D7" s="70" t="str">
        <x:v>Jeu</x:v>
      </x:c>
      <x:c r="E7" s="70" t="str">
        <x:v>Théâtre du RTS AVP.</x:v>
      </x:c>
      <x:c r="F7" s="70" t="str">
        <x:v>Lieu confirmé dans la source ; géométrie, dimensions et fronts proposés</x:v>
      </x:c>
      <x:c r="G7" s="70" t="str">
        <x:v>LV-742 réunit Marines, Aliens et Predators.</x:v>
      </x:c>
      <x:c r="H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I7" s="77" t="str">
        <x:v>https://gamingalexandria.com/ps2/Aliens%20Versus%20Predator%20Extinction/Aliens%20Versus%20Predator%20Extinction%20-%20Manual.pdf</x:v>
      </x:c>
      <x:c r="J7" s="70" t="str">
        <x:v>X/Y/H natif ; rivalités internes seulement si établies par l’opération.</x:v>
      </x:c>
      <x:c r="K7" s="70" t="str">
        <x:v>Proposition originale de level design : macro-carte 1 400 × 1 000 m ; trois fronts reliés : colonie/atmos, route forestière, ruche/cavernes ; une boucle logistique et deux routes de contournement par front.</x:v>
      </x:c>
      <x:c r="L7" s="70" t="str">
        <x:v>Dimensions et tracé proposés, non extraits du jeu. Filtrer les castes sur le profil Extinction ; aucun ajout automatique du roster Pathogen ou des individus de films.</x:v>
      </x:c>
    </x:row>
    <x:row r="8" ht="90" customHeight="1">
      <x:c r="A8" s="71" t="str">
        <x:v>X-L02</x:v>
      </x:c>
      <x:c r="B8" s="71" t="str">
        <x:v>Katanga — secteur industriel</x:v>
      </x:c>
      <x:c r="C8" s="71" t="str">
        <x:v>Aliens: Fireteam Elite</x:v>
      </x:c>
      <x:c r="D8" s="71" t="str">
        <x:v>Jeu</x:v>
      </x:c>
      <x:c r="E8" s="71" t="str">
        <x:v>Cadre de la campagne de base Fireteam Elite.</x:v>
      </x:c>
      <x:c r="F8" s="71" t="str">
        <x:v>Lieu confirmé dans la source ; géométrie, dimensions et fronts proposés</x:v>
      </x:c>
      <x:c r="G8" s="71" t="str">
        <x:v>Les développeurs situent une partie de la campagne sur Katanga.</x:v>
      </x:c>
      <x:c r="H8"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I8" s="76" t="str">
        <x:v>https://www.aliensfireteamelite.com/en/community/pathogen-deep-dive-an-exhilarating-new-story/</x:v>
      </x:c>
      <x:c r="J8" s="71" t="str">
        <x:v>X/H natif ; X/Y/H en opération crossover déclarée.</x:v>
      </x:c>
      <x:c r="K8" s="71" t="str">
        <x:v>Proposition originale de level design : installation 900 × 600 m distribuée sur trois niveaux ; fronts docks, production, évacuation ; passerelles reliées par ascenseurs doublés de rampes ; conduits utilisables par groupes compatibles.</x:v>
      </x:c>
      <x:c r="L8" s="71" t="str">
        <x:v>Géométrie proposée ; ne pas présenter un plan fidèle 1:1. Plafonner les acteurs actifs dans les couloirs et simuler les autres fronts à distance.</x:v>
      </x:c>
    </x:row>
    <x:row r="9" ht="171" customHeight="1">
      <x:c r="A9" s="70" t="str">
        <x:v>X-L03</x:v>
      </x:c>
      <x:c r="B9" s="70" t="str">
        <x:v>LV-895 — ruines des Engineers et foyer Pathogen</x:v>
      </x:c>
      <x:c r="C9" s="70" t="str">
        <x:v>Aliens: Fireteam Elite — Pathogen</x:v>
      </x:c>
      <x:c r="D9" s="70" t="str">
        <x:v>Jeu</x:v>
      </x:c>
      <x:c r="E9" s="70" t="str">
        <x:v>Campagne Pathogen après les missions initiales.</x:v>
      </x:c>
      <x:c r="F9" s="70" t="str">
        <x:v>Lieu confirmé dans la source ; géométrie, dimensions et fronts proposés</x:v>
      </x:c>
      <x:c r="G9" s="70" t="str">
        <x:v>L’expansion explore des ruines d’Engineers et une ruche infectée sur LV-895.</x:v>
      </x:c>
      <x:c r="H9"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
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x:v>
      </x:c>
      <x:c r="I9" s="77" t="str">
        <x:v>https://www.aliensfireteamelite.com/en/community/pathogen-deep-dive-an-exhilarating-new-story/
https://news.xbox.com/en-us/2022/08/30/the-aliens-fireteam-elite-pathogen-expansion-is-available-now/</x:v>
      </x:c>
      <x:c r="J9" s="70" t="str">
        <x:v>H/X/Pathogen ; ajouter Yautja impose une adaptation annoncée.</x:v>
      </x:c>
      <x:c r="K9" s="70" t="str">
        <x:v>Proposition originale de level design : vallée 1 600 × 1 100 m ; quatre secteurs : canyon, entrée de ruines, ruche contaminée, zone d’extraction ; trois fronts actifs et une arène finale séparée ; voie d’évacuation non traversée par le boss.</x:v>
      </x:c>
      <x:c r="L9" s="70" t="str">
        <x:v>Pathogène et Xénomorphes non infectés ne forment pas automatiquement une seule faction. Foyers, surfaces acides et réserves sont persistants.</x:v>
      </x:c>
    </x:row>
    <x:row r="10" ht="76.5" customHeight="1">
      <x:c r="A10" s="71" t="str">
        <x:v>X-L04</x:v>
      </x:c>
      <x:c r="B10" s="71" t="str">
        <x:v>Lethe — colonie et liaison Pioneer</x:v>
      </x:c>
      <x:c r="C10" s="71" t="str">
        <x:v>Aliens: Dark Descent</x:v>
      </x:c>
      <x:c r="D10" s="71" t="str">
        <x:v>Jeu</x:v>
      </x:c>
      <x:c r="E10" s="71" t="str">
        <x:v>Scénario de Dark Descent ; Pioneer est une station distincte de la surface.</x:v>
      </x:c>
      <x:c r="F10" s="71" t="str">
        <x:v>Lieu confirmé dans la source ; géométrie, dimensions et fronts proposés</x:v>
      </x:c>
      <x:c r="G10" s="71" t="str">
        <x:v>La FAQ situe les opérations sur Lethe et présente Pioneer Station.</x:v>
      </x:c>
      <x:c r="H10" s="71" t="str">
        <x:v>X-S20 — Aliens: Dark Descent — Frequently Asked Questions
Focus Entertainment ; FAQ officielle de l’éditeur
Portée : Lethe, Pioneer, Marines et menace Xéno ; référence utile pour opérations persistantes, sans importer les effectifs du jeu.
Consulté le 2026-10-26</x:v>
      </x:c>
      <x:c r="I10" s="76" t="str">
        <x:v>https://support.focus-entmt.com/hc/en-us/articles/16126166561425-FREQUENTLY-ASKED-QUESTIONS-JUNE-13-2023</x:v>
      </x:c>
      <x:c r="J10" s="71" t="str">
        <x:v>X/H et factions humaines du jeu ; Yautja uniquement en crossover.</x:v>
      </x:c>
      <x:c r="K10" s="71" t="str">
        <x:v>Proposition originale de level design : surface 1 500 × 1 200 m à trois fronts : colonie, infrastructure industrielle, accès de ruche ; Pioneer forme un chapitre séparé relié par transfert, pas une rue du même quartier.</x:v>
      </x:c>
      <x:c r="L10" s="71" t="str">
        <x:v>Ne pas relier physiquement la station et la surface sans transport. Portes, pertes, réserves et routes doivent persister entre les sorties.</x:v>
      </x:c>
    </x:row>
    <x:row r="11" ht="76.5" customHeight="1">
      <x:c r="A11" s="70" t="str">
        <x:v>X-L05</x:v>
      </x:c>
      <x:c r="B11" s="70" t="str">
        <x:v>Sevastopol</x:v>
      </x:c>
      <x:c r="C11" s="70" t="str">
        <x:v>Alien: Isolation</x:v>
      </x:c>
      <x:c r="D11" s="70" t="str">
        <x:v>Jeu</x:v>
      </x:c>
      <x:c r="E11" s="70" t="str">
        <x:v>Station du récit d’Amanda Ripley.</x:v>
      </x:c>
      <x:c r="F11" s="70" t="str">
        <x:v>Lieu confirmé dans la source ; géométrie, dimensions et fronts proposés</x:v>
      </x:c>
      <x:c r="G11" s="70" t="str">
        <x:v>Amanda cherche des réponses sur la station Sevastopol.</x:v>
      </x:c>
      <x:c r="H11" s="70" t="str">
        <x:v>X-S19 — Alien: Isolation — manuel officiel
Feral Interactive / SEGA ; Manuel officiel du portage
Portée : Cadre Sevastopol, Amanda, survivants, systèmes et menace Alien ; ne justifie pas d’y installer une armée Yautja historique.
Consulté le 2026-10-26</x:v>
      </x:c>
      <x:c r="I11" s="77" t="str">
        <x:v>https://www.feralinteractive.com/en/manuals/alienisolation/latest/steam/</x:v>
      </x:c>
      <x:c r="J11" s="70" t="str">
        <x:v>Alien/H et survivants/systèmes ; Yautja en adaptation explicitement non historique.</x:v>
      </x:c>
      <x:c r="K11" s="70" t="str">
        <x:v>Proposition originale de level design : réseau de modules à trois boucles : transit, maintenance, évacuation ; progression par énergie et portes ; surfaces jouables limitées par secteur, fronts distants centrés sur objectifs et survie.</x:v>
      </x:c>
      <x:c r="L11" s="70" t="str">
        <x:v>Préserver la menace de traque. Pas de milliers de combattants entassés dans un corridor ; une version guerre massive doit être présentée comme adaptation du lieu.</x:v>
      </x:c>
    </x:row>
    <x:row r="12" ht="76.5" customHeight="1">
      <x:c r="A12" s="71" t="str">
        <x:v>X-L06</x:v>
      </x:c>
      <x:c r="B12" s="71" t="str">
        <x:v>Station abandonnée de Romulus — évacuation et laboratoires</x:v>
      </x:c>
      <x:c r="C12" s="71" t="str">
        <x:v>Alien: Romulus</x:v>
      </x:c>
      <x:c r="D12" s="71" t="str">
        <x:v>Film</x:v>
      </x:c>
      <x:c r="E12" s="71" t="str">
        <x:v>Cadre filmique ; romulus_station existe nominalement dans le registre au SHA audité.</x:v>
      </x:c>
      <x:c r="F12" s="71" t="str">
        <x:v>Lieu confirmé dans la source ; géométrie, dimensions et fronts proposés</x:v>
      </x:c>
      <x:c r="G12" s="71" t="str">
        <x:v>Le synopsis place l’expédition dans une station spatiale abandonnée.</x:v>
      </x:c>
      <x:c r="H12" s="71" t="str">
        <x:v>X-S22 — Alien: Romulus — synopsis officiel
20th Century Studios ; Page officielle du film
Portée : Établit le cadre d’une station spatiale abandonnée ; ne décrit pas un plan coté complet.
Consulté le 2026-10-26</x:v>
      </x:c>
      <x:c r="I12" s="76" t="str">
        <x:v>https://www.20thcenturystudios.com/movies/alien-romulus</x:v>
      </x:c>
      <x:c r="J12" s="71" t="str">
        <x:v>X/H ; X/Y/H en adaptation crossover.</x:v>
      </x:c>
      <x:c r="K12" s="71" t="str">
        <x:v>Proposition originale de level design : modules 1 000 × 700 m sur trois niveaux ; fronts laboratoire, énergie, hangar ; portes et cycles d’énergie modifient les routes ; séquence Offspring unique isolée dans l’évacuation.</x:v>
      </x:c>
      <x:c r="L12" s="71" t="str">
        <x:v>Le plan est proposé. Le nom Renaissance et les détails des secteurs du code nécessitent des preuves spécifiques supplémentaires ; ne pas multiplier Offspring.</x:v>
      </x:c>
    </x:row>
    <x:row r="13" ht="171" customHeight="1">
      <x:c r="A13" s="70" t="str">
        <x:v>X-L07</x:v>
      </x:c>
      <x:c r="B13" s="70" t="str">
        <x:v>Charon — complexe expérimental et ruche souterraine</x:v>
      </x:c>
      <x:c r="C13" s="70" t="str">
        <x:v>Roman Rogue ; Aliens: Rogue comme référence séparée</x:v>
      </x:c>
      <x:c r="D13" s="70" t="str">
        <x:v>Roman ; comic</x:v>
      </x:c>
      <x:c r="E13" s="70" t="str">
        <x:v>Les éléments Charon ci-dessous sont attestés dans la notice du roman, pas attribués indistinctement à toutes les éditions.</x:v>
      </x:c>
      <x:c r="F13" s="70" t="str">
        <x:v>Lieu confirmé dans la source ; géométrie, dimensions et fronts proposés</x:v>
      </x:c>
      <x:c r="G13" s="70" t="str">
        <x:v>La notice Rogue décrit Charon, Kleist et une ruche souterraine.</x:v>
      </x:c>
      <x:c r="H13" s="70" t="str">
        <x:v>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
X-S16 — Aliens Epic Collection: The Original Years Vol. 3
Marvel ; Notice officielle d’une réédition de comics Dark Horse
Portée : Confirme la réédition Rogue #1–4 et les expériences de Kleist. Les détails du roman sont référencés séparément.
Consulté le 2026-10-26</x:v>
      </x:c>
      <x:c r="I13" s="77" t="str">
        <x:v>https://www.penguinrandomhouse.com/books/539667/the-complete-aliens-omnibus-volume-three-rogue-labyrinth-by-sandy-schofield/
https://www.marvel.com/comics/collection/127157/aliens_epic_collection_the_original_years_vol_3_trade_paperback</x:v>
      </x:c>
      <x:c r="J13" s="70" t="str">
        <x:v>H/X et expérience Rogue ; Yautja ajouté dans une opération crossover.</x:v>
      </x:c>
      <x:c r="K13" s="70" t="str">
        <x:v>Proposition originale de level design : complexe 1 200 × 900 m ; fronts laboratoire, périmètre, sous-sol ; un ascenseur de fret et deux galeries relient surface et ruche ; libération de Rogue change les cibles de plusieurs groupes.</x:v>
      </x:c>
      <x:c r="L13" s="70" t="str">
        <x:v>Créer un seul Rogue. Le projet a déjà charon_rogue_base, mais son descriptif King Prime n’est pas une preuve d’identité officielle.</x:v>
      </x:c>
    </x:row>
    <x:row r="14" ht="76.5" customHeight="1">
      <x:c r="A14" s="71" t="str">
        <x:v>X-L08</x:v>
      </x:c>
      <x:c r="B14" s="71" t="str">
        <x:v>USCSS Maginot — confinement des spécimens</x:v>
      </x:c>
      <x:c r="C14" s="71" t="str">
        <x:v>Alien: Earth</x:v>
      </x:c>
      <x:c r="D14" s="71" t="str">
        <x:v>Série</x:v>
      </x:c>
      <x:c r="E14" s="71" t="str">
        <x:v>Vaisseau et organismes discutés dans le podcast officiel.</x:v>
      </x:c>
      <x:c r="F14" s="71" t="str">
        <x:v>Lieu confirmé dans la source ; géométrie, dimensions et fronts proposés</x:v>
      </x:c>
      <x:c r="G14" s="71" t="str">
        <x:v>Le podcast officiel situe des spécimens extraterrestres à bord du Maginot.</x:v>
      </x:c>
      <x:c r="H14" s="71" t="str">
        <x:v>X-S18 — Alien: Earth — Official Podcast, Episode 5
FX ; Entretien officiel avec Noah Hawley
Portée : Nomme Eye Midge et Maginot ; le créateur décrit le parasite oculaire. Ne l’identifie pas comme Xénomorphe.
Consulté le 2026-10-26</x:v>
      </x:c>
      <x:c r="I14" s="76" t="str">
        <x:v>https://www.fxnetworks.com/shows/alien-earth/podcast/episode-5</x:v>
      </x:c>
      <x:c r="J14" s="71" t="str">
        <x:v>H/organismes distincts ; rencontre Yautja ou guerre X/Y/H proposée seulement.</x:v>
      </x:c>
      <x:c r="K14" s="71" t="str">
        <x:v>Proposition originale de level design : trois modules d’opération : confinement, communications, évacuation ; couloirs courts et chemins de maintenance ; fronts simultanés fondés sur sabotage, possession et protection de groupes.</x:v>
      </x:c>
      <x:c r="L14" s="71" t="str">
        <x:v>Ne pas traiter tous les spécimens comme une ruche Xénomorphe. Dimensions, secteurs et opérations proposés ; pas un plan certifié du vaisseau.</x:v>
      </x:c>
    </x:row>
    <x:row r="15" ht="76.5" customHeight="1">
      <x:c r="A15" s="70" t="str">
        <x:v>X-L09</x:v>
      </x:c>
      <x:c r="B15" s="70" t="str">
        <x:v>Pyramide antarctique</x:v>
      </x:c>
      <x:c r="C15" s="70" t="str">
        <x:v>Alien vs. Predator</x:v>
      </x:c>
      <x:c r="D15" s="70" t="str">
        <x:v>Film</x:v>
      </x:c>
      <x:c r="E15" s="70" t="str">
        <x:v>Lieu natif de confrontation des trois camps ; antarctic_pyramid existe dans levelsData.</x:v>
      </x:c>
      <x:c r="F15" s="70" t="str">
        <x:v>Lieu confirmé dans la source ; géométrie, dimensions et fronts proposés</x:v>
      </x:c>
      <x:c r="G15" s="70" t="str">
        <x:v>Une pyramide sous l’Antarctique réunit humains, Aliens et Predators.</x:v>
      </x:c>
      <x:c r="H15" s="70" t="str">
        <x:v>X-S23 — Alien vs. Predator — synopsis officiel
20th Century Studios ; Page officielle du film
Portée : Établit la pyramide antarctique et la rencontre des trois camps ; alliance humaine/Yautja circonstancielle, non automatique.
Consulté le 2026-10-26</x:v>
      </x:c>
      <x:c r="I15" s="77" t="str">
        <x:v>https://www.20thcenturystudios.com/movies/alien-vs-predator</x:v>
      </x:c>
      <x:c r="J15" s="70" t="str">
        <x:v>X/Y/H natif ; alliances ponctuelles réglées par scénario et objectifs.</x:v>
      </x:c>
      <x:c r="K15" s="70" t="str">
        <x:v>Proposition originale de level design : complexe 1 100 × 900 m en profondeur ; fronts puits d’accès, chambres mobiles, sanctuaire ; cycles de portes créent des détours mais garantissent toujours une route de secours valide.</x:v>
      </x:c>
      <x:c r="L15" s="70" t="str">
        <x:v>Tracé et tailles proposés. Grid unique ; Predalien absent du roster historique de ce film, admissible seulement dans une variante crossover déclarée.</x:v>
      </x:c>
    </x:row>
    <x:row r="16" ht="76.5" customHeight="1">
      <x:c r="A16" s="71" t="str">
        <x:v>X-L10</x:v>
      </x:c>
      <x:c r="B16" s="71" t="str">
        <x:v>Monde exploré par Covenant</x:v>
      </x:c>
      <x:c r="C16" s="71" t="str">
        <x:v>Alien: Covenant</x:v>
      </x:c>
      <x:c r="D16" s="71" t="str">
        <x:v>Film</x:v>
      </x:c>
      <x:c r="E16" s="71" t="str">
        <x:v>Planète du film ; appellation précise non établie par le synopsis utilisé.</x:v>
      </x:c>
      <x:c r="F16" s="71" t="str">
        <x:v>Lieu confirmé dans la source ; géométrie, dimensions et fronts proposés</x:v>
      </x:c>
      <x:c r="G16" s="71" t="str">
        <x:v>L’équipage de Covenant explore un monde éloigné devenu dangereux.</x:v>
      </x:c>
      <x:c r="H16" s="71" t="str">
        <x:v>X-S24 — Alien: Covenant — synopsis officiel
20th Century Studios ; Page officielle du film
Portée : Monde éloigné exploré par Covenant ; le nom précis de la planète n’est pas fixé par cet extrait.
Consulté le 2026-10-26</x:v>
      </x:c>
      <x:c r="I16" s="76" t="str">
        <x:v>https://www.20thcenturystudios.com/movies/alien-covenant</x:v>
      </x:c>
      <x:c r="J16" s="71" t="str">
        <x:v>H/Neomorph/Xénomorphe de Covenant ; ajout Yautja en crossover.</x:v>
      </x:c>
      <x:c r="K16" s="71" t="str">
        <x:v>Proposition originale de level design : terrain 1 800 × 1 300 m à trois fronts : débarquement, vallée humide, structures fermées ; une route de retraite et deux accès latéraux ; transitions de végétation et de visibilité.</x:v>
      </x:c>
      <x:c r="L16" s="71" t="str">
        <x:v>Filtrer les profils biologiques ; pas de reine, Warriors rouges ou Pathogen Queen ajoutés par défaut. Formes d’infection à documenter séparément.</x:v>
      </x:c>
    </x:row>
    <x:row r="17" ht="76.5" customHeight="1">
      <x:c r="A17" s="70" t="str">
        <x:v>X-L11</x:v>
      </x:c>
      <x:c r="B17" s="70" t="str">
        <x:v>LV-223 — structures des Engineers</x:v>
      </x:c>
      <x:c r="C17" s="70" t="str">
        <x:v>Prometheus</x:v>
      </x:c>
      <x:c r="D17" s="70" t="str">
        <x:v>Film</x:v>
      </x:c>
      <x:c r="E17" s="70" t="str">
        <x:v>Cadre Prometheus ; pas un monde-ruche Xénomorphe interchangeable.</x:v>
      </x:c>
      <x:c r="F17" s="70" t="str">
        <x:v>Lieu confirmé dans la source ; géométrie, dimensions et fronts proposés</x:v>
      </x:c>
      <x:c r="G17" s="70" t="str">
        <x:v>Le matériel officiel Prometheus situe les hologrammes d’Engineers sur LV-223.</x:v>
      </x:c>
      <x:c r="H17" s="70" t="str">
        <x:v>X-S25 — Prometheus Series 3 — LV-223
NECA ; Présentation officielle de produits licenciés
Portée : Le descriptif rattache les hologrammes d’Engineers à LV-223 ; il ne fournit ni dimensions ni topologie exhaustive.
Consulté le 2026-10-26</x:v>
      </x:c>
      <x:c r="I17" s="77" t="str">
        <x:v>https://store.necaonline.com/blogs/news/174241607-announcing-prometheus-series-3-action-figures</x:v>
      </x:c>
      <x:c r="J17" s="70" t="str">
        <x:v>H/organismes de Prometheus ; confrontation X/Y/H nécessairement adaptée.</x:v>
      </x:c>
      <x:c r="K17" s="70" t="str">
        <x:v>Proposition originale de level design : site 1 400 × 1 100 m ; fronts temple, zone d’atterrissage, sortie de secours ; espaces clos pour la tension et grands extérieurs pour les déplacements ; finale biologique unique.</x:v>
      </x:c>
      <x:c r="L17" s="70" t="str">
        <x:v>Aucune armée Deacon ou Trilobite. Ne pas généraliser une unique scène biologique en cycle reproducteur de masse.</x:v>
      </x:c>
    </x:row>
    <x:row r="18" ht="157.5" customHeight="1">
      <x:c r="A18" s="71" t="str">
        <x:v>Y-L01</x:v>
      </x:c>
      <x:c r="B18" s="71" t="str">
        <x:v>Genna</x:v>
      </x:c>
      <x:c r="C18" s="71" t="str">
        <x:v>Predator: Badlands (2025)</x:v>
      </x:c>
      <x:c r="D18" s="71" t="str">
        <x:v>Film</x:v>
      </x:c>
      <x:c r="E18" s="71" t="str">
        <x:v>Lieu nommé du film ; topologie et dimensions de la conversion restent des propositions.</x:v>
      </x:c>
      <x:c r="F18" s="71" t="str">
        <x:v>Confirmé dans l’œuvre</x:v>
      </x:c>
      <x:c r="G18" s="71" t="str">
        <x:v>Disney+ situe Badlands sur Genna et décrit la coopération de Dek avec une synthétique Weyland-Yutani.</x:v>
      </x:c>
      <x:c r="H18" s="71"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I18" s="76" t="str">
        <x:v>https://www.20thcenturystudios.com/movies/predator-badlands
https://www.disneyplus.com/explore/articles/predator-badlands-movie</x:v>
      </x:c>
      <x:c r="J18" s="71" t="str">
        <x:v>Contexte attesté : Yautja, faune et synthétique alliée. Y/H biologiques, X ou trois camps : scénario original distinct, non validé par cette notice.</x:v>
      </x:c>
      <x:c r="K18" s="71" t="str">
        <x:v>Proposition : secteurs de relief, cours d’eau, grottes et zones de danger après relevé des scènes ; chemins alternatifs et refuges adaptés au duo ; aucune taille réelle revendiquée.</x:v>
      </x:c>
      <x:c r="L18" s="71" t="str">
        <x:v>Ne pas transformer Genna en ruche ou réserve de Predators par simple ressemblance. Plans et espèces à documenter ; pas de nombre canonique d’habitants.</x:v>
      </x:c>
    </x:row>
    <x:row r="19" ht="76.5" customHeight="1">
      <x:c r="A19" s="70" t="str">
        <x:v>Y-L02</x:v>
      </x:c>
      <x:c r="B19" s="70" t="str">
        <x:v>Freya Prospect et environs</x:v>
      </x:c>
      <x:c r="C19" s="70" t="str">
        <x:v>Aliens vs. Predator (2010)</x:v>
      </x:c>
      <x:c r="D19" s="70" t="str">
        <x:v>Jeu</x:v>
      </x:c>
      <x:c r="E19" s="70" t="str">
        <x:v>Lieu confirmé dans le jeu SEGA/Rebellion ; carte tactique étendue originale.</x:v>
      </x:c>
      <x:c r="F19" s="70" t="str">
        <x:v>Confirmé dans l’œuvre</x:v>
      </x:c>
      <x:c r="G19" s="70" t="str">
        <x:v>SEGA situe l’action autour de Freya Prospect, entourée de jungles et de marécages, avec trois campagnes.</x:v>
      </x:c>
      <x:c r="H19" s="70" t="str">
        <x:v>Y-S24 — Aliens vs. Predator — fiche Steam officielle
SEGA / Rebellion, distribution Steam ; Éditeur / présentation du jeu
Portée : Freya Prospect, jungles, marécages et trois campagnes/factions ; identité Dark et code planétaire non établis par cette seule fiche.
Consulté le 2026-10-26</x:v>
      </x:c>
      <x:c r="I19" s="77" t="str">
        <x:v>https://store.steampowered.com/app/10680/Aliens_vs_Predator/?l=french</x:v>
      </x:c>
      <x:c r="J19" s="70" t="str">
        <x:v>Y/X, Y/H et X/H : factions du jeu. Guerre à trois camps simultanés : proposition compatible, pas promesse de reproduction exacte de chaque campagne.</x:v>
      </x:c>
      <x:c r="K19" s="70" t="str">
        <x:v>Proposition : colonie, anneau de jungle et traversées marécageuses reliés par plusieurs routes ; fronts de récupération technologique, confinement et évacuation ; relever le jeu pour les bâtiments.</x:v>
      </x:c>
      <x:c r="L19" s="70" t="str">
        <x:v>La fiche ne confirme pas à elle seule Dark, BG-386, chaque bâtiment ni une surface métrique. Ne pas fusionner cette colonie avec LV-426.</x:v>
      </x:c>
    </x:row>
    <x:row r="20" ht="157.5" customHeight="1">
      <x:c r="A20" s="71" t="str">
        <x:v>Y-L03</x:v>
      </x:c>
      <x:c r="B20" s="71" t="str">
        <x:v>Neonopolis / secteurs Borgia</x:v>
      </x:c>
      <x:c r="C20" s="71" t="str">
        <x:v>Predator: Concrete Jungle (2005)</x:v>
      </x:c>
      <x:c r="D20" s="71" t="str">
        <x:v>Jeu</x:v>
      </x:c>
      <x:c r="E20" s="71" t="str">
        <x:v>Ville et organisation attestées par les notices licenciées ; découpage de guerre proposé.</x:v>
      </x:c>
      <x:c r="F20" s="71" t="str">
        <x:v>Confirmé dans l’œuvre</x:v>
      </x:c>
      <x:c r="G20" s="71" t="str">
        <x:v>NECA situe la récupération technologique de Scarface à Neonopolis et rattache Stone Heart aux augmentations de Borgia.</x:v>
      </x:c>
      <x:c r="H20" s="71" t="str">
        <x:v>Y-S22 — Ultimate Scarface — Concrete Jungle
NECA ; Catalogue licencié
Portée : Scarface, exil puis récupération de technologie à Neonopolis dans le jeu 2005 ; noms et prémisse, pas plan spatial certifié.
Consulté le 2026-10-26
Y-S23 — Concrete Jungle — Stone Heart
NECA ; Catalogue licencié
Portée : Stone Heart capturé, augmenté et conditionné par Borgia Industries ; cyborg individuel, pas sous-espèce naturelle.
Consulté le 2026-10-26</x:v>
      </x:c>
      <x:c r="I20" s="76" t="str">
        <x:v>https://store.necaonline.com/blogs/behind-the-scenes/closer-look-video-game-appearance-ultimate-scarface-predator
https://store.necaonline.com/products/predator-7-scale-action-figure-concrete-jungle-stone-heart-predator</x:v>
      </x:c>
      <x:c r="J20" s="71" t="str">
        <x:v>Y/H attesté ; Y/Y autour des captifs augmentés à vérifier dans le jeu. X et trois camps : documenter la séquence ou choisir un crossover original.</x:v>
      </x:c>
      <x:c r="K20" s="71" t="str">
        <x:v>Proposition : rues, toits et accès industriels avec convoyage de technologies entre secteurs ; verrouiller chaque transfert détruit/capturé ; lire les niveaux originaux avant de figer les itinéraires.</x:v>
      </x:c>
      <x:c r="L20" s="71" t="str">
        <x:v>Ne pas confondre Neonopolis avec Los Angeles ni déduire une date précise des seules notices. Dimensions, voies et équipements de sécurité non cotés par la source.</x:v>
      </x:c>
    </x:row>
    <x:row r="21" ht="76.5" customHeight="1">
      <x:c r="A21" s="70" t="str">
        <x:v>Y-L04</x:v>
      </x:c>
      <x:c r="B21" s="70" t="str">
        <x:v>Réserve de captifs — The Last Hunt</x:v>
      </x:c>
      <x:c r="C21" s="70" t="str">
        <x:v>Predator: The Last Hunt (2024)</x:v>
      </x:c>
      <x:c r="D21" s="70" t="str">
        <x:v>Comic</x:v>
      </x:c>
      <x:c r="E21" s="70" t="str">
        <x:v>Périmètre de la série Marvel ; nom planétaire et emplacements exacts à documenter dans les pages.</x:v>
      </x:c>
      <x:c r="F21" s="70" t="str">
        <x:v>Confirmé dans l’œuvre</x:v>
      </x:c>
      <x:c r="G21" s="70" t="str">
        <x:v>Marvel décrit une réserve de captifs humains et une planète de chasse au cœur de The Last Hunt.</x:v>
      </x:c>
      <x:c r="H21" s="70" t="str">
        <x:v>Y-S21 — Predator: The Last Hunt — recueil officiel
Marvel ; Éditeur / synopsis de recueil
Portée : Recueil du 16 octobre 2024 ; Theta, réserve de captifs humains et Super Predator. Notice indexée consultée ; ouverture directe HTTP 403.
Consulté le 2026-10-26</x:v>
      </x:c>
      <x:c r="I21" s="77" t="str">
        <x:v>https://www.marvel.com/comics/collection/110461/predator_the_last_hunt_trade_paperback</x:v>
      </x:c>
      <x:c r="J21" s="70" t="str">
        <x:v>Y/H : contexte de libération de captifs. Y/X ou X/Y/H : crossover original, pas contenu attesté par le résumé.</x:v>
      </x:c>
      <x:c r="K21" s="70" t="str">
        <x:v>Proposition : zone d’approche, rétention de captifs, chemins de fuite et point d’extraction ; réseaux d’alerte limités ; plusieurs sites du récit ne sont pas fusionnés avant vérification.</x:v>
      </x:c>
      <x:c r="L21" s="70" t="str">
        <x:v>Ne pas déclarer cette réserve identique à la planète de Predators (2010). Ne pas inventer ici Glenelg, Mabou, stase, dimensions ou population sans consulter les pages pertinentes.</x:v>
      </x:c>
    </x:row>
    <x:row r="22" ht="90" customHeight="1">
      <x:c r="A22" s="71" t="str">
        <x:v>Y-L05</x:v>
      </x:c>
      <x:c r="B22" s="71" t="str">
        <x:v>Japon féodal — épisode de Killer of Killers</x:v>
      </x:c>
      <x:c r="C22" s="71" t="str">
        <x:v>Predator: Killer of Killers (2025)</x:v>
      </x:c>
      <x:c r="D22" s="71" t="str">
        <x:v>Film d’animation</x:v>
      </x:c>
      <x:c r="E22" s="71" t="str">
        <x:v>Période et conflit fraternel attestés ; lieux précis et chasseur encore à vérifier.</x:v>
      </x:c>
      <x:c r="F22" s="71" t="str">
        <x:v>Confirmé dans l’œuvre</x:v>
      </x:c>
      <x:c r="G22" s="71" t="str">
        <x:v>Le synopsis officiel évoque au Japon féodal un ninja opposé à son frère samouraï.</x:v>
      </x:c>
      <x:c r="H22"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2" s="76" t="str">
        <x:v>https://www.20thcenturystudios.com/movies/predator-killer-of-killers</x:v>
      </x:c>
      <x:c r="J22" s="71" t="str">
        <x:v>Y/H dans le périmètre de l’anthologie ; factions humaines opposées possibles après relevé. X ou guerre de clans : variante originale.</x:v>
      </x:c>
      <x:c r="K22" s="71" t="str">
        <x:v>Proposition après relevé : réseau vertical d’approches discrètes, cours et issues alternatives ; deux groupes humains gardent leurs objectifs lorsque le chasseur intervient ; nombre de fronts réglé par le gameplay.</x:v>
      </x:c>
      <x:c r="L22" s="71" t="str">
        <x:v>Ne pas attribuer automatiquement ce théâtre au Samurai DLC PHG. Aucun nom de ville, année exacte, plan de château ou caste Yautja confirmé par cette fiche ; roster spécifique hors spawn avant preuve.</x:v>
      </x:c>
    </x:row>
    <x:row r="23" ht="90" customHeight="1">
      <x:c r="A23" s="70" t="str">
        <x:v>Y-L06</x:v>
      </x:c>
      <x:c r="B23" s="70" t="str">
        <x:v>Théâtre aérien — épisode de la Seconde Guerre mondiale</x:v>
      </x:c>
      <x:c r="C23" s="70" t="str">
        <x:v>Predator: Killer of Killers (2025)</x:v>
      </x:c>
      <x:c r="D23" s="70" t="str">
        <x:v>Film d’animation</x:v>
      </x:c>
      <x:c r="E23" s="70" t="str">
        <x:v>Contexte aérien attesté ; théâtre géographique et matériel exact à relever dans le film.</x:v>
      </x:c>
      <x:c r="F23" s="70" t="str">
        <x:v>Confirmé dans l’œuvre</x:v>
      </x:c>
      <x:c r="G23" s="70" t="str">
        <x:v>Le synopsis suit un pilote de la Seconde Guerre mondiale enquêtant sur une menace aérienne extraterrestre.</x:v>
      </x:c>
      <x:c r="H23" s="70"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3" s="77" t="str">
        <x:v>https://www.20thcenturystudios.com/movies/predator-killer-of-killers</x:v>
      </x:c>
      <x:c r="J23" s="70" t="str">
        <x:v>Y/H avec appareils et équipages comptés séparément ; X/Y/H non attesté, uniquement crossover original.</x:v>
      </x:c>
      <x:c r="K23" s="70" t="str">
        <x:v>Proposition : couloirs aériens, points de rendez-vous et fenêtres d’interception ; éventuel module au sol distinct après vérification ; réserve aérienne finie et équipage inclus une seule fois.</x:v>
      </x:c>
      <x:c r="L23" s="70" t="str">
        <x:v>Ne pas convertir les appareils en PNJ humains supplémentaires ni faire marcher des combattants terrestres dans l’arène aérienne. Aucun porte-avions, lieu ou gabarit précis déduit du résumé.</x:v>
      </x:c>
    </x:row>
    <x:row r="24" ht="76.5" customHeight="1">
      <x:c r="A24" s="71" t="str">
        <x:v>H-L01</x:v>
      </x:c>
      <x:c r="B24" s="71" t="str">
        <x:v>Sevastopol</x:v>
      </x:c>
      <x:c r="C24" s="71" t="str">
        <x:v>Alien: Isolation — The Trigger</x:v>
      </x:c>
      <x:c r="D24" s="71" t="str">
        <x:v>Jeu</x:v>
      </x:c>
      <x:c r="E24" s="71" t="str">
        <x:v>Alien / Isolation</x:v>
      </x:c>
      <x:c r="F24" s="71" t="str">
        <x:v>Lieu attesté ; topologie et bataille proposées</x:v>
      </x:c>
      <x:c r="G24" s="71" t="str">
        <x:v>Le contenu officiel situe la menace à Sevastopol.</x:v>
      </x:c>
      <x:c r="H24" s="71" t="str">
        <x:v>H-S06 — Alien: Isolation — The Trigger
SEGA / page éditeur Epic Games Store ; Source primaire officielle
Portée : Sevastopol et Working Joes dans le texte commercial du contenu officiel ; ne prouve pas toutes leurs règles d’IA.
Consulté le 2026-10-26</x:v>
      </x:c>
      <x:c r="I24" s="76" t="str">
        <x:v>https://store.epicgames.com/p/alien-isolation--the-trigger?lang=en-US</x:v>
      </x:c>
      <x:c r="J24" s="71" t="str">
        <x:v>X-H ; ajout Y-X-H exclusivement crossover original</x:v>
      </x:c>
      <x:c r="K24" s="71" t="str">
        <x:v>Trois réseaux : circulation publique, maintenance et accès verticaux. Trois urgences parallèles, faible population active.</x:v>
      </x:c>
      <x:c r="L24" s="71" t="str">
        <x:v>Ne pas transformer le rythme de survie en vagues de milliers d’adultes ; plans, zones ajoutées et présence Yautja originaux.</x:v>
      </x:c>
    </x:row>
    <x:row r="25" ht="76.5" customHeight="1">
      <x:c r="A25" s="70" t="str">
        <x:v>H-L02</x:v>
      </x:c>
      <x:c r="B25" s="70" t="str">
        <x:v>Lethe</x:v>
      </x:c>
      <x:c r="C25" s="70" t="str">
        <x:v>Aliens: Dark Descent</x:v>
      </x:c>
      <x:c r="D25" s="70" t="str">
        <x:v>Jeu</x:v>
      </x:c>
      <x:c r="E25" s="70" t="str">
        <x:v>Alien / Dark Descent</x:v>
      </x:c>
      <x:c r="F25" s="70" t="str">
        <x:v>Lieu attesté ; topologie et bataille proposées</x:v>
      </x:c>
      <x:c r="G25" s="70" t="str">
        <x:v>L’Otago s’écrase sur Lethe lors de la crise.</x:v>
      </x:c>
      <x:c r="H25" s="70" t="str">
        <x:v>H-S04 — Dark Descent — bande-annonce de l’histoire
Focus Entertainment / Tindalos ; Source primaire officielle
Portée : Lethe, Otago, Pioneer Station, commandos humains rebelles et fonctions des personnages cités.
Consulté le 2026-10-26</x:v>
      </x:c>
      <x:c r="I25" s="77" t="str">
        <x:v>https://www.focus-entmt.com/en/news/tindalos-and-focus-reveal-story-trailer-for-aliens-dark-descent</x:v>
      </x:c>
      <x:c r="J25" s="70" t="str">
        <x:v>X-H ; ajout Y-X ou X-Y-H original</x:v>
      </x:c>
      <x:c r="K25" s="70" t="str">
        <x:v>Colonie en surface, infrastructure industrielle et tunnels ; portes, positions des survivants et réserves persistent.</x:v>
      </x:c>
      <x:c r="L25" s="70" t="str">
        <x:v>La géographie complète et les distances de la version musou sont une proposition, pas le plan du jeu.</x:v>
      </x:c>
    </x:row>
    <x:row r="26" ht="76.5" customHeight="1">
      <x:c r="A26" s="71" t="str">
        <x:v>H-L03</x:v>
      </x:c>
      <x:c r="B26" s="71" t="str">
        <x:v>Pioneer Station</x:v>
      </x:c>
      <x:c r="C26" s="71" t="str">
        <x:v>Aliens: Dark Descent</x:v>
      </x:c>
      <x:c r="D26" s="71" t="str">
        <x:v>Jeu</x:v>
      </x:c>
      <x:c r="E26" s="71" t="str">
        <x:v>Alien / Dark Descent</x:v>
      </x:c>
      <x:c r="F26" s="71" t="str">
        <x:v>Lieu attesté ; topologie et bataille proposées</x:v>
      </x:c>
      <x:c r="G26" s="71" t="str">
        <x:v>Maeko Hayes est administratrice adjointe de Pioneer Station.</x:v>
      </x:c>
      <x:c r="H26" s="71" t="str">
        <x:v>H-S05 — Dark Descent — FAQ du 13 juin 2023
Focus Entertainment ; Source primaire officielle
Portée : Cadre Lethe, colonies, personnages et campagne ; les effectifs musou proposés ne sont pas ceux du jeu.
Consulté le 2026-10-26</x:v>
      </x:c>
      <x:c r="I26" s="76" t="str">
        <x:v>https://support.focus-entmt.com/hc/en-us/articles/16126166561425-FREQUENTLY-ASKED-QUESTIONS-JUNE-13-2023</x:v>
      </x:c>
      <x:c r="J26" s="71" t="str">
        <x:v>X-H ; ajout Y-H ou X-Y-H original</x:v>
      </x:c>
      <x:c r="K26" s="71" t="str">
        <x:v>Site orbital distinct de Lethe ; liaison de transport scénarisée, pas un couloir direct planète-station.</x:v>
      </x:c>
      <x:c r="L26" s="71" t="str">
        <x:v>Ne pas fusionner cette station avec le lieu du crash de l’Otago ; chronologie et population à relever.</x:v>
      </x:c>
    </x:row>
    <x:row r="27" ht="76.5" customHeight="1">
      <x:c r="A27" s="70" t="str">
        <x:v>H-L04</x:v>
      </x:c>
      <x:c r="B27" s="70" t="str">
        <x:v>USS Otago</x:v>
      </x:c>
      <x:c r="C27" s="70" t="str">
        <x:v>Aliens: Dark Descent</x:v>
      </x:c>
      <x:c r="D27" s="70" t="str">
        <x:v>Jeu</x:v>
      </x:c>
      <x:c r="E27" s="70" t="str">
        <x:v>Alien / Dark Descent</x:v>
      </x:c>
      <x:c r="F27" s="70" t="str">
        <x:v>Lieu attesté ; topologie et bataille proposées</x:v>
      </x:c>
      <x:c r="G27" s="70" t="str">
        <x:v>L’Otago sert de base à la campagne sur Lethe.</x:v>
      </x:c>
      <x:c r="H27" s="70" t="str">
        <x:v>H-S05 — Dark Descent — FAQ du 13 juin 2023
Focus Entertainment ; Source primaire officielle
Portée : Cadre Lethe, colonies, personnages et campagne ; les effectifs musou proposés ne sont pas ceux du jeu.
Consulté le 2026-10-26</x:v>
      </x:c>
      <x:c r="I27" s="77" t="str">
        <x:v>https://support.focus-entmt.com/hc/en-us/articles/16126166561425-FREQUENTLY-ASKED-QUESTIONS-JUNE-13-2023</x:v>
      </x:c>
      <x:c r="J27" s="70" t="str">
        <x:v>Base humaine ; défense X-H ou crossover original</x:v>
      </x:c>
      <x:c r="K27" s="70" t="str">
        <x:v>Base de préparation avec infirmerie, réparation et sorties vers le théâtre ; couloirs dimensionnés à un vaisseau.</x:v>
      </x:c>
      <x:c r="L27" s="70" t="str">
        <x:v>Ne pas étendre arbitrairement chaque salle en champ de bataille géant ; séparer base et secteurs de mission.</x:v>
      </x:c>
    </x:row>
    <x:row r="28" ht="76.5" customHeight="1">
      <x:c r="A28" s="71" t="str">
        <x:v>H-L05</x:v>
      </x:c>
      <x:c r="B28" s="71" t="str">
        <x:v>Prodigy City et épave de l’USCSS Maginot</x:v>
      </x:c>
      <x:c r="C28" s="71" t="str">
        <x:v>Alien: Earth</x:v>
      </x:c>
      <x:c r="D28" s="71" t="str">
        <x:v>Série</x:v>
      </x:c>
      <x:c r="E28" s="71" t="str">
        <x:v>Alien / Earth, 2120</x:v>
      </x:c>
      <x:c r="F28" s="71" t="str">
        <x:v>Lieu attesté ; topologie et bataille proposées</x:v>
      </x:c>
      <x:c r="G28" s="71" t="str">
        <x:v>Le Maginot s’écrase à Prodigy City.</x:v>
      </x:c>
      <x:c r="H28" s="71" t="str">
        <x:v>H-S09 — Alien: Earth — présentation de la série
ABC / Disney ; Source primaire officielle
Portée : Année 2120, cinq corporations, cyborgs/synthétiques/hybrides, Maginot et Prodigy City.
Consulté le 2026-10-26</x:v>
      </x:c>
      <x:c r="I28" s="76" t="str">
        <x:v>https://abc.com/show/95f00a9c-4cd4-4307-8eac-1485d9e439ea/about-the-show</x:v>
      </x:c>
      <x:c r="J28" s="71" t="str">
        <x:v>X-H ; corporations H-H ; X-Y-H uniquement scénario original</x:v>
      </x:c>
      <x:c r="K28" s="71" t="str">
        <x:v>Ville avec cordon, épave, axe d’évacuation et accès techniques. Les enjeux de récupération et secours évoluent indépendamment.</x:v>
      </x:c>
      <x:c r="L28" s="71" t="str">
        <x:v>Yautja ajoutés = crossover original ; pas d’USCM importés par défaut. Topologie agrandie non certifiée par les images.</x:v>
      </x:c>
    </x:row>
    <x:row r="29" ht="76.5" customHeight="1">
      <x:c r="A29" s="70" t="str">
        <x:v>H-L06</x:v>
      </x:c>
      <x:c r="B29" s="70" t="str">
        <x:v>Tobler-9</x:v>
      </x:c>
      <x:c r="C29" s="70" t="str">
        <x:v>Alien (2022) #2–3</x:v>
      </x:c>
      <x:c r="D29" s="70" t="str">
        <x:v>Comic</x:v>
      </x:c>
      <x:c r="E29" s="70" t="str">
        <x:v>Alien / série Marvel 2022</x:v>
      </x:c>
      <x:c r="F29" s="70" t="str">
        <x:v>Lieu attesté ; topologie et bataille proposées</x:v>
      </x:c>
      <x:c r="G29" s="70" t="str">
        <x:v>Tobler-9 abrite des Xénomorphes et des survivants humains.</x:v>
      </x:c>
      <x:c r="H29" s="70" t="str">
        <x:v>H-S11 — Alien (2022) #3
Marvel ; Source primaire officielle
Portée : Steel Team, survivants de Tobler-9 et coopération conditionnelle ; pas un effectif de bataille certifié.
Consulté le 2026-10-26</x:v>
      </x:c>
      <x:c r="I29" s="77" t="str">
        <x:v>https://www.marvel.com/comics/issue/103780/read</x:v>
      </x:c>
      <x:c r="J29" s="70" t="str">
        <x:v>X-H avec synthétiques ; extension X-Y-H originale</x:v>
      </x:c>
      <x:c r="K29" s="70" t="str">
        <x:v>Avant-poste, refuge et nid souterrain reliés ; pacte local, réseaux industriels et accès d’évacuation.</x:v>
      </x:c>
      <x:c r="L29" s="70" t="str">
        <x:v>Les survivants et Steel Team ne forment pas une armée homogène ; aucune population chiffrée déduite.</x:v>
      </x:c>
    </x:row>
    <x:row r="30" ht="76.5" customHeight="1">
      <x:c r="A30" s="71" t="str">
        <x:v>H-L07</x:v>
      </x:c>
      <x:c r="B30" s="71" t="str">
        <x:v>Station Epsilon</x:v>
      </x:c>
      <x:c r="C30" s="71" t="str">
        <x:v>Alien (2021) #2–3</x:v>
      </x:c>
      <x:c r="D30" s="71" t="str">
        <x:v>Comic</x:v>
      </x:c>
      <x:c r="E30" s="71" t="str">
        <x:v>Alien / série Marvel 2021</x:v>
      </x:c>
      <x:c r="F30" s="71" t="str">
        <x:v>Lieu attesté ; topologie et bataille proposées</x:v>
      </x:c>
      <x:c r="G30" s="71" t="str">
        <x:v>Cruz retourne à la station Epsilon.</x:v>
      </x:c>
      <x:c r="H30" s="71" t="str">
        <x:v>H-S13 — Alien (2021) #3
Marvel ; Source primaire officielle
Portée : Cruz, soldats et station Epsilon ; ne certifie pas son plan intégral.
Consulté le 2026-10-26</x:v>
      </x:c>
      <x:c r="I30" s="76" t="str">
        <x:v>https://www.marvel.com/comics/issue/89571/alien_2021_3</x:v>
      </x:c>
      <x:c r="J30" s="71" t="str">
        <x:v>X-H ; extension X-Y-H originale</x:v>
      </x:c>
      <x:c r="K30" s="71" t="str">
        <x:v>Station en secteurs avec axe de secours, laboratoire, services et extraction ; routes fixes et états persistants.</x:v>
      </x:c>
      <x:c r="L30" s="71" t="str">
        <x:v>Nom et cadre attestés ; secteurs, dimension et trio de camps de la version musou sont originaux.</x:v>
      </x:c>
    </x:row>
    <x:row r="31" ht="76.5" customHeight="1">
      <x:c r="A31" s="70" t="str">
        <x:v>H-L08</x:v>
      </x:c>
      <x:c r="B31" s="70" t="str">
        <x:v>Lune des Spinners — nom à confirmer</x:v>
      </x:c>
      <x:c r="C31" s="70" t="str">
        <x:v>Alien (2021) #7</x:v>
      </x:c>
      <x:c r="D31" s="70" t="str">
        <x:v>Comic</x:v>
      </x:c>
      <x:c r="E31" s="70" t="str">
        <x:v>Alien / série Marvel 2021</x:v>
      </x:c>
      <x:c r="F31" s="70" t="str">
        <x:v>Lieu attesté ; topologie et bataille proposées</x:v>
      </x:c>
      <x:c r="G31" s="70" t="str">
        <x:v>Une lune en terraformation accueille la communauté des Spinners.</x:v>
      </x:c>
      <x:c r="H31" s="70" t="str">
        <x:v>H-S12 — Alien (2021) #7 — fiche officielle
Marvel ; Source primaire officielle
Portée : Communauté des Spinners sur une lune en terraformation ; nom précis non confirmé par la fiche consultée.
Consulté le 2026-10-26</x:v>
      </x:c>
      <x:c r="I31" s="77" t="str">
        <x:v>https://www.marvel.com/comics/issue/96969/alien_2021_7_variant/variant</x:v>
      </x:c>
      <x:c r="J31" s="70" t="str">
        <x:v>X-H ; extension Y-X ou X-Y-H originale</x:v>
      </x:c>
      <x:c r="K31" s="70" t="str">
        <x:v>Habitat, chantier de terraformation, trajet de secours et brèche d’infestation ; civilisation et logistique lisibles.</x:v>
      </x:c>
      <x:c r="L31" s="70" t="str">
        <x:v>N’afficher aucun nom géographique non confirmé ; guerre Yautja et plan détaillé explicitement originaux.</x:v>
      </x:c>
    </x:row>
    <x:row r="32" ht="76.5" customHeight="1">
      <x:c r="A32" s="71" t="str">
        <x:v>H-L09</x:v>
      </x:c>
      <x:c r="B32" s="71" t="str">
        <x:v>Planète de toundra de Theta — nom non donné</x:v>
      </x:c>
      <x:c r="C32" s="71" t="str">
        <x:v>Predator (2022) #2</x:v>
      </x:c>
      <x:c r="D32" s="71" t="str">
        <x:v>Comic</x:v>
      </x:c>
      <x:c r="E32" s="71" t="str">
        <x:v>Predator / série Marvel 2022</x:v>
      </x:c>
      <x:c r="F32" s="71" t="str">
        <x:v>Lieu attesté ; topologie et bataille proposées</x:v>
      </x:c>
      <x:c r="G32" s="71" t="str">
        <x:v>Theta s’écrase sur une planète de toundra puis cherche l’avant-poste le plus proche.</x:v>
      </x:c>
      <x:c r="H32" s="71" t="str">
        <x:v>H-S16 — Predator (2022) #2
Marvel ; Source primaire officielle
Portée : Crash de Theta sur une planète de toundra et trajet vers un avant-poste ; planète non nommée dans la fiche.
Consulté le 2026-10-26</x:v>
      </x:c>
      <x:c r="I32" s="76" t="str">
        <x:v>https://www.marvel.com/comics/issue/89619/predator</x:v>
      </x:c>
      <x:c r="J32" s="71" t="str">
        <x:v>Y-H ; Y-Y seulement scénario original</x:v>
      </x:c>
      <x:c r="K32" s="71" t="str">
        <x:v>Epave, vallons exposés, passages abrités et avant-poste ; faible densité, froid et trajectoire de poursuite.</x:v>
      </x:c>
      <x:c r="L32" s="71" t="str">
        <x:v>Ne pas inventer le nom officiel de la planète ; forces d’avant-poste et relief détaillé sont des choix de conception.</x:v>
      </x:c>
    </x:row>
    <x:row r="33" ht="76.5" customHeight="1">
      <x:c r="A33" s="70" t="str">
        <x:v>H-L10</x:v>
      </x:c>
      <x:c r="B33" s="70" t="str">
        <x:v>Grandes Plaines du Nord, territoire de Prey</x:v>
      </x:c>
      <x:c r="C33" s="70" t="str">
        <x:v>Prey</x:v>
      </x:c>
      <x:c r="D33" s="70" t="str">
        <x:v>Film</x:v>
      </x:c>
      <x:c r="E33" s="70" t="str">
        <x:v>Predator / Prey, 1719</x:v>
      </x:c>
      <x:c r="F33" s="70" t="str">
        <x:v>Lieu attesté ; topologie et bataille proposées</x:v>
      </x:c>
      <x:c r="G33" s="70" t="str">
        <x:v>Le film se déroule dans les Grandes Plaines du Nord en 1719.</x:v>
      </x:c>
      <x:c r="H3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I33" s="77" t="str">
        <x:v>https://lumiere-a.akamaihd.net/v1/documents/prey_final_production_notes_bios_59_82be4e25.pdf</x:v>
      </x:c>
      <x:c r="J33" s="70" t="str">
        <x:v>Y-H ; H-H ; aucune ruche par défaut</x:v>
      </x:c>
      <x:c r="K33" s="70" t="str">
        <x:v>Camp, forêt, rivière et pistes reliés ; routes de chasse distinctes des chemins civils.</x:v>
      </x:c>
      <x:c r="L33" s="70" t="str">
        <x:v>Canada de tournage et lieu du récit ne sont pas interchangeables ; étendue et affrontements de guerre originaux.</x:v>
      </x:c>
    </x:row>
  </x:sheetData>
  <x:pageMargins left="0.7" right="0.7" top="0.75" bottom="0.75" header="0.3" footer="0.3"/>
  <x:tableParts count="1">
    <x:tablePart xmlns:r="http://schemas.openxmlformats.org/officeDocument/2006/relationships" r:id="R767cfccc0ae5448d"/>
  </x:tableParts>
</x:worksheet>
</file>
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513460e5554ade" /></Relationships>
</file>

<file path=xl/workbook.xml><?xml version="1.0" encoding="utf-8"?>
<x:workbook xmlns:x="http://schemas.openxmlformats.org/spreadsheetml/2006/main">
  <x:sheets>
    <x:sheet xmlns:r="http://schemas.openxmlformats.org/officeDocument/2006/relationships" name="Synthese" sheetId="1" r:id="R7c116c329fb94bb0"/>
    <x:sheet xmlns:r="http://schemas.openxmlformats.org/officeDocument/2006/relationships" name="Effectifs" sheetId="2" r:id="Rb4fd2d8f50144fff"/>
    <x:sheet xmlns:r="http://schemas.openxmlformats.org/officeDocument/2006/relationships" name="Manquants" sheetId="3" r:id="Ree6795b331b24efc"/>
    <x:sheet xmlns:r="http://schemas.openxmlformats.org/officeDocument/2006/relationships" name="Comparatif_DW" sheetId="4" r:id="R7a14cda93b2f4b31"/>
    <x:sheet xmlns:r="http://schemas.openxmlformats.org/officeDocument/2006/relationships" name="Groupes" sheetId="5" r:id="R6059f58e0a734de7"/>
    <x:sheet xmlns:r="http://schemas.openxmlformats.org/officeDocument/2006/relationships" name="Fronts" sheetId="6" r:id="Re8f42b06d9ec436e"/>
    <x:sheet xmlns:r="http://schemas.openxmlformats.org/officeDocument/2006/relationships" name="Cartes_zones" sheetId="7" r:id="R8e2713d4ab6e437e"/>
    <x:sheet xmlns:r="http://schemas.openxmlformats.org/officeDocument/2006/relationships" name="Boss_et_elites" sheetId="8" r:id="Rcf4f2639f900474f"/>
    <x:sheet xmlns:r="http://schemas.openxmlformats.org/officeDocument/2006/relationships" name="Fidelite" sheetId="9" r:id="R7662a34c986847d3"/>
    <x:sheet xmlns:r="http://schemas.openxmlformats.org/officeDocument/2006/relationships" name="Validation" sheetId="10" r:id="R013a8040d7db44e5"/>
    <x:sheet xmlns:r="http://schemas.openxmlformats.org/officeDocument/2006/relationships" name="Feuille_route" sheetId="11" r:id="R1c3e57648e164d19"/>
    <x:sheet xmlns:r="http://schemas.openxmlformats.org/officeDocument/2006/relationships" name="Etat_verifie" sheetId="12" r:id="R1887d09d538c4a71"/>
    <x:sheet xmlns:r="http://schemas.openxmlformats.org/officeDocument/2006/relationships" name="Affrontements" sheetId="13" r:id="R48bb4709df3b4dc5"/>
    <x:sheet xmlns:r="http://schemas.openxmlformats.org/officeDocument/2006/relationships" name="Bestiaire_medias" sheetId="14" r:id="R5cfff2096ce6430e"/>
    <x:sheet xmlns:r="http://schemas.openxmlformats.org/officeDocument/2006/relationships" name="Lieux_medias" sheetId="15" r:id="R3eea8bca51f1416c"/>
    <x:sheet xmlns:r="http://schemas.openxmlformats.org/officeDocument/2006/relationships" name="Controle_roster" sheetId="16" r:id="R23fce94579ce48f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dd/mm/yyyy"/>
    <x:numFmt numFmtId="202" formatCode="+0"/>
  </x:numFmts>
  <x:fonts count="10">
    <x:font>
      <x:sz val="11"/>
      <x:name val="Carlito"/>
    </x:font>
    <x:font>
      <x:sz val="10"/>
      <x:color rgb="FF1F2C24"/>
      <x:name val="Arial"/>
    </x:font>
    <x:font>
      <x:b/>
      <x:sz val="16"/>
      <x:color rgb="FF344536"/>
      <x:name val="Arial"/>
    </x:font>
    <x:font>
      <x:i/>
      <x:sz val="10"/>
      <x:color rgb="FF626D61"/>
      <x:name val="Arial"/>
    </x:font>
    <x:font>
      <x:sz val="10"/>
      <x:color rgb="FF626D61"/>
      <x:name val="Arial"/>
    </x:font>
    <x:font>
      <x:b/>
      <x:sz val="10"/>
      <x:color rgb="FFFFFFFF"/>
      <x:name val="Arial"/>
    </x:font>
    <x:font>
      <x:sz val="10"/>
      <x:color rgb="FF336080"/>
      <x:name val="Arial"/>
    </x:font>
    <x:font>
      <x:b/>
      <x:sz val="14"/>
      <x:color rgb="FF344536"/>
      <x:name val="Arial"/>
    </x:font>
    <x:font>
      <x:b/>
      <x:sz val="12"/>
      <x:color rgb="FF344536"/>
      <x:name val="Arial"/>
    </x:font>
    <x:font>
      <x:b/>
      <x:sz val="10"/>
      <x:color rgb="FF1F2C24"/>
      <x:name val="Arial"/>
    </x:font>
  </x:fonts>
  <x:fills count="17">
    <x:fill>
      <x:patternFill patternType="none"/>
    </x:fill>
    <x:fill>
      <x:patternFill patternType="gray125"/>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
      <x:patternFill patternType="solid">
        <x:fgColor rgb="FFFFFFFF"/>
      </x:patternFill>
    </x:fill>
    <x:fill>
      <x:patternFill patternType="solid">
        <x:fgColor rgb="FFF2F5EF"/>
      </x:patternFill>
    </x:fill>
    <x:fill>
      <x:patternFill patternType="solid">
        <x:fgColor rgb="FF344536"/>
      </x:patternFill>
    </x:fill>
    <x:fill>
      <x:patternFill patternType="solid">
        <x:fgColor rgb="FFFFF2CC"/>
      </x:patternFill>
    </x:fill>
    <x:fill>
      <x:patternFill patternType="solid">
        <x:fgColor rgb="FFFFFFFF"/>
      </x:patternFill>
    </x:fill>
    <x:fill>
      <x:patternFill patternType="solid">
        <x:fgColor rgb="FF344536"/>
      </x:patternFill>
    </x:fill>
    <x:fill>
      <x:patternFill patternType="solid">
        <x:fgColor rgb="FFF2F5EF"/>
      </x:patternFill>
    </x:fill>
  </x:fills>
  <x:borders count="5">
    <x:border>
      <x:left/>
      <x:right/>
      <x:top/>
      <x:bottom/>
      <x:diagonal/>
    </x:border>
    <x:border>
      <x:left/>
      <x:right/>
      <x:top/>
      <x:bottom style="thin">
        <x:color rgb="FFBEC9B7"/>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2"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2" borderId="0" xfId="0" applyNumberFormat="1" applyFont="1" applyFill="1" applyBorder="1" applyAlignment="1">
      <x:alignment horizontal="right" vertical="top" wrapText="1"/>
    </x:xf>
    <x:xf numFmtId="0" fontId="1" fillId="3" borderId="0" xfId="0" applyNumberFormat="1" applyFont="1" applyFill="1" applyBorder="1" applyAlignment="1">
      <x:alignment horizontal="right" vertical="top" wrapText="1"/>
    </x:xf>
    <x:xf numFmtId="200" fontId="1" fillId="2"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6" borderId="0" xfId="0" applyNumberFormat="1" applyFont="1" applyFill="1" applyBorder="1" applyAlignment="1">
      <x:alignment horizontal="right" vertical="top" wrapText="1"/>
    </x:xf>
    <x:xf numFmtId="0" fontId="1" fillId="7" borderId="0" xfId="0" applyNumberFormat="1" applyFont="1" applyFill="1" applyBorder="1" applyAlignment="1">
      <x:alignment horizontal="right" vertical="top" wrapText="1"/>
    </x:xf>
    <x:xf numFmtId="200" fontId="1" fillId="6" borderId="0" xfId="0" applyNumberFormat="1" applyFont="1" applyFill="1" applyBorder="1" applyAlignment="1">
      <x:alignment horizontal="right" vertical="top" wrapText="1"/>
    </x:xf>
    <x:xf numFmtId="200" fontId="1" fillId="7" borderId="0" xfId="0" applyNumberFormat="1" applyFont="1" applyFill="1" applyBorder="1" applyAlignment="1">
      <x:alignment horizontal="right" vertical="top" wrapText="1"/>
    </x:xf>
    <x:xf numFmtId="0" fontId="6" fillId="7"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3"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8" borderId="0" xfId="0" applyNumberFormat="1" applyFont="1" applyFill="1" applyBorder="1" applyAlignment="1">
      <x:alignment vertical="center"/>
    </x:xf>
    <x:xf numFmtId="0" fontId="5" fillId="8" borderId="0" xfId="0" applyNumberFormat="1" applyFont="1" applyFill="1" applyBorder="1" applyAlignment="1">
      <x:alignment vertical="center"/>
    </x:xf>
    <x:xf numFmtId="0" fontId="5" fillId="8" borderId="2" xfId="0" applyNumberFormat="1" applyFont="1" applyFill="1" applyBorder="1" applyAlignment="1">
      <x:alignment vertical="center"/>
    </x:xf>
    <x:xf numFmtId="0" fontId="5" fillId="8" borderId="3" xfId="0" applyNumberFormat="1" applyFont="1" applyFill="1" applyBorder="1" applyAlignment="1">
      <x:alignment vertical="center"/>
    </x:xf>
    <x:xf numFmtId="0" fontId="5" fillId="8" borderId="4" xfId="0" applyNumberFormat="1" applyFont="1" applyFill="1" applyBorder="1" applyAlignment="1">
      <x:alignment vertical="center"/>
    </x:xf>
    <x:xf numFmtId="0" fontId="5" fillId="8" borderId="2" xfId="0" applyNumberFormat="1" applyFont="1" applyFill="1" applyBorder="1" applyAlignment="1">
      <x:alignment vertical="center" wrapText="1"/>
    </x:xf>
    <x:xf numFmtId="0" fontId="5" fillId="8" borderId="3" xfId="0" applyNumberFormat="1" applyFont="1" applyFill="1" applyBorder="1" applyAlignment="1">
      <x:alignment vertical="center" wrapText="1"/>
    </x:xf>
    <x:xf numFmtId="0" fontId="5" fillId="8" borderId="4" xfId="0" applyNumberFormat="1" applyFont="1" applyFill="1" applyBorder="1" applyAlignment="1">
      <x:alignment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4" fillId="6"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200" fontId="1" fillId="9" borderId="0" xfId="0" applyNumberFormat="1" applyFont="1" applyFill="1" applyBorder="1" applyAlignment="1">
      <x:alignment vertical="top" wrapText="1"/>
    </x:xf>
    <x:xf numFmtId="202" fontId="1" fillId="2" borderId="0" xfId="0" applyNumberFormat="1" applyFont="1" applyFill="1" applyBorder="1" applyAlignment="1">
      <x:alignment vertical="center"/>
    </x:xf>
    <x:xf numFmtId="0" fontId="1" fillId="7" borderId="0" xfId="0" applyNumberFormat="1" applyFont="1" applyFill="1" applyBorder="1" applyAlignment="1">
      <x:alignment vertical="center"/>
    </x:xf>
    <x:xf numFmtId="202" fontId="1" fillId="7" borderId="0" xfId="0" applyNumberFormat="1" applyFont="1" applyFill="1" applyBorder="1" applyAlignment="1">
      <x:alignment vertical="center"/>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0" borderId="0" xfId="0" applyNumberFormat="1" applyFont="1" applyFill="1" applyBorder="1" applyAlignment="1">
      <x:alignment horizontal="right" vertical="top" wrapText="1"/>
    </x:xf>
    <x:xf numFmtId="0" fontId="1" fillId="11" borderId="0" xfId="0" applyNumberFormat="1" applyFont="1" applyFill="1" applyBorder="1" applyAlignment="1">
      <x:alignment horizontal="right" vertical="top" wrapText="1"/>
    </x:xf>
    <x:xf numFmtId="200" fontId="1" fillId="10" borderId="0" xfId="0" applyNumberFormat="1" applyFont="1" applyFill="1" applyBorder="1" applyAlignment="1">
      <x:alignment horizontal="right" vertical="top" wrapText="1"/>
    </x:xf>
    <x:xf numFmtId="200" fontId="1" fillId="11" borderId="0" xfId="0" applyNumberFormat="1" applyFont="1" applyFill="1" applyBorder="1" applyAlignment="1">
      <x:alignment horizontal="right" vertical="top" wrapText="1"/>
    </x:xf>
    <x:xf numFmtId="0" fontId="6" fillId="11"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1" fillId="10" borderId="0" xfId="0" applyNumberFormat="1" applyFont="1" applyFill="1" applyBorder="1" applyAlignment="1">
      <x:alignment vertical="center"/>
    </x:xf>
    <x:xf numFmtId="0" fontId="2" fillId="10" borderId="0" xfId="0" applyNumberFormat="1" applyFont="1" applyFill="1" applyBorder="1" applyAlignment="1">
      <x:alignment vertical="center"/>
    </x:xf>
    <x:xf numFmtId="0" fontId="1" fillId="10" borderId="1" xfId="0" applyNumberFormat="1" applyFont="1" applyFill="1" applyBorder="1" applyAlignment="1">
      <x:alignment vertical="center"/>
    </x:xf>
    <x:xf numFmtId="0" fontId="3" fillId="10" borderId="0" xfId="0" applyNumberFormat="1" applyFont="1" applyFill="1" applyBorder="1" applyAlignment="1">
      <x:alignment vertical="center"/>
    </x:xf>
    <x:xf numFmtId="0" fontId="1" fillId="10" borderId="0" xfId="0" applyNumberFormat="1" applyFont="1" applyFill="1" applyBorder="1" applyAlignment="1">
      <x:alignment vertical="center" wrapText="1"/>
    </x:xf>
    <x:xf numFmtId="0" fontId="1" fillId="12" borderId="0" xfId="0" applyNumberFormat="1" applyFont="1" applyFill="1" applyBorder="1" applyAlignment="1">
      <x:alignment vertical="center"/>
    </x:xf>
    <x:xf numFmtId="0" fontId="5" fillId="12" borderId="0" xfId="0" applyNumberFormat="1" applyFont="1" applyFill="1" applyBorder="1" applyAlignment="1">
      <x:alignment vertical="center"/>
    </x:xf>
    <x:xf numFmtId="0" fontId="5" fillId="12" borderId="2" xfId="0" applyNumberFormat="1" applyFont="1" applyFill="1" applyBorder="1" applyAlignment="1">
      <x:alignment vertical="center"/>
    </x:xf>
    <x:xf numFmtId="0" fontId="5" fillId="12" borderId="3" xfId="0" applyNumberFormat="1" applyFont="1" applyFill="1" applyBorder="1" applyAlignment="1">
      <x:alignment vertical="center"/>
    </x:xf>
    <x:xf numFmtId="0" fontId="5" fillId="12" borderId="4" xfId="0" applyNumberFormat="1" applyFont="1" applyFill="1" applyBorder="1" applyAlignment="1">
      <x:alignment vertical="center"/>
    </x:xf>
    <x:xf numFmtId="0" fontId="5" fillId="12" borderId="2" xfId="0" applyNumberFormat="1" applyFont="1" applyFill="1" applyBorder="1" applyAlignment="1">
      <x:alignment vertical="center" wrapText="1"/>
    </x:xf>
    <x:xf numFmtId="0" fontId="5" fillId="12" borderId="3" xfId="0" applyNumberFormat="1" applyFont="1" applyFill="1" applyBorder="1" applyAlignment="1">
      <x:alignment vertical="center" wrapText="1"/>
    </x:xf>
    <x:xf numFmtId="0" fontId="5" fillId="12" borderId="4" xfId="0" applyNumberFormat="1" applyFont="1" applyFill="1" applyBorder="1" applyAlignment="1">
      <x:alignment vertical="center" wrapText="1"/>
    </x:xf>
    <x:xf numFmtId="0" fontId="5" fillId="12" borderId="2" xfId="0" applyNumberFormat="1" applyFont="1" applyFill="1" applyBorder="1" applyAlignment="1">
      <x:alignment horizontal="center" vertical="center" wrapText="1"/>
    </x:xf>
    <x:xf numFmtId="0" fontId="5" fillId="12" borderId="3" xfId="0" applyNumberFormat="1" applyFont="1" applyFill="1" applyBorder="1" applyAlignment="1">
      <x:alignment horizontal="center" vertical="center" wrapText="1"/>
    </x:xf>
    <x:xf numFmtId="0" fontId="5" fillId="12" borderId="4" xfId="0" applyNumberFormat="1" applyFont="1" applyFill="1" applyBorder="1" applyAlignment="1">
      <x:alignment horizontal="center" vertical="center" wrapText="1"/>
    </x:xf>
    <x:xf numFmtId="0" fontId="4" fillId="10" borderId="0" xfId="0" applyNumberFormat="1" applyFont="1" applyFill="1" applyBorder="1" applyAlignment="1">
      <x:alignment vertical="center"/>
    </x:xf>
    <x:xf numFmtId="200" fontId="1" fillId="13" borderId="0" xfId="0" applyNumberFormat="1" applyFont="1" applyFill="1" applyBorder="1" applyAlignment="1">
      <x:alignment vertical="top" wrapText="1"/>
    </x:xf>
    <x:xf numFmtId="0" fontId="7" fillId="0" borderId="0" xfId="0" applyNumberFormat="1" applyFont="1" applyFill="1" applyBorder="1"/>
    <x:xf numFmtId="0" fontId="1" fillId="12" borderId="0" xfId="0" applyNumberFormat="1" applyFont="1" applyFill="1" applyBorder="1"/>
    <x:xf numFmtId="0" fontId="5" fillId="12" borderId="0" xfId="0" applyNumberFormat="1" applyFont="1" applyFill="1" applyBorder="1"/>
    <x:xf numFmtId="0" fontId="5" fillId="12" borderId="2" xfId="0" applyNumberFormat="1" applyFont="1" applyFill="1" applyBorder="1"/>
    <x:xf numFmtId="0" fontId="5" fillId="12" borderId="3" xfId="0" applyNumberFormat="1" applyFont="1" applyFill="1" applyBorder="1"/>
    <x:xf numFmtId="0" fontId="5" fillId="12" borderId="4" xfId="0" applyNumberFormat="1" applyFont="1" applyFill="1" applyBorder="1"/>
    <x:xf numFmtId="0" fontId="5" fillId="12" borderId="2" xfId="0" applyNumberFormat="1" applyFont="1" applyFill="1" applyBorder="1" applyAlignment="1">
      <x:alignment wrapText="1"/>
    </x:xf>
    <x:xf numFmtId="0" fontId="5" fillId="12" borderId="3" xfId="0" applyNumberFormat="1" applyFont="1" applyFill="1" applyBorder="1" applyAlignment="1">
      <x:alignment wrapText="1"/>
    </x:xf>
    <x:xf numFmtId="0" fontId="5" fillId="12" borderId="4" xfId="0" applyNumberFormat="1" applyFont="1" applyFill="1" applyBorder="1" applyAlignment="1">
      <x:alignment wrapText="1"/>
    </x:xf>
    <x:xf numFmtId="0" fontId="5" fillId="12" borderId="2" xfId="0" applyNumberFormat="1" applyFont="1" applyFill="1" applyBorder="1" applyAlignment="1">
      <x:alignment horizontal="center" wrapText="1"/>
    </x:xf>
    <x:xf numFmtId="0" fontId="5" fillId="12" borderId="3" xfId="0" applyNumberFormat="1" applyFont="1" applyFill="1" applyBorder="1" applyAlignment="1">
      <x:alignment horizontal="center" wrapText="1"/>
    </x:xf>
    <x:xf numFmtId="0" fontId="5" fillId="12" borderId="4" xfId="0" applyNumberFormat="1" applyFont="1" applyFill="1" applyBorder="1" applyAlignment="1">
      <x:alignment horizontal="center" wrapText="1"/>
    </x:xf>
    <x:xf numFmtId="202" fontId="1" fillId="0" borderId="0" xfId="0" applyNumberFormat="1" applyFont="1" applyFill="1" applyBorder="1"/>
    <x:xf numFmtId="0" fontId="1" fillId="11" borderId="0" xfId="0" applyNumberFormat="1" applyFont="1" applyFill="1" applyBorder="1"/>
    <x:xf numFmtId="202" fontId="1" fillId="11"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vertical="top"/>
    </x:xf>
    <x:xf numFmtId="0" fontId="2" fillId="14" borderId="0" xfId="0" applyNumberFormat="1" applyFont="1" applyFill="1" applyBorder="1" applyAlignment="1">
      <x:alignment vertical="top"/>
    </x:xf>
    <x:xf numFmtId="0" fontId="3" fillId="14" borderId="0" xfId="0" applyNumberFormat="1" applyFont="1" applyFill="1" applyBorder="1" applyAlignment="1">
      <x:alignment vertical="top"/>
    </x:xf>
    <x:xf numFmtId="0" fontId="4" fillId="14" borderId="0" xfId="0" applyNumberFormat="1" applyFont="1" applyFill="1" applyBorder="1" applyAlignment="1">
      <x:alignment vertical="top"/>
    </x:xf>
    <x:xf numFmtId="0" fontId="1" fillId="15" borderId="0" xfId="0" applyNumberFormat="1" applyFont="1" applyFill="1" applyBorder="1" applyAlignment="1">
      <x:alignment vertical="top"/>
    </x:xf>
    <x:xf numFmtId="0" fontId="5" fillId="15" borderId="0" xfId="0" applyNumberFormat="1" applyFont="1" applyFill="1" applyBorder="1" applyAlignment="1">
      <x:alignment vertical="top"/>
    </x:xf>
    <x:xf numFmtId="0" fontId="5" fillId="15" borderId="2" xfId="0" applyNumberFormat="1" applyFont="1" applyFill="1" applyBorder="1" applyAlignment="1">
      <x:alignment vertical="top"/>
    </x:xf>
    <x:xf numFmtId="0" fontId="5" fillId="15" borderId="3" xfId="0" applyNumberFormat="1" applyFont="1" applyFill="1" applyBorder="1" applyAlignment="1">
      <x:alignment vertical="top"/>
    </x:xf>
    <x:xf numFmtId="0" fontId="5" fillId="15" borderId="4" xfId="0" applyNumberFormat="1" applyFont="1" applyFill="1" applyBorder="1" applyAlignment="1">
      <x:alignment vertical="top"/>
    </x:xf>
    <x:xf numFmtId="0" fontId="5" fillId="15" borderId="2" xfId="0" applyNumberFormat="1" applyFont="1" applyFill="1" applyBorder="1" applyAlignment="1">
      <x:alignment vertical="top" wrapText="1"/>
    </x:xf>
    <x:xf numFmtId="0" fontId="5" fillId="15" borderId="3" xfId="0" applyNumberFormat="1" applyFont="1" applyFill="1" applyBorder="1" applyAlignment="1">
      <x:alignment vertical="top" wrapText="1"/>
    </x:xf>
    <x:xf numFmtId="0" fontId="5" fillId="15" borderId="4" xfId="0" applyNumberFormat="1" applyFont="1" applyFill="1" applyBorder="1" applyAlignment="1">
      <x:alignment vertical="top" wrapText="1"/>
    </x:xf>
    <x:xf numFmtId="0" fontId="5" fillId="15" borderId="2" xfId="0" applyNumberFormat="1" applyFont="1" applyFill="1" applyBorder="1" applyAlignment="1">
      <x:alignment horizontal="center" vertical="top" wrapText="1"/>
    </x:xf>
    <x:xf numFmtId="0" fontId="5" fillId="15" borderId="3" xfId="0" applyNumberFormat="1" applyFont="1" applyFill="1" applyBorder="1" applyAlignment="1">
      <x:alignment horizontal="center" vertical="top" wrapText="1"/>
    </x:xf>
    <x:xf numFmtId="0" fontId="5" fillId="15" borderId="4" xfId="0" applyNumberFormat="1" applyFont="1" applyFill="1" applyBorder="1" applyAlignment="1">
      <x:alignment horizontal="center" vertical="top" wrapText="1"/>
    </x:xf>
    <x:xf numFmtId="0" fontId="5" fillId="15" borderId="2" xfId="0" applyNumberFormat="1" applyFont="1" applyFill="1" applyBorder="1" applyAlignment="1">
      <x:alignment horizontal="center" vertical="center" wrapText="1"/>
    </x:xf>
    <x:xf numFmtId="0" fontId="5" fillId="15" borderId="3" xfId="0" applyNumberFormat="1" applyFont="1" applyFill="1" applyBorder="1" applyAlignment="1">
      <x:alignment horizontal="center" vertical="center" wrapText="1"/>
    </x:xf>
    <x:xf numFmtId="0" fontId="5" fillId="15" borderId="4" xfId="0" applyNumberFormat="1" applyFont="1" applyFill="1" applyBorder="1" applyAlignment="1">
      <x:alignment horizontal="center" vertical="center" wrapText="1"/>
    </x:xf>
    <x:xf numFmtId="0" fontId="1" fillId="14"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201" fontId="1" fillId="14" borderId="0" xfId="0" applyNumberFormat="1" applyFont="1" applyFill="1" applyBorder="1" applyAlignment="1">
      <x:alignment vertical="top" wrapText="1"/>
    </x:xf>
    <x:xf numFmtId="201" fontId="1" fillId="16" borderId="0" xfId="0" applyNumberFormat="1" applyFont="1" applyFill="1" applyBorder="1" applyAlignment="1">
      <x:alignment vertical="top" wrapText="1"/>
    </x:xf>
    <x:xf numFmtId="200" fontId="0" fillId="0" borderId="0" xfId="0" applyNumberFormat="1" applyFont="1" applyFill="1" applyBorder="1"/>
    <x:xf numFmtId="0" fontId="9" fillId="4" borderId="2" xfId="0" applyNumberFormat="1" applyFont="1" applyFill="1" applyBorder="1" applyAlignment="1">
      <x:alignment horizontal="center" vertical="center" wrapText="1"/>
    </x:xf>
    <x:xf numFmtId="0" fontId="9" fillId="4" borderId="4" xfId="0" applyNumberFormat="1" applyFont="1" applyFill="1" applyBorder="1" applyAlignment="1">
      <x:alignment horizontal="center" vertical="center" wrapText="1"/>
    </x:xf>
    <x:xf numFmtId="200" fontId="1" fillId="0" borderId="0" xfId="0" applyNumberFormat="1" applyFont="1" applyFill="1" applyBorder="1"/>
    <x:xf numFmtId="0" fontId="9" fillId="0" borderId="0" xfId="0" applyNumberFormat="1" applyFont="1" applyFill="1" applyBorder="1"/>
    <x:xf numFmtId="200" fontId="9" fillId="0" borderId="0" xfId="0" applyNumberFormat="1" applyFont="1" applyFill="1" applyBorder="1"/>
  </x:cellXfs>
  <x:cellStyles count="1">
    <x:cellStyle name="Normal" xfId="0"/>
  </x:cellStyles>
  <x:dxfs count="76">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x:bgColor rgb="FFFCE8E8"/>
        </x:patternFill>
      </x:fill>
    </x:dxf>
    <x:dxf>
      <x:font>
        <x:b/>
        <x:color rgb="FF9C5700"/>
      </x:font>
      <x:fill>
        <x:patternFill>
          <x:bgColor rgb="FFFFF0D9"/>
        </x:patternFill>
      </x:fill>
    </x:dxf>
    <x:dxf>
      <x:font>
        <x:b/>
        <x:color rgb="FF285075"/>
      </x:font>
      <x:fill>
        <x:patternFill>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634"/>
      </x:font>
      <x:fill>
        <x:patternFill patternType="solid">
          <x:bgColor rgb="FFFCE8E8"/>
        </x:patternFill>
      </x:fill>
    </x:dxf>
    <x:dxf>
      <x:font>
        <x:b/>
        <x:color rgb="FF9C5700"/>
      </x:font>
      <x:fill>
        <x:patternFill patternType="solid">
          <x:bgColor rgb="FFFFF0D9"/>
        </x:patternFill>
      </x:fill>
    </x:dxf>
    <x:dxf>
      <x:font>
        <x:b/>
        <x:color rgb="FF285075"/>
      </x:font>
      <x:fill>
        <x:patternFill patternType="solid">
          <x:bgColor rgb="FFEAF1F8"/>
        </x:patternFill>
      </x:fill>
    </x:dxf>
    <x:dxf>
      <x:font>
        <x:b/>
        <x:color rgb="FF9C2424"/>
      </x:font>
      <x:fill>
        <x:patternFill patternType="solid">
          <x:bgColor rgb="FFFDE9E7"/>
        </x:patternFill>
      </x:fill>
    </x:dxf>
    <x:dxf>
      <x:font>
        <x:color rgb="FF7F6000"/>
      </x:font>
      <x:fill>
        <x:patternFill patternType="solid">
          <x:bgColor rgb="FFFFF2CC"/>
        </x:patternFill>
      </x:fill>
    </x:dxf>
    <x:dxf>
      <x:font>
        <x:color rgb="FF9C2424"/>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dec8da09294798" /><Relationship Type="http://schemas.openxmlformats.org/officeDocument/2006/relationships/theme" Target="/xl/theme/theme1.xml" Id="R8f1070dc011248e3" /><Relationship Type="http://schemas.openxmlformats.org/officeDocument/2006/relationships/sharedStrings" Target="/xl/sharedStrings.xml" Id="Re005391f49c04c89" /><Relationship Type="http://schemas.openxmlformats.org/officeDocument/2006/relationships/worksheet" Target="/xl/worksheets/sheet1.xml" Id="R7c116c329fb94bb0" /><Relationship Type="http://schemas.openxmlformats.org/officeDocument/2006/relationships/worksheet" Target="/xl/worksheets/sheet2.xml" Id="Rb4fd2d8f50144fff" /><Relationship Type="http://schemas.openxmlformats.org/officeDocument/2006/relationships/worksheet" Target="/xl/worksheets/sheet3.xml" Id="Ree6795b331b24efc" /><Relationship Type="http://schemas.openxmlformats.org/officeDocument/2006/relationships/worksheet" Target="/xl/worksheets/sheet4.xml" Id="R7a14cda93b2f4b31" /><Relationship Type="http://schemas.openxmlformats.org/officeDocument/2006/relationships/worksheet" Target="/xl/worksheets/sheet5.xml" Id="R6059f58e0a734de7" /><Relationship Type="http://schemas.openxmlformats.org/officeDocument/2006/relationships/worksheet" Target="/xl/worksheets/sheet6.xml" Id="Re8f42b06d9ec436e" /><Relationship Type="http://schemas.openxmlformats.org/officeDocument/2006/relationships/worksheet" Target="/xl/worksheets/sheet7.xml" Id="R8e2713d4ab6e437e" /><Relationship Type="http://schemas.openxmlformats.org/officeDocument/2006/relationships/worksheet" Target="/xl/worksheets/sheet8.xml" Id="Rcf4f2639f900474f" /><Relationship Type="http://schemas.openxmlformats.org/officeDocument/2006/relationships/worksheet" Target="/xl/worksheets/sheet9.xml" Id="R7662a34c986847d3" /><Relationship Type="http://schemas.openxmlformats.org/officeDocument/2006/relationships/worksheet" Target="/xl/worksheets/sheet10.xml" Id="R013a8040d7db44e5" /><Relationship Type="http://schemas.openxmlformats.org/officeDocument/2006/relationships/worksheet" Target="/xl/worksheets/sheet11.xml" Id="R1c3e57648e164d19" /><Relationship Type="http://schemas.openxmlformats.org/officeDocument/2006/relationships/worksheet" Target="/xl/worksheets/sheet12.xml" Id="R1887d09d538c4a71" /><Relationship Type="http://schemas.openxmlformats.org/officeDocument/2006/relationships/worksheet" Target="/xl/worksheets/sheet13.xml" Id="R48bb4709df3b4dc5" /><Relationship Type="http://schemas.openxmlformats.org/officeDocument/2006/relationships/worksheet" Target="/xl/worksheets/sheet14.xml" Id="R5cfff2096ce6430e" /><Relationship Type="http://schemas.openxmlformats.org/officeDocument/2006/relationships/worksheet" Target="/xl/worksheets/sheet15.xml" Id="R3eea8bca51f1416c" /><Relationship Type="http://schemas.openxmlformats.org/officeDocument/2006/relationships/worksheet" Target="/xl/worksheets/sheet16.xml" Id="R23fce94579ce48fa" /></Relationships>
</file>

<file path=xl/tables/table1.xml><?xml version="1.0" encoding="utf-8"?>
<x:table xmlns:x="http://schemas.openxmlformats.org/spreadsheetml/2006/main" id="11" name="BattleBudgets" displayName="BattleBudgets" ref="A6:O23" headerRowCount="1" totalsRowCount="0" totalsRowShown="0">
  <x:autoFilter ref="A6:O23"/>
  <x:tableColumns count="15">
    <x:tableColumn id="1" name="ID"/>
    <x:tableColumn id="2" name="Format de bataille"/>
    <x:tableColumn id="3" name="Ennemis actifs"/>
    <x:tableColumn id="4" name="Alliés PNJ actifs"/>
    <x:tableColumn id="5" name="Joueurs actifs"/>
    <x:tableColumn id="6" name="Total actifs"/>
    <x:tableColumn id="7" name="Ennemis distants"/>
    <x:tableColumn id="8" name="Alliés PNJ distants"/>
    <x:tableColumn id="9" name="Réserves ennemies"/>
    <x:tableColumn id="10" name="Réserves alliées PNJ"/>
    <x:tableColumn id="11" name="Force ennemie cible"/>
    <x:tableColumn id="12" name="Force alliée PNJ cible"/>
    <x:tableColumn id="13" name="Force totale allouée"/>
    <x:tableColumn id="14" name="Fronts simultanés"/>
    <x:tableColumn id="15" name="Conditions / budget"/>
  </x:tableColumns>
  <x:tableStyleInfo name="TableStyleMedium2" showFirstColumn="0" showLastColumn="0" showRowStripes="1" showColumnStripes="0"/>
</x:table>
</file>

<file path=xl/tables/table2.xml><?xml version="1.0" encoding="utf-8"?>
<x:table xmlns:x="http://schemas.openxmlformats.org/spreadsheetml/2006/main" id="1" name="AuditTable1" displayName="AuditTable1" ref="A6:N132" headerRowCount="1" totalsRowCount="0" totalsRowShown="0">
  <x:autoFilter ref="A6:N132"/>
  <x:tableColumns count="14">
    <x:tableColumn id="1" name="ID"/>
    <x:tableColumn id="2" name="Domaine"/>
    <x:tableColumn id="3" name="Action"/>
    <x:tableColumn id="4" name="Priorité"/>
    <x:tableColumn id="5" name="État constaté"/>
    <x:tableColumn id="6" name="Main récent (0f37cc52)"/>
    <x:tableColumn id="7" name="Branche validée (1d52d9ff)"/>
    <x:tableColumn id="8" name="Résultat attendu"/>
    <x:tableColumn id="9" name="Critère de validation"/>
    <x:tableColumn id="10" name="Dépendances"/>
    <x:tableColumn id="11" name="Cohérence de franchise"/>
    <x:tableColumn id="12" name="Preuve dans le dépôt"/>
    <x:tableColumn id="13" name="Liens des preuves"/>
    <x:tableColumn id="14" name="Suivi"/>
  </x:tableColumns>
  <x:tableStyleInfo name="TableStyleLight9" showFirstColumn="0" showLastColumn="0" showRowStripes="1" showColumnStripes="0"/>
</x:table>
</file>

<file path=xl/tables/table3.xml><?xml version="1.0" encoding="utf-8"?>
<x:table xmlns:x="http://schemas.openxmlformats.org/spreadsheetml/2006/main" id="2" name="AuditTable2" displayName="AuditTable2" ref="A6:J46" headerRowCount="1" totalsRowCount="0" totalsRowShown="0">
  <x:autoFilter ref="A6:J46"/>
  <x:tableColumns count="10">
    <x:tableColumn id="1" name="ID"/>
    <x:tableColumn id="2" name="Domaine"/>
    <x:tableColumn id="3" name="Jeu de référence"/>
    <x:tableColumn id="4" name="Mécanisme documenté"/>
    <x:tableColumn id="5" name="Adaptation Yautja proposée"/>
    <x:tableColumn id="6" name="Critère de validation"/>
    <x:tableColumn id="7" name="Priorité"/>
    <x:tableColumn id="8" name="Actions liées"/>
    <x:tableColumn id="9" name="Source et portée"/>
    <x:tableColumn id="10" name="Source officielle"/>
  </x:tableColumns>
  <x:tableStyleInfo name="TableStyleLight9" showFirstColumn="0" showLastColumn="0" showRowStripes="1" showColumnStripes="0"/>
</x:table>
</file>

<file path=xl/tables/table4.xml><?xml version="1.0" encoding="utf-8"?>
<x:table xmlns:x="http://schemas.openxmlformats.org/spreadsheetml/2006/main" id="3" name="AuditTable3" displayName="AuditTable3" ref="A6:M68" headerRowCount="1" totalsRowCount="0" totalsRowShown="0">
  <x:autoFilter ref="A6:M68"/>
  <x:tableColumns count="13">
    <x:tableColumn id="1" name="ID"/>
    <x:tableColumn id="2" name="Faction"/>
    <x:tableColumn id="3" name="Rôle du groupe"/>
    <x:tableColumn id="4" name="Œuvre / continuité"/>
    <x:tableColumn id="5" name="Composition cohérente"/>
    <x:tableColumn id="6" name="Minimum cible"/>
    <x:tableColumn id="7" name="Maximum cible"/>
    <x:tableColumn id="8" name="Population comptée"/>
    <x:tableColumn id="9" name="Commandement / coordination"/>
    <x:tableColumn id="10" name="Comportement"/>
    <x:tableColumn id="11" name="Origine des renforts"/>
    <x:tableColumn id="12" name="Restrictions"/>
    <x:tableColumn id="13" name="État / travail"/>
  </x:tableColumns>
  <x:tableStyleInfo name="TableStyleLight9" showFirstColumn="0" showLastColumn="0" showRowStripes="1" showColumnStripes="0"/>
</x:table>
</file>

<file path=xl/tables/table5.xml><?xml version="1.0" encoding="utf-8"?>
<x:table xmlns:x="http://schemas.openxmlformats.org/spreadsheetml/2006/main" id="4" name="AuditTable4" displayName="AuditTable4" ref="A6:M46" headerRowCount="1" totalsRowCount="0" totalsRowShown="0">
  <x:autoFilter ref="A6:M46"/>
  <x:tableColumns count="13">
    <x:tableColumn id="1" name="ID"/>
    <x:tableColumn id="2" name="Opération"/>
    <x:tableColumn id="3" name="Front A"/>
    <x:tableColumn id="4" name="Front B"/>
    <x:tableColumn id="5" name="Front C"/>
    <x:tableColumn id="6" name="Front D (si prévu)"/>
    <x:tableColumn id="7" name="Front E (si prévu)"/>
    <x:tableColumn id="8" name="Évolution autonome"/>
    <x:tableColumn id="9" name="Choix du joueur"/>
    <x:tableColumn id="10" name="Conséquence si ignoré"/>
    <x:tableColumn id="11" name="Condition de réussite"/>
    <x:tableColumn id="12" name="Contraintes et budget"/>
    <x:tableColumn id="13" name="Priorité"/>
  </x:tableColumns>
  <x:tableStyleInfo name="TableStyleLight9" showFirstColumn="0" showLastColumn="0" showRowStripes="1" showColumnStripes="0"/>
</x:table>
</file>

<file path=xl/tables/table6.xml><?xml version="1.0" encoding="utf-8"?>
<x:table xmlns:x="http://schemas.openxmlformats.org/spreadsheetml/2006/main" id="5" name="AuditTable5" displayName="AuditTable5" ref="A6:Q40" headerRowCount="1" totalsRowCount="0" totalsRowShown="0">
  <x:autoFilter ref="A6:Q40"/>
  <x:tableColumns count="17">
    <x:tableColumn id="1" name="ID"/>
    <x:tableColumn id="2" name="Lieu"/>
    <x:tableColumn id="3" name="Présence actuelle"/>
    <x:tableColumn id="4" name="Périmètre de franchise"/>
    <x:tableColumn id="5" name="Largeur cible (u)"/>
    <x:tableColumn id="6" name="Longueur cible (u)"/>
    <x:tableColumn id="7" name="Secteurs cibles"/>
    <x:tableColumn id="8" name="Fronts cibles"/>
    <x:tableColumn id="9" name="Tailles / variations des zones"/>
    <x:tableColumn id="10" name="Connexions et circulation"/>
    <x:tableColumn id="11" name="Repères"/>
    <x:tableColumn id="12" name="Variation contrôlée"/>
    <x:tableColumn id="13" name="Temps de trajet cible"/>
    <x:tableColumn id="14" name="Vitesse de référence"/>
    <x:tableColumn id="15" name="Sens des dimensions"/>
    <x:tableColumn id="16" name="Critère de cohérence"/>
    <x:tableColumn id="17" name="Priorité"/>
  </x:tableColumns>
  <x:tableStyleInfo name="TableStyleLight9" showFirstColumn="0" showLastColumn="0" showRowStripes="1" showColumnStripes="0"/>
</x:table>
</file>

<file path=xl/tables/table7.xml><?xml version="1.0" encoding="utf-8"?>
<x:table xmlns:x="http://schemas.openxmlformats.org/spreadsheetml/2006/main" id="6" name="AuditTable6" displayName="AuditTable6" ref="A6:P45" headerRowCount="1" totalsRowCount="0" totalsRowShown="0">
  <x:autoFilter ref="A6:P45"/>
  <x:tableColumns count="16">
    <x:tableColumn id="1" name="ID"/>
    <x:tableColumn id="2" name="Rencontre"/>
    <x:tableColumn id="3" name="Niveau de rencontre"/>
    <x:tableColumn id="4" name="État actuel"/>
    <x:tableColumn id="5" name="Identifiant / système"/>
    <x:tableColumn id="6" name="Œuvre / statut"/>
    <x:tableColumn id="7" name="Rôle dans la bataille"/>
    <x:tableColumn id="8" name="Comportements et phases"/>
    <x:tableColumn id="9" name="Réponses du joueur"/>
    <x:tableColumn id="10" name="Effet sur les armées"/>
    <x:tableColumn id="11" name="Fréquence cible"/>
    <x:tableColumn id="12" name="Vérification de fidélité"/>
    <x:tableColumn id="13" name="Priorité"/>
    <x:tableColumn id="14" name="PV déclarés main"/>
    <x:tableColumn id="15" name="Preuve du profil actuel"/>
    <x:tableColumn id="16" name="Liens de code"/>
  </x:tableColumns>
  <x:tableStyleInfo name="TableStyleLight9" showFirstColumn="0" showLastColumn="0" showRowStripes="1" showColumnStripes="0"/>
</x:table>
</file>

<file path=xl/tables/table8.xml><?xml version="1.0" encoding="utf-8"?>
<x:table xmlns:x="http://schemas.openxmlformats.org/spreadsheetml/2006/main" id="7" name="AuditTable7" displayName="AuditTable7" ref="A6:K53" headerRowCount="1" totalsRowCount="0" totalsRowShown="0">
  <x:autoFilter ref="A6:K53"/>
  <x:tableColumns count="11">
    <x:tableColumn id="1" name="ID"/>
    <x:tableColumn id="2" name="Type de contrôle"/>
    <x:tableColumn id="3" name="Sujet"/>
    <x:tableColumn id="4" name="Niveau de preuve"/>
    <x:tableColumn id="5" name="Priorité"/>
    <x:tableColumn id="6" name="Élément établi / contexte"/>
    <x:tableColumn id="7" name="Action / règle d’adaptation"/>
    <x:tableColumn id="8" name="Limites de la référence"/>
    <x:tableColumn id="9" name="Validation attendue"/>
    <x:tableColumn id="10" name="Source et portée"/>
    <x:tableColumn id="11" name="URL de référence"/>
  </x:tableColumns>
  <x:tableStyleInfo name="TableStyleLight9" showFirstColumn="0" showLastColumn="0" showRowStripes="1" showColumnStripes="0"/>
</x:table>
</file>

<file path=xl/tables/table9.xml><?xml version="1.0" encoding="utf-8"?>
<x:table xmlns:x="http://schemas.openxmlformats.org/spreadsheetml/2006/main" id="8" name="AuditTable8" displayName="AuditTable8" ref="A6:G30" headerRowCount="1" totalsRowCount="0" totalsRowShown="0">
  <x:autoFilter ref="A6:G30"/>
  <x:tableColumns count="7">
    <x:tableColumn id="1" name="ID"/>
    <x:tableColumn id="2" name="Périmètre"/>
    <x:tableColumn id="3" name="Procédure"/>
    <x:tableColumn id="4" name="Résultat attendu"/>
    <x:tableColumn id="5" name="Preuve à conserver"/>
    <x:tableColumn id="6" name="État"/>
    <x:tableColumn id="7" name="Priorité"/>
  </x:tableColumns>
  <x:tableStyleInfo name="TableStyleLight9" showFirstColumn="0" showLastColumn="0" showRowStripes="1" showColumnStripes="0"/>
</x:table>
</file>

<file path=xl/tables/table10.xml><?xml version="1.0" encoding="utf-8"?>
<x:table xmlns:x="http://schemas.openxmlformats.org/spreadsheetml/2006/main" id="9" name="AuditTable9" displayName="AuditTable9" ref="A6:G12" headerRowCount="1" totalsRowCount="0" totalsRowShown="0">
  <x:autoFilter ref="A6:G12"/>
  <x:tableColumns count="7">
    <x:tableColumn id="1" name="ID"/>
    <x:tableColumn id="2" name="Lot"/>
    <x:tableColumn id="3" name="Livrable"/>
    <x:tableColumn id="4" name="Prérequis"/>
    <x:tableColumn id="5" name="Critère de sortie"/>
    <x:tableColumn id="6" name="Priorité"/>
    <x:tableColumn id="7" name="Suivi"/>
  </x:tableColumns>
  <x:tableStyleInfo name="TableStyleLight9" showFirstColumn="0" showLastColumn="0" showRowStripes="1" showColumnStripes="0"/>
</x:table>
</file>

<file path=xl/tables/table11.xml><?xml version="1.0" encoding="utf-8"?>
<x:table xmlns:x="http://schemas.openxmlformats.org/spreadsheetml/2006/main" id="10" name="AuditTable10" displayName="AuditTable10" ref="A6:I79" headerRowCount="1" totalsRowCount="0" totalsRowShown="0">
  <x:autoFilter ref="A6:I79"/>
  <x:tableColumns count="9">
    <x:tableColumn id="1" name="ID"/>
    <x:tableColumn id="2" name="Type de preuve"/>
    <x:tableColumn id="3" name="Élément contrôlé"/>
    <x:tableColumn id="4" name="Main / état principal"/>
    <x:tableColumn id="5" name="Branche validée / autre état"/>
    <x:tableColumn id="6" name="Unité / sens"/>
    <x:tableColumn id="7" name="Portée et limites"/>
    <x:tableColumn id="8" name="Preuve / référence"/>
    <x:tableColumn id="9" name="URL"/>
  </x:tableColumns>
  <x:tableStyleInfo name="TableStyleLight9" showFirstColumn="0" showLastColumn="0" showRowStripes="1" showColumnStripes="0"/>
</x:table>
</file>

<file path=xl/tables/table12.xml><?xml version="1.0" encoding="utf-8"?>
<x:table xmlns:x="http://schemas.openxmlformats.org/spreadsheetml/2006/main" id="12" name="AffrontementsTable" displayName="AffrontementsTable" ref="A6:V33" headerRowCount="1" totalsRowCount="0" totalsRowShown="0">
  <x:autoFilter ref="A6:V33"/>
  <x:tableColumns count="22">
    <x:tableColumn id="1" name="ID"/>
    <x:tableColumn id="2" name="Affrontement"/>
    <x:tableColumn id="3" name="Type de guerre"/>
    <x:tableColumn id="4" name="Carte et lieu"/>
    <x:tableColumn id="5" name="Fronts associés"/>
    <x:tableColumn id="6" name="Gabarit d’effectifs"/>
    <x:tableColumn id="7" name="Camp du joueur"/>
    <x:tableColumn id="8" name="Camp adverse"/>
    <x:tableColumn id="9" name="Tiers / civils"/>
    <x:tableColumn id="10" name="Groupes alliés"/>
    <x:tableColumn id="11" name="Groupes adverses"/>
    <x:tableColumn id="12" name="Implantation initiale"/>
    <x:tableColumn id="13" name="Réserves et renforts"/>
    <x:tableColumn id="14" name="Objectifs"/>
    <x:tableColumn id="15" name="Victoire"/>
    <x:tableColumn id="16" name="Défaite"/>
    <x:tableColumn id="17" name="Commandement"/>
    <x:tableColumn id="18" name="Boss et chefs"/>
    <x:tableColumn id="19" name="Conséquences entre fronts"/>
    <x:tableColumn id="20" name="Continuité / fiction"/>
    <x:tableColumn id="21" name="Priorité"/>
    <x:tableColumn id="22" name="Critères de validation"/>
  </x:tableColumns>
  <x:tableStyleInfo name="TableStyleLight9" showFirstColumn="0" showLastColumn="0" showRowStripes="1" showColumnStripes="0"/>
</x:table>
</file>

<file path=xl/tables/table13.xml><?xml version="1.0" encoding="utf-8"?>
<x:table xmlns:x="http://schemas.openxmlformats.org/spreadsheetml/2006/main" id="15" name="BestiaireMediasTable" displayName="BestiaireMediasTable" ref="A6:U223" headerRowCount="1" totalsRowCount="0" totalsRowShown="0">
  <x:autoFilter ref="A6:U223"/>
  <x:tableColumns count="21">
    <x:tableColumn id="1" name="ID"/>
    <x:tableColumn id="2" name="Famille / faction"/>
    <x:tableColumn id="3" name="Profil, forme ou dispositif"/>
    <x:tableColumn id="4" name="Nature de l’entrée"/>
    <x:tableColumn id="5" name="Éligibilité au spawn"/>
    <x:tableColumn id="6" name="Œuvre de référence"/>
    <x:tableColumn id="7" name="Média"/>
    <x:tableColumn id="8" name="Continuité / périmètre"/>
    <x:tableColumn id="9" name="Niveau de preuve"/>
    <x:tableColumn id="10" name="Fait établi par la source"/>
    <x:tableColumn id="11" name="Source et portée"/>
    <x:tableColumn id="12" name="URL de la source"/>
    <x:tableColumn id="13" name="État du code 39871c45"/>
    <x:tableColumn id="14" name="Preuve de code au 27/10/2026"/>
    <x:tableColumn id="15" name="Travail restant proposé"/>
    <x:tableColumn id="16" name="Rôle de combat proposé"/>
    <x:tableColumn id="17" name="Règle de groupe proposée"/>
    <x:tableColumn id="18" name="Affrontements compatibles"/>
    <x:tableColumn id="19" name="Lieux compatibles"/>
    <x:tableColumn id="20" name="Restrictions de cohérence"/>
    <x:tableColumn id="21" name="Priorité"/>
  </x:tableColumns>
  <x:tableStyleInfo name="TableStyleLight9" showFirstColumn="0" showLastColumn="0" showRowStripes="1" showColumnStripes="0"/>
</x:table>
</file>

<file path=xl/tables/table14.xml><?xml version="1.0" encoding="utf-8"?>
<x:table xmlns:x="http://schemas.openxmlformats.org/spreadsheetml/2006/main" id="14" name="LieuxMediasTable" displayName="LieuxMediasTable" ref="A6:L33" headerRowCount="1" totalsRowCount="0" totalsRowShown="0">
  <x:autoFilter ref="A6:L33"/>
  <x:tableColumns count="12">
    <x:tableColumn id="1" name="ID"/>
    <x:tableColumn id="2" name="Lieu documenté"/>
    <x:tableColumn id="3" name="Œuvre de référence"/>
    <x:tableColumn id="4" name="Média"/>
    <x:tableColumn id="5" name="Continuité / périmètre"/>
    <x:tableColumn id="6" name="Niveau de preuve"/>
    <x:tableColumn id="7" name="Fait établi par la source"/>
    <x:tableColumn id="8" name="Source et portée"/>
    <x:tableColumn id="9" name="URL de la source"/>
    <x:tableColumn id="10" name="Affrontements compatibles"/>
    <x:tableColumn id="11" name="Implantation proposée"/>
    <x:tableColumn id="12" name="Restrictions de cohérence"/>
  </x:tableColumns>
  <x:tableStyleInfo name="TableStyleLight9" showFirstColumn="0" showLastColumn="0" showRowStripes="1" showColumnStripes="0"/>
</x:table>
</file>

<file path=xl/tables/table15.xml><?xml version="1.0" encoding="utf-8"?>
<x:table xmlns:x="http://schemas.openxmlformats.org/spreadsheetml/2006/main" id="16" name="ControleRosterTable" displayName="ControleRosterTable" ref="A6:L86" headerRowCount="1" totalsRowCount="0" totalsRowShown="0">
  <x:autoFilter ref="A6:L86"/>
  <x:tableColumns count="12">
    <x:tableColumn id="1" name="ID"/>
    <x:tableColumn id="2" name="Domaine"/>
    <x:tableColumn id="3" name="Sujet contrôlé"/>
    <x:tableColumn id="4" name="Résultat de la vérification"/>
    <x:tableColumn id="5" name="Action ou règle de cohérence"/>
    <x:tableColumn id="6" name="Priorité"/>
    <x:tableColumn id="7" name="État du contrôle"/>
    <x:tableColumn id="8" name="Œuvre / périmètre"/>
    <x:tableColumn id="9" name="Preuve ou limite"/>
    <x:tableColumn id="10" name="Liens des preuves"/>
    <x:tableColumn id="11" name="Profils / opérations concernés"/>
    <x:tableColumn id="12" name="Date du contrôl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131b8795bc4363" /></Relationships>
</file>

<file path=xl/worksheets/_rels/sheet3.xml.rels>&#65279;<?xml version="1.0" encoding="utf-8"?><Relationships xmlns="http://schemas.openxmlformats.org/package/2006/relationships"><Relationship Type="http://schemas.openxmlformats.org/officeDocument/2006/relationships/table" Target="/xl/tables/table2.xml" Id="R63525b1e43de4452" /></Relationships>
</file>

<file path=xl/worksheets/_rels/sheet4.xml.rels>&#65279;<?xml version="1.0" encoding="utf-8"?><Relationships xmlns="http://schemas.openxmlformats.org/package/2006/relationships"><Relationship Type="http://schemas.openxmlformats.org/officeDocument/2006/relationships/table" Target="/xl/tables/table3.xml" Id="R00671c7de2c44f7c" /></Relationships>
</file>

<file path=xl/worksheets/_rels/sheet5.xml.rels>&#65279;<?xml version="1.0" encoding="utf-8"?><Relationships xmlns="http://schemas.openxmlformats.org/package/2006/relationships"><Relationship Type="http://schemas.openxmlformats.org/officeDocument/2006/relationships/table" Target="/xl/tables/table4.xml" Id="Rcc6fd05683ca4e94" /></Relationships>
</file>

<file path=xl/worksheets/_rels/sheet6.xml.rels>&#65279;<?xml version="1.0" encoding="utf-8"?><Relationships xmlns="http://schemas.openxmlformats.org/package/2006/relationships"><Relationship Type="http://schemas.openxmlformats.org/officeDocument/2006/relationships/table" Target="/xl/tables/table5.xml" Id="R34faf984f94c481e" /></Relationships>
</file>

<file path=xl/worksheets/_rels/sheet7.xml.rels>&#65279;<?xml version="1.0" encoding="utf-8"?><Relationships xmlns="http://schemas.openxmlformats.org/package/2006/relationships"><Relationship Type="http://schemas.openxmlformats.org/officeDocument/2006/relationships/table" Target="/xl/tables/table6.xml" Id="R53f68c40272c4e88" /></Relationships>
</file>

<file path=xl/worksheets/_rels/sheet8.xml.rels>&#65279;<?xml version="1.0" encoding="utf-8"?><Relationships xmlns="http://schemas.openxmlformats.org/package/2006/relationships"><Relationship Type="http://schemas.openxmlformats.org/officeDocument/2006/relationships/table" Target="/xl/tables/table7.xml" Id="R49a5990811f44cc9" /></Relationships>
</file>

<file path=xl/worksheets/_rels/sheet9.xml.rels>&#65279;<?xml version="1.0" encoding="utf-8"?><Relationships xmlns="http://schemas.openxmlformats.org/package/2006/relationships"><Relationship Type="http://schemas.openxmlformats.org/officeDocument/2006/relationships/table" Target="/xl/tables/table8.xml" Id="Rebcab852080042bc" /></Relationships>
</file>

<file path=xl/worksheets/_rels/sheet10.xml.rels>&#65279;<?xml version="1.0" encoding="utf-8"?><Relationships xmlns="http://schemas.openxmlformats.org/package/2006/relationships"><Relationship Type="http://schemas.openxmlformats.org/officeDocument/2006/relationships/table" Target="/xl/tables/table9.xml" Id="R434439693a7049f9" /></Relationships>
</file>

<file path=xl/worksheets/_rels/sheet11.xml.rels>&#65279;<?xml version="1.0" encoding="utf-8"?><Relationships xmlns="http://schemas.openxmlformats.org/package/2006/relationships"><Relationship Type="http://schemas.openxmlformats.org/officeDocument/2006/relationships/table" Target="/xl/tables/table10.xml" Id="R2157a1ea035a47ad" /></Relationships>
</file>

<file path=xl/worksheets/_rels/sheet12.xml.rels>&#65279;<?xml version="1.0" encoding="utf-8"?><Relationships xmlns="http://schemas.openxmlformats.org/package/2006/relationships"><Relationship Type="http://schemas.openxmlformats.org/officeDocument/2006/relationships/table" Target="/xl/tables/table11.xml" Id="R2682da2831ee4ff2" /></Relationships>
</file>

<file path=xl/worksheets/_rels/sheet13.xml.rels>&#65279;<?xml version="1.0" encoding="utf-8"?><Relationships xmlns="http://schemas.openxmlformats.org/package/2006/relationships"><Relationship Type="http://schemas.openxmlformats.org/officeDocument/2006/relationships/table" Target="/xl/tables/table12.xml" Id="R41f7ec575c6c47bd" /></Relationships>
</file>

<file path=xl/worksheets/_rels/sheet14.xml.rels>&#65279;<?xml version="1.0" encoding="utf-8"?><Relationships xmlns="http://schemas.openxmlformats.org/package/2006/relationships"><Relationship Type="http://schemas.openxmlformats.org/officeDocument/2006/relationships/table" Target="/xl/tables/table13.xml" Id="R0fdca064ec204a61" /></Relationships>
</file>

<file path=xl/worksheets/_rels/sheet15.xml.rels>&#65279;<?xml version="1.0" encoding="utf-8"?><Relationships xmlns="http://schemas.openxmlformats.org/package/2006/relationships"><Relationship Type="http://schemas.openxmlformats.org/officeDocument/2006/relationships/table" Target="/xl/tables/table14.xml" Id="R3c433fc0678d4055" /></Relationships>
</file>

<file path=xl/worksheets/_rels/sheet16.xml.rels>&#65279;<?xml version="1.0" encoding="utf-8"?><Relationships xmlns="http://schemas.openxmlformats.org/package/2006/relationships"><Relationship Type="http://schemas.openxmlformats.org/officeDocument/2006/relationships/table" Target="/xl/tables/table15.xml" Id="Ra96a8b53d1f2435f" /></Relationships>
</file>

<file path=xl/worksheets/sheet1.xml><?xml version="1.0" encoding="utf-8"?>
<x:worksheet xmlns:x="http://schemas.openxmlformats.org/spreadsheetml/2006/main">
  <x:sheetPr>
    <x:tabColor rgb="FF344536"/>
  </x:sheetPr>
  <x:sheetViews>
    <x:sheetView showGridLines="0" workbookViewId="0"/>
  </x:sheetViews>
  <x:sheetFormatPr defaultRowHeight="15"/>
  <x:cols>
    <x:col min="1" max="1" width="28" hidden="0" customWidth="1"/>
    <x:col min="2" max="2" width="13" hidden="0" customWidth="1"/>
    <x:col min="3" max="3" width="13" hidden="0" customWidth="1"/>
    <x:col min="4" max="4" width="13" hidden="0" customWidth="1"/>
    <x:col min="5" max="5" width="26" hidden="0" customWidth="1"/>
    <x:col min="6" max="6" width="13" hidden="0" customWidth="1"/>
    <x:col min="7" max="7" width="13" hidden="0" customWidth="1"/>
    <x:col min="8" max="8" width="13" hidden="0" customWidth="1"/>
    <x:col min="9" max="9" width="26" hidden="0" customWidth="1"/>
    <x:col min="10" max="10" width="13" hidden="0" customWidth="1"/>
    <x:col min="11" max="11" width="13" hidden="0" customWidth="1"/>
    <x:col min="12" max="12" width="13" hidden="0" customWidth="1"/>
  </x:cols>
  <x:sheetData>
    <x:row r="1" ht="12" customHeight="1">
      <x:c r="A1" s="3"/>
      <x:c r="B1" s="3"/>
      <x:c r="C1" s="3"/>
      <x:c r="D1" s="3"/>
      <x:c r="E1" s="3"/>
      <x:c r="F1" s="3"/>
      <x:c r="G1" s="3"/>
      <x:c r="H1" s="3"/>
      <x:c r="I1" s="3"/>
      <x:c r="J1" s="3"/>
      <x:c r="K1" s="3"/>
      <x:c r="L1" s="3"/>
    </x:row>
    <x:row r="2" ht="29" customHeight="1">
      <x:c r="A2" s="4" t="str">
        <x:v>Yautja Hive Warriors : audit des batailles</x:v>
      </x:c>
      <x:c r="B2" s="3"/>
      <x:c r="C2" s="3"/>
      <x:c r="D2" s="3"/>
      <x:c r="E2" s="3"/>
      <x:c r="F2" s="3"/>
      <x:c r="G2" s="3"/>
      <x:c r="H2" s="3"/>
      <x:c r="I2" s="3"/>
      <x:c r="J2" s="3"/>
      <x:c r="K2" s="3"/>
      <x:c r="L2" s="3"/>
    </x:row>
    <x:row r="3" ht="8" customHeight="1">
      <x:c r="A3" s="5"/>
      <x:c r="B3" s="5"/>
      <x:c r="C3" s="5"/>
      <x:c r="D3" s="5"/>
      <x:c r="E3" s="5"/>
      <x:c r="F3" s="5"/>
      <x:c r="G3" s="5"/>
      <x:c r="H3" s="5"/>
      <x:c r="I3" s="5"/>
      <x:c r="J3" s="5"/>
      <x:c r="K3" s="5"/>
      <x:c r="L3" s="5"/>
    </x:row>
    <x:row r="4">
      <x:c r="A4" s="6" t="str">
        <x:v>Audit initial des batailles et contrôle de complétude du 27/10/2026. Le nouveau contrôle figure en bas de cette synthèse.</x:v>
      </x:c>
      <x:c r="B4" s="3"/>
      <x:c r="C4" s="3"/>
      <x:c r="D4" s="3"/>
      <x:c r="E4" s="3"/>
      <x:c r="F4" s="3"/>
      <x:c r="G4" s="3"/>
      <x:c r="H4" s="3"/>
      <x:c r="I4" s="3"/>
      <x:c r="J4" s="3"/>
      <x:c r="K4" s="3"/>
      <x:c r="L4" s="3"/>
    </x:row>
    <x:row r="5">
      <x:c r="A5" s="3"/>
      <x:c r="B5" s="3"/>
      <x:c r="C5" s="3"/>
      <x:c r="D5" s="3"/>
      <x:c r="E5" s="3"/>
      <x:c r="F5" s="3"/>
      <x:c r="G5" s="3"/>
      <x:c r="H5" s="3"/>
      <x:c r="I5" s="3"/>
      <x:c r="J5" s="3"/>
      <x:c r="K5" s="3"/>
      <x:c r="L5" s="3"/>
    </x:row>
    <x:row r="6">
      <x:c r="A6" s="3" t="str">
        <x:v>Date de l’audit initial</x:v>
      </x:c>
      <x:c r="B6" s="31" t="d">
        <x:v>2026-10-26T12:00:00.000Z</x:v>
      </x:c>
      <x:c r="C6" s="3"/>
      <x:c r="D6" s="3"/>
      <x:c r="E6" s="3" t="str">
        <x:v>Révision de l’audit initial</x:v>
      </x:c>
      <x:c r="F6" s="3" t="str">
        <x:v>0f37cc52f9d8</x:v>
      </x:c>
      <x:c r="G6" s="3"/>
      <x:c r="H6" s="3"/>
      <x:c r="I6" s="3" t="str">
        <x:v>Documents détaillés</x:v>
      </x:c>
      <x:c r="J6" s="3" t="n">
        <x:v>14</x:v>
      </x:c>
      <x:c r="K6" s="3"/>
      <x:c r="L6" s="3"/>
    </x:row>
    <x:row r="7">
      <x:c r="A7" s="3"/>
      <x:c r="B7" s="3"/>
      <x:c r="C7" s="3"/>
      <x:c r="D7" s="3"/>
      <x:c r="E7" s="3"/>
      <x:c r="F7" s="3"/>
      <x:c r="G7" s="3"/>
      <x:c r="H7" s="3"/>
      <x:c r="I7" s="3"/>
      <x:c r="J7" s="3"/>
      <x:c r="K7" s="3"/>
      <x:c r="L7" s="3"/>
    </x:row>
    <x:row r="8">
      <x:c r="A8" s="3"/>
      <x:c r="B8" s="3"/>
      <x:c r="C8" s="3"/>
      <x:c r="D8" s="3"/>
      <x:c r="E8" s="3"/>
      <x:c r="F8" s="3"/>
      <x:c r="G8" s="3"/>
      <x:c r="H8" s="3"/>
      <x:c r="I8" s="3"/>
      <x:c r="J8" s="3"/>
      <x:c r="K8" s="3"/>
      <x:c r="L8" s="3"/>
    </x:row>
    <x:row r="9" ht="36" customHeight="1">
      <x:c r="A9" s="19" t="str">
        <x:v>Points recensés</x:v>
      </x:c>
      <x:c r="B9" s="21" t="n">
        <x:f>COUNTA('Manquants'!$A$7:$A$132)</x:f>
        <x:v>126</x:v>
      </x:c>
      <x:c r="C9" s="3"/>
      <x:c r="D9" s="3"/>
      <x:c r="E9" s="34" t="str">
        <x:v>Priorité</x:v>
      </x:c>
      <x:c r="F9" s="34" t="str">
        <x:v>Nombre</x:v>
      </x:c>
      <x:c r="G9" s="3"/>
      <x:c r="H9" s="3"/>
      <x:c r="I9" s="34" t="str">
        <x:v>État constaté</x:v>
      </x:c>
      <x:c r="J9" s="34" t="str">
        <x:v>Nombre</x:v>
      </x:c>
      <x:c r="K9" s="3"/>
      <x:c r="L9" s="3"/>
    </x:row>
    <x:row r="10">
      <x:c r="A10" s="3"/>
      <x:c r="B10" s="3"/>
      <x:c r="C10" s="3"/>
      <x:c r="D10" s="3"/>
      <x:c r="E10" s="3" t="str">
        <x:v>P0</x:v>
      </x:c>
      <x:c r="F10" s="3" t="n">
        <x:f>COUNTIFS('Manquants'!$D$7:$D$132,E10)</x:f>
        <x:v>14</x:v>
      </x:c>
      <x:c r="G10" s="3"/>
      <x:c r="H10" s="3"/>
      <x:c r="I10" s="3" t="str">
        <x:v>À réconcilier</x:v>
      </x:c>
      <x:c r="J10" s="3" t="n">
        <x:f>COUNTIFS('Manquants'!$E$7:$E$132,I10)</x:f>
        <x:v>20</x:v>
      </x:c>
      <x:c r="K10" s="3"/>
      <x:c r="L10" s="3"/>
    </x:row>
    <x:row r="11">
      <x:c r="A11" s="3"/>
      <x:c r="B11" s="3"/>
      <x:c r="C11" s="3"/>
      <x:c r="D11" s="3"/>
      <x:c r="E11" s="3" t="str">
        <x:v>P1</x:v>
      </x:c>
      <x:c r="F11" s="3" t="n">
        <x:f>COUNTIFS('Manquants'!$D$7:$D$132,E11)</x:f>
        <x:v>88</x:v>
      </x:c>
      <x:c r="G11" s="3"/>
      <x:c r="H11" s="3"/>
      <x:c r="I11" s="3" t="str">
        <x:v>À corriger</x:v>
      </x:c>
      <x:c r="J11" s="3" t="n">
        <x:f>COUNTIFS('Manquants'!$E$7:$E$132,I11)</x:f>
        <x:v>11</x:v>
      </x:c>
      <x:c r="K11" s="3"/>
      <x:c r="L11" s="3"/>
    </x:row>
    <x:row r="12" ht="36" customHeight="1">
      <x:c r="A12" s="19" t="str">
        <x:v>Suivi</x:v>
      </x:c>
      <x:c r="B12" s="21" t="str">
        <x:v>Nombre</x:v>
      </x:c>
      <x:c r="C12" s="3"/>
      <x:c r="D12" s="3"/>
      <x:c r="E12" s="3" t="str">
        <x:v>P2</x:v>
      </x:c>
      <x:c r="F12" s="3" t="n">
        <x:f>COUNTIFS('Manquants'!$D$7:$D$132,E12)</x:f>
        <x:v>24</x:v>
      </x:c>
      <x:c r="G12" s="3"/>
      <x:c r="H12" s="3"/>
      <x:c r="I12" s="3" t="str">
        <x:v>Partiel</x:v>
      </x:c>
      <x:c r="J12" s="3" t="n">
        <x:f>COUNTIFS('Manquants'!$E$7:$E$132,I12)</x:f>
        <x:v>26</x:v>
      </x:c>
      <x:c r="K12" s="3"/>
      <x:c r="L12" s="3"/>
    </x:row>
    <x:row r="13">
      <x:c r="A13" s="3" t="str">
        <x:v>À faire</x:v>
      </x:c>
      <x:c r="B13" s="3" t="n">
        <x:f>COUNTIFS('Manquants'!$N$7:$N$132,A13)</x:f>
        <x:v>0</x:v>
      </x:c>
      <x:c r="C13" s="3"/>
      <x:c r="D13" s="3"/>
      <x:c r="E13" s="3" t="str">
        <x:v>P3</x:v>
      </x:c>
      <x:c r="F13" s="3" t="n">
        <x:f>COUNTIFS('Manquants'!$D$7:$D$132,E13)</x:f>
        <x:v>0</x:v>
      </x:c>
      <x:c r="G13" s="3"/>
      <x:c r="H13" s="3"/>
      <x:c r="I13" s="3" t="str">
        <x:v>À créer</x:v>
      </x:c>
      <x:c r="J13" s="3" t="n">
        <x:f>COUNTIFS('Manquants'!$E$7:$E$132,I13)</x:f>
        <x:v>63</x:v>
      </x:c>
      <x:c r="K13" s="3"/>
      <x:c r="L13" s="3"/>
    </x:row>
    <x:row r="14">
      <x:c r="A14" s="3" t="str">
        <x:v>En cours</x:v>
      </x:c>
      <x:c r="B14" s="3" t="n">
        <x:f>COUNTIFS('Manquants'!$N$7:$N$132,A14)</x:f>
        <x:v>25</x:v>
      </x:c>
      <x:c r="C14" s="3"/>
      <x:c r="D14" s="3"/>
      <x:c r="E14" s="3"/>
      <x:c r="F14" s="3"/>
      <x:c r="G14" s="3"/>
      <x:c r="H14" s="3"/>
      <x:c r="I14" s="3" t="str">
        <x:v>À valider</x:v>
      </x:c>
      <x:c r="J14" s="3" t="n">
        <x:f>COUNTIFS('Manquants'!$E$7:$E$132,I14)</x:f>
        <x:v>6</x:v>
      </x:c>
      <x:c r="K14" s="3"/>
      <x:c r="L14" s="3"/>
    </x:row>
    <x:row r="15">
      <x:c r="A15" s="3" t="str">
        <x:v>À valider</x:v>
      </x:c>
      <x:c r="B15" s="3" t="n">
        <x:f>COUNTIFS('Manquants'!$N$7:$N$132,A15)</x:f>
        <x:v>47</x:v>
      </x:c>
      <x:c r="C15" s="3"/>
      <x:c r="D15" s="3"/>
      <x:c r="E15" s="3"/>
      <x:c r="F15" s="3"/>
      <x:c r="G15" s="3"/>
      <x:c r="H15" s="3"/>
      <x:c r="I15" s="3"/>
      <x:c r="J15" s="3"/>
      <x:c r="K15" s="3"/>
      <x:c r="L15" s="3"/>
    </x:row>
    <x:row r="16">
      <x:c r="A16" s="3" t="str">
        <x:v>Terminé</x:v>
      </x:c>
      <x:c r="B16" s="3" t="n">
        <x:f>COUNTIFS('Manquants'!$N$7:$N$132,A16)</x:f>
        <x:v>54</x:v>
      </x:c>
      <x:c r="C16" s="3"/>
      <x:c r="D16" s="3"/>
      <x:c r="E16" s="3"/>
      <x:c r="F16" s="3"/>
      <x:c r="G16" s="3"/>
      <x:c r="H16" s="3"/>
      <x:c r="I16" s="3"/>
      <x:c r="J16" s="3"/>
      <x:c r="K16" s="3"/>
      <x:c r="L16" s="3"/>
    </x:row>
    <x:row r="17">
      <x:c r="A17" s="3" t="str">
        <x:v>Bloqué</x:v>
      </x:c>
      <x:c r="B17" s="3" t="n">
        <x:f>COUNTIFS('Manquants'!$N$7:$N$132,A17)</x:f>
        <x:v>0</x:v>
      </x:c>
      <x:c r="C17" s="3"/>
      <x:c r="D17" s="3"/>
      <x:c r="E17" s="3"/>
      <x:c r="F17" s="3"/>
      <x:c r="G17" s="3"/>
      <x:c r="H17" s="3"/>
      <x:c r="I17" s="3"/>
      <x:c r="J17" s="3"/>
      <x:c r="K17" s="3"/>
      <x:c r="L17" s="3"/>
    </x:row>
    <x:row r="18">
      <x:c r="A18" s="3"/>
      <x:c r="B18" s="3"/>
      <x:c r="C18" s="3"/>
      <x:c r="D18" s="3"/>
      <x:c r="E18" s="3"/>
      <x:c r="F18" s="3"/>
      <x:c r="G18" s="3"/>
      <x:c r="H18" s="3"/>
      <x:c r="I18" s="3"/>
      <x:c r="J18" s="3"/>
      <x:c r="K18" s="3"/>
      <x:c r="L18" s="3"/>
    </x:row>
    <x:row r="19" ht="36" customHeight="1">
      <x:c r="A19" s="19" t="str">
        <x:v>Domaine</x:v>
      </x:c>
      <x:c r="B19" s="20" t="str">
        <x:v>Points</x:v>
      </x:c>
      <x:c r="C19" s="20" t="str">
        <x:v>P0</x:v>
      </x:c>
      <x:c r="D19" s="21" t="str">
        <x:v>P1</x:v>
      </x:c>
      <x:c r="E19" s="3"/>
      <x:c r="F19" s="37" t="str">
        <x:v>Décisions de conception prioritaires</x:v>
      </x:c>
      <x:c r="G19" s="3"/>
      <x:c r="H19" s="3"/>
      <x:c r="I19" s="3"/>
      <x:c r="J19" s="3"/>
      <x:c r="K19" s="3"/>
      <x:c r="L19" s="3"/>
    </x:row>
    <x:row r="20" ht="27" customHeight="1">
      <x:c r="A20" s="8" t="str">
        <x:v>Versions et fiabilité</x:v>
      </x:c>
      <x:c r="B20" s="3" t="n">
        <x:f>COUNTIFS('Manquants'!$B$7:$B$132,A20)</x:f>
        <x:v>8</x:v>
      </x:c>
      <x:c r="C20" s="3" t="n">
        <x:f>COUNTIFS('Manquants'!$B$7:$B$132,A20,'Manquants'!$D$7:$D$132,C$19)</x:f>
        <x:v>6</x:v>
      </x:c>
      <x:c r="D20" s="3" t="n">
        <x:f>COUNTIFS('Manquants'!$B$7:$B$132,A20,'Manquants'!$D$7:$D$132,D$19)</x:f>
        <x:v>2</x:v>
      </x:c>
      <x:c r="E20" s="3"/>
      <x:c r="F20" s="3"/>
      <x:c r="G20" s="3"/>
      <x:c r="H20" s="3"/>
      <x:c r="I20" s="3"/>
      <x:c r="J20" s="3"/>
      <x:c r="K20" s="3"/>
      <x:c r="L20" s="3"/>
    </x:row>
    <x:row r="21" ht="22" customHeight="1">
      <x:c r="A21" s="35" t="str">
        <x:v>Effectifs et foule</x:v>
      </x:c>
      <x:c r="B21" s="36" t="n">
        <x:f>COUNTIFS('Manquants'!$B$7:$B$132,A21)</x:f>
        <x:v>12</x:v>
      </x:c>
      <x:c r="C21" s="36" t="n">
        <x:f>COUNTIFS('Manquants'!$B$7:$B$132,A21,'Manquants'!$D$7:$D$132,C$19)</x:f>
        <x:v>1</x:v>
      </x:c>
      <x:c r="D21" s="36" t="n">
        <x:f>COUNTIFS('Manquants'!$B$7:$B$132,A21,'Manquants'!$D$7:$D$132,D$19)</x:f>
        <x:v>10</x:v>
      </x:c>
      <x:c r="E21" s="3"/>
      <x:c r="F21" s="3" t="str">
        <x:v>1. Point d’arrêt : v65.5 (0f37cc52). Main déclare 10 cartes ; la branche validée</x:v>
      </x:c>
      <x:c r="G21" s="3"/>
      <x:c r="H21" s="3"/>
      <x:c r="I21" s="3"/>
      <x:c r="J21" s="3"/>
      <x:c r="K21" s="3"/>
      <x:c r="L21" s="3"/>
    </x:row>
    <x:row r="22" ht="22" customHeight="1">
      <x:c r="A22" s="8" t="str">
        <x:v>Groupes et factions</x:v>
      </x:c>
      <x:c r="B22" s="3" t="n">
        <x:f>COUNTIFS('Manquants'!$B$7:$B$132,A22)</x:f>
        <x:v>13</x:v>
      </x:c>
      <x:c r="C22" s="3" t="n">
        <x:f>COUNTIFS('Manquants'!$B$7:$B$132,A22,'Manquants'!$D$7:$D$132,C$19)</x:f>
        <x:v>0</x:v>
      </x:c>
      <x:c r="D22" s="3" t="n">
        <x:f>COUNTIFS('Manquants'!$B$7:$B$132,A22,'Manquants'!$D$7:$D$132,D$19)</x:f>
        <x:v>12</x:v>
      </x:c>
      <x:c r="E22" s="3"/>
      <x:c r="F22" s="3" t="str">
        <x:v>conserve des secteurs, un directeur de combat et des correctifs distincts.</x:v>
      </x:c>
      <x:c r="G22" s="3"/>
      <x:c r="H22" s="3"/>
      <x:c r="I22" s="3"/>
      <x:c r="J22" s="3"/>
      <x:c r="K22" s="3"/>
      <x:c r="L22" s="3"/>
    </x:row>
    <x:row r="23" ht="27" customHeight="1">
      <x:c r="A23" s="35" t="str">
        <x:v>Alliés et commandement</x:v>
      </x:c>
      <x:c r="B23" s="36" t="n">
        <x:f>COUNTIFS('Manquants'!$B$7:$B$132,A23)</x:f>
        <x:v>8</x:v>
      </x:c>
      <x:c r="C23" s="36" t="n">
        <x:f>COUNTIFS('Manquants'!$B$7:$B$132,A23,'Manquants'!$D$7:$D$132,C$19)</x:f>
        <x:v>0</x:v>
      </x:c>
      <x:c r="D23" s="36" t="n">
        <x:f>COUNTIFS('Manquants'!$B$7:$B$132,A23,'Manquants'!$D$7:$D$132,D$19)</x:f>
        <x:v>5</x:v>
      </x:c>
      <x:c r="E23" s="3"/>
      <x:c r="F23" s="3"/>
      <x:c r="G23" s="3"/>
      <x:c r="H23" s="3"/>
      <x:c r="I23" s="3"/>
      <x:c r="J23" s="3"/>
      <x:c r="K23" s="3"/>
      <x:c r="L23" s="3"/>
    </x:row>
    <x:row r="24" ht="22" customHeight="1">
      <x:c r="A24" s="8" t="str">
        <x:v>Fronts et objectifs</x:v>
      </x:c>
      <x:c r="B24" s="3" t="n">
        <x:f>COUNTIFS('Manquants'!$B$7:$B$132,A24)</x:f>
        <x:v>14</x:v>
      </x:c>
      <x:c r="C24" s="3" t="n">
        <x:f>COUNTIFS('Manquants'!$B$7:$B$132,A24,'Manquants'!$D$7:$D$132,C$19)</x:f>
        <x:v>0</x:v>
      </x:c>
      <x:c r="D24" s="3" t="n">
        <x:f>COUNTIFS('Manquants'!$B$7:$B$132,A24,'Manquants'!$D$7:$D$132,D$19)</x:f>
        <x:v>10</x:v>
      </x:c>
      <x:c r="E24" s="3"/>
      <x:c r="F24" s="3" t="str">
        <x:v>2. v65.5 est observé en état QUEUED sur Vercel. Le dernier build terminé v65 est</x:v>
      </x:c>
      <x:c r="G24" s="3"/>
      <x:c r="H24" s="3"/>
      <x:c r="I24" s="3"/>
      <x:c r="J24" s="3"/>
      <x:c r="K24" s="3"/>
      <x:c r="L24" s="3"/>
    </x:row>
    <x:row r="25" ht="22" customHeight="1">
      <x:c r="A25" s="35" t="str">
        <x:v>Level design</x:v>
      </x:c>
      <x:c r="B25" s="36" t="n">
        <x:f>COUNTIFS('Manquants'!$B$7:$B$132,A25)</x:f>
        <x:v>16</x:v>
      </x:c>
      <x:c r="C25" s="36" t="n">
        <x:f>COUNTIFS('Manquants'!$B$7:$B$132,A25,'Manquants'!$D$7:$D$132,C$19)</x:f>
        <x:v>1</x:v>
      </x:c>
      <x:c r="D25" s="36" t="n">
        <x:f>COUNTIFS('Manquants'!$B$7:$B$132,A25,'Manquants'!$D$7:$D$132,D$19)</x:f>
        <x:v>11</x:v>
      </x:c>
      <x:c r="E25" s="3"/>
      <x:c r="F25" s="3" t="str">
        <x:v>ERROR. La production répond HTTP 200 et son empreinte correspond au rapport validé.</x:v>
      </x:c>
      <x:c r="G25" s="3"/>
      <x:c r="H25" s="3"/>
      <x:c r="I25" s="3"/>
      <x:c r="J25" s="3"/>
      <x:c r="K25" s="3"/>
      <x:c r="L25" s="3"/>
    </x:row>
    <x:row r="26" ht="27" customHeight="1">
      <x:c r="A26" s="8" t="str">
        <x:v>Boss et mini-boss</x:v>
      </x:c>
      <x:c r="B26" s="3" t="n">
        <x:f>COUNTIFS('Manquants'!$B$7:$B$132,A26)</x:f>
        <x:v>13</x:v>
      </x:c>
      <x:c r="C26" s="3" t="n">
        <x:f>COUNTIFS('Manquants'!$B$7:$B$132,A26,'Manquants'!$D$7:$D$132,C$19)</x:f>
        <x:v>2</x:v>
      </x:c>
      <x:c r="D26" s="3" t="n">
        <x:f>COUNTIFS('Manquants'!$B$7:$B$132,A26,'Manquants'!$D$7:$D$132,D$19)</x:f>
        <x:v>9</x:v>
      </x:c>
      <x:c r="E26" s="3"/>
      <x:c r="F26" s="3"/>
      <x:c r="G26" s="3"/>
      <x:c r="H26" s="3"/>
      <x:c r="I26" s="3"/>
      <x:c r="J26" s="3"/>
      <x:c r="K26" s="3"/>
      <x:c r="L26" s="3"/>
    </x:row>
    <x:row r="27" ht="22" customHeight="1">
      <x:c r="A27" s="35" t="str">
        <x:v>Combat et rôles</x:v>
      </x:c>
      <x:c r="B27" s="36" t="n">
        <x:f>COUNTIFS('Manquants'!$B$7:$B$132,A27)</x:f>
        <x:v>11</x:v>
      </x:c>
      <x:c r="C27" s="36" t="n">
        <x:f>COUNTIFS('Manquants'!$B$7:$B$132,A27,'Manquants'!$D$7:$D$132,C$19)</x:f>
        <x:v>0</x:v>
      </x:c>
      <x:c r="D27" s="36" t="n">
        <x:f>COUNTIFS('Manquants'!$B$7:$B$132,A27,'Manquants'!$D$7:$D$132,D$19)</x:f>
        <x:v>9</x:v>
      </x:c>
      <x:c r="E27" s="3"/>
      <x:c r="F27" s="3" t="str">
        <x:v>3. Aucun système de fronts autonomes persistants n’est vérifié dans les deux</x:v>
      </x:c>
      <x:c r="G27" s="3"/>
      <x:c r="H27" s="3"/>
      <x:c r="I27" s="3"/>
      <x:c r="J27" s="3"/>
      <x:c r="K27" s="3"/>
      <x:c r="L27" s="3"/>
    </x:row>
    <x:row r="28" ht="22" customHeight="1">
      <x:c r="A28" s="8" t="str">
        <x:v>Campagne et progression</x:v>
      </x:c>
      <x:c r="B28" s="3" t="n">
        <x:f>COUNTIFS('Manquants'!$B$7:$B$132,A28)</x:f>
        <x:v>6</x:v>
      </x:c>
      <x:c r="C28" s="3" t="n">
        <x:f>COUNTIFS('Manquants'!$B$7:$B$132,A28,'Manquants'!$D$7:$D$132,C$19)</x:f>
        <x:v>1</x:v>
      </x:c>
      <x:c r="D28" s="3" t="n">
        <x:f>COUNTIFS('Manquants'!$B$7:$B$132,A28,'Manquants'!$D$7:$D$132,D$19)</x:f>
        <x:v>3</x:v>
      </x:c>
      <x:c r="E28" s="3"/>
      <x:c r="F28" s="3" t="str">
        <x:v>architectures. Les secteurs seuls ne créent pas une guerre parallèle.</x:v>
      </x:c>
      <x:c r="G28" s="3"/>
      <x:c r="H28" s="3"/>
      <x:c r="I28" s="3"/>
      <x:c r="J28" s="3"/>
      <x:c r="K28" s="3"/>
      <x:c r="L28" s="3"/>
    </x:row>
    <x:row r="29" ht="27" customHeight="1">
      <x:c r="A29" s="35" t="str">
        <x:v>HUD et lisibilité</x:v>
      </x:c>
      <x:c r="B29" s="36" t="n">
        <x:f>COUNTIFS('Manquants'!$B$7:$B$132,A29)</x:f>
        <x:v>7</x:v>
      </x:c>
      <x:c r="C29" s="36" t="n">
        <x:f>COUNTIFS('Manquants'!$B$7:$B$132,A29,'Manquants'!$D$7:$D$132,C$19)</x:f>
        <x:v>0</x:v>
      </x:c>
      <x:c r="D29" s="36" t="n">
        <x:f>COUNTIFS('Manquants'!$B$7:$B$132,A29,'Manquants'!$D$7:$D$132,D$19)</x:f>
        <x:v>5</x:v>
      </x:c>
      <x:c r="E29" s="3"/>
      <x:c r="F29" s="3"/>
      <x:c r="G29" s="3"/>
      <x:c r="H29" s="3"/>
      <x:c r="I29" s="3"/>
      <x:c r="J29" s="3"/>
      <x:c r="K29" s="3"/>
      <x:c r="L29" s="3"/>
    </x:row>
    <x:row r="30" ht="22" customHeight="1">
      <x:c r="A30" s="8" t="str">
        <x:v>Performance et QA</x:v>
      </x:c>
      <x:c r="B30" s="3" t="n">
        <x:f>COUNTIFS('Manquants'!$B$7:$B$132,A30)</x:f>
        <x:v>18</x:v>
      </x:c>
      <x:c r="C30" s="3" t="n">
        <x:f>COUNTIFS('Manquants'!$B$7:$B$132,A30,'Manquants'!$D$7:$D$132,C$19)</x:f>
        <x:v>3</x:v>
      </x:c>
      <x:c r="D30" s="3" t="n">
        <x:f>COUNTIFS('Manquants'!$B$7:$B$132,A30,'Manquants'!$D$7:$D$132,D$19)</x:f>
        <x:v>12</x:v>
      </x:c>
      <x:c r="E30" s="3"/>
      <x:c r="F30" s="3" t="str">
        <x:v>4. Préserver la rareté des Yautja, les groupes par faction et la cohérence d’œuvre.</x:v>
      </x:c>
      <x:c r="G30" s="3"/>
      <x:c r="H30" s="3"/>
      <x:c r="I30" s="3"/>
      <x:c r="J30" s="3"/>
      <x:c r="K30" s="3"/>
      <x:c r="L30" s="3"/>
    </x:row>
    <x:row r="31" ht="22" customHeight="1">
      <x:c r="A31" s="3"/>
      <x:c r="B31" s="3"/>
      <x:c r="C31" s="3"/>
      <x:c r="D31" s="3"/>
      <x:c r="E31" s="3"/>
      <x:c r="F31" s="3" t="str">
        <x:v>Les chiffres d’armée et dimensions sont des cibles à tester.</x:v>
      </x:c>
      <x:c r="G31" s="3"/>
      <x:c r="H31" s="3"/>
      <x:c r="I31" s="3"/>
      <x:c r="J31" s="3"/>
      <x:c r="K31" s="3"/>
      <x:c r="L31" s="3"/>
    </x:row>
    <x:row r="32">
      <x:c r="A32" s="3"/>
      <x:c r="B32" s="3"/>
      <x:c r="C32" s="3"/>
      <x:c r="D32" s="3"/>
      <x:c r="E32" s="3"/>
      <x:c r="F32" s="3"/>
      <x:c r="G32" s="3"/>
      <x:c r="H32" s="3"/>
      <x:c r="I32" s="3"/>
      <x:c r="J32" s="3"/>
      <x:c r="K32" s="3"/>
      <x:c r="L32" s="3"/>
    </x:row>
    <x:row r="33" ht="22" customHeight="1">
      <x:c r="A33" s="3"/>
      <x:c r="B33" s="3"/>
      <x:c r="C33" s="3"/>
      <x:c r="D33" s="3"/>
      <x:c r="E33" s="3"/>
      <x:c r="F33" s="3" t="str">
        <x:v>5. Le menu a été observé en ligne. WebGL indisponible dans la session d’audit :</x:v>
      </x:c>
      <x:c r="G33" s="3"/>
      <x:c r="H33" s="3"/>
      <x:c r="I33" s="3"/>
      <x:c r="J33" s="3"/>
      <x:c r="K33" s="3"/>
      <x:c r="L33" s="3"/>
    </x:row>
    <x:row r="34" ht="22" customHeight="1">
      <x:c r="A34" s="3"/>
      <x:c r="B34" s="3"/>
      <x:c r="C34" s="3"/>
      <x:c r="D34" s="3"/>
      <x:c r="E34" s="3"/>
      <x:c r="F34" s="3" t="str">
        <x:v>combats, FPS et fidélité visuelle restent à valider sur matériel cible.</x:v>
      </x:c>
      <x:c r="G34" s="3"/>
      <x:c r="H34" s="3"/>
      <x:c r="I34" s="3"/>
      <x:c r="J34" s="3"/>
      <x:c r="K34" s="3"/>
      <x:c r="L34" s="3"/>
    </x:row>
    <x:row r="35">
      <x:c r="A35" s="3"/>
      <x:c r="B35" s="3"/>
      <x:c r="C35" s="3"/>
      <x:c r="D35" s="3"/>
      <x:c r="E35" s="3"/>
      <x:c r="F35" s="3"/>
      <x:c r="G35" s="3"/>
      <x:c r="H35" s="3"/>
      <x:c r="I35" s="3"/>
      <x:c r="J35" s="3"/>
      <x:c r="K35" s="3"/>
      <x:c r="L35" s="3"/>
    </x:row>
    <x:row r="36">
      <x:c r="A36" s="3"/>
      <x:c r="B36" s="3"/>
      <x:c r="C36" s="3"/>
      <x:c r="D36" s="3"/>
      <x:c r="E36" s="3"/>
      <x:c r="F36" s="3"/>
      <x:c r="G36" s="3"/>
      <x:c r="H36" s="3"/>
      <x:c r="I36" s="3"/>
      <x:c r="J36" s="3"/>
      <x:c r="K36" s="3"/>
      <x:c r="L36" s="3"/>
    </x:row>
    <x:row r="37">
      <x:c r="A37" s="32" t="str">
        <x:v>Extension des affrontements</x:v>
      </x:c>
      <x:c r="B37" s="3"/>
      <x:c r="C37" s="3"/>
      <x:c r="D37" s="3"/>
      <x:c r="E37" s="3"/>
      <x:c r="F37" s="3"/>
      <x:c r="G37" s="3"/>
      <x:c r="H37" s="3"/>
      <x:c r="I37" s="3"/>
      <x:c r="J37" s="3"/>
      <x:c r="K37" s="3"/>
      <x:c r="L37" s="3"/>
    </x:row>
    <x:row r="38">
      <x:c r="A38" s="3"/>
      <x:c r="B38" s="3"/>
      <x:c r="C38" s="3"/>
      <x:c r="D38" s="3"/>
      <x:c r="E38" s="3"/>
      <x:c r="F38" s="3"/>
      <x:c r="G38" s="3"/>
      <x:c r="H38" s="3"/>
      <x:c r="I38" s="3"/>
      <x:c r="J38" s="3"/>
      <x:c r="K38" s="3"/>
      <x:c r="L38" s="3"/>
    </x:row>
    <x:row r="39" ht="36" customHeight="1">
      <x:c r="A39" s="61" t="str">
        <x:v>Ajout de conception</x:v>
      </x:c>
      <x:c r="B39" s="62" t="str">
        <x:v>Ajouts</x:v>
      </x:c>
      <x:c r="C39" s="63" t="str">
        <x:v>Catalogue</x:v>
      </x:c>
      <x:c r="D39" s="3"/>
      <x:c r="E39" s="3"/>
      <x:c r="F39" s="3" t="str">
        <x:v>Scénarios détaillés dans l’onglet Affrontements.</x:v>
      </x:c>
      <x:c r="G39" s="3"/>
      <x:c r="H39" s="3"/>
      <x:c r="I39" s="3"/>
      <x:c r="J39" s="3"/>
      <x:c r="K39" s="3"/>
      <x:c r="L39" s="3"/>
    </x:row>
    <x:row r="40" ht="25" customHeight="1">
      <x:c r="A40" s="3" t="str">
        <x:v>Affrontements</x:v>
      </x:c>
      <x:c r="B40" s="67" t="n">
        <x:f>COUNTA('Affrontements'!$A$7:$A$18)-0</x:f>
        <x:v>12</x:v>
      </x:c>
      <x:c r="C40" s="3" t="n">
        <x:f>COUNTA('Affrontements'!$A$7:$A$18)</x:f>
        <x:v>12</x:v>
      </x:c>
      <x:c r="D40" s="3"/>
      <x:c r="E40" s="3"/>
      <x:c r="F40" s="3"/>
      <x:c r="G40" s="3"/>
      <x:c r="H40" s="3"/>
      <x:c r="I40" s="3"/>
      <x:c r="J40" s="3"/>
      <x:c r="K40" s="3"/>
      <x:c r="L40" s="3"/>
    </x:row>
    <x:row r="41" ht="25" customHeight="1">
      <x:c r="A41" s="68" t="str">
        <x:v>Fiches de cartes</x:v>
      </x:c>
      <x:c r="B41" s="69" t="n">
        <x:f>COUNTA('Cartes_zones'!$A$7:$A$27)-13</x:f>
        <x:v>8</x:v>
      </x:c>
      <x:c r="C41" s="68" t="n">
        <x:f>COUNTA('Cartes_zones'!$A$7:$A$27)</x:f>
        <x:v>21</x:v>
      </x:c>
      <x:c r="D41" s="3"/>
      <x:c r="E41" s="3"/>
      <x:c r="F41" s="3" t="str">
        <x:v>Les 126 actions et l’état du code v65.5 restent l’audit initial.</x:v>
      </x:c>
      <x:c r="G41" s="3"/>
      <x:c r="H41" s="3"/>
      <x:c r="I41" s="3"/>
      <x:c r="J41" s="3"/>
      <x:c r="K41" s="3"/>
      <x:c r="L41" s="3"/>
    </x:row>
    <x:row r="42" ht="25" customHeight="1">
      <x:c r="A42" s="3" t="str">
        <x:v>Groupes catalogués</x:v>
      </x:c>
      <x:c r="B42" s="67" t="n">
        <x:f>COUNTA('Groupes'!$A$7:$A$48)-30</x:f>
        <x:v>12</x:v>
      </x:c>
      <x:c r="C42" s="3" t="n">
        <x:f>COUNTA('Groupes'!$A$7:$A$48)</x:f>
        <x:v>42</x:v>
      </x:c>
      <x:c r="D42" s="3"/>
      <x:c r="E42" s="3"/>
      <x:c r="F42" s="3"/>
      <x:c r="G42" s="3"/>
      <x:c r="H42" s="3"/>
      <x:c r="I42" s="3"/>
      <x:c r="J42" s="3"/>
      <x:c r="K42" s="3"/>
      <x:c r="L42" s="3"/>
    </x:row>
    <x:row r="43" ht="25" customHeight="1">
      <x:c r="A43" s="68" t="str">
        <x:v>Fiches de rencontre</x:v>
      </x:c>
      <x:c r="B43" s="69" t="n">
        <x:f>COUNTA('Boss_et_elites'!$A$7:$A$37)-25</x:f>
        <x:v>6</x:v>
      </x:c>
      <x:c r="C43" s="68" t="n">
        <x:f>COUNTA('Boss_et_elites'!$A$7:$A$37)</x:f>
        <x:v>31</x:v>
      </x:c>
      <x:c r="D43" s="3"/>
      <x:c r="E43" s="3"/>
      <x:c r="F43" s="3" t="str">
        <x:v>Les nouveaux scénarios sont des propositions de conception.</x:v>
      </x:c>
      <x:c r="G43" s="3"/>
      <x:c r="H43" s="3"/>
      <x:c r="I43" s="3"/>
      <x:c r="J43" s="3"/>
      <x:c r="K43" s="3"/>
      <x:c r="L43" s="3"/>
    </x:row>
    <x:row r="44" ht="25" customHeight="1">
      <x:c r="A44" s="3" t="str">
        <x:v>Gabarits d’effectifs</x:v>
      </x:c>
      <x:c r="B44" s="67" t="n">
        <x:f>COUNTA('Effectifs'!$A$7:$A$19)-8</x:f>
        <x:v>5</x:v>
      </x:c>
      <x:c r="C44" s="3" t="n">
        <x:f>COUNTA('Effectifs'!$A$7:$A$19)</x:f>
        <x:v>13</x:v>
      </x:c>
      <x:c r="D44" s="3"/>
      <x:c r="E44" s="3"/>
      <x:c r="F44" s="3"/>
      <x:c r="G44" s="3"/>
      <x:c r="H44" s="3"/>
      <x:c r="I44" s="3"/>
      <x:c r="J44" s="3"/>
      <x:c r="K44" s="3"/>
      <x:c r="L44" s="3"/>
    </x:row>
    <x:row r="45">
      <x:c r="A45" s="3"/>
      <x:c r="B45" s="3"/>
      <x:c r="C45" s="3"/>
      <x:c r="D45" s="3"/>
      <x:c r="E45" s="3"/>
      <x:c r="F45" s="3"/>
      <x:c r="G45" s="3"/>
      <x:c r="H45" s="3"/>
      <x:c r="I45" s="3"/>
      <x:c r="J45" s="3"/>
      <x:c r="K45" s="3"/>
      <x:c r="L45" s="3"/>
    </x:row>
    <x:row r="46">
      <x:c r="A46" s="3"/>
      <x:c r="B46" s="3"/>
      <x:c r="C46" s="3"/>
      <x:c r="D46" s="3"/>
      <x:c r="E46" s="3"/>
      <x:c r="F46" s="3"/>
      <x:c r="G46" s="3"/>
      <x:c r="H46" s="3"/>
      <x:c r="I46" s="3"/>
      <x:c r="J46" s="3"/>
      <x:c r="K46" s="3"/>
      <x:c r="L46" s="3"/>
    </x:row>
    <x:row r="47">
      <x:c r="A47" s="32" t="str">
        <x:v>Règles communes de l’extension</x:v>
      </x:c>
      <x:c r="B47" s="3"/>
      <x:c r="C47" s="3"/>
      <x:c r="D47" s="3"/>
      <x:c r="E47" s="3"/>
      <x:c r="F47" s="3"/>
      <x:c r="G47" s="3"/>
      <x:c r="H47" s="3"/>
      <x:c r="I47" s="3"/>
      <x:c r="J47" s="3"/>
      <x:c r="K47" s="3"/>
      <x:c r="L47" s="3"/>
    </x:row>
    <x:row r="48">
      <x:c r="A48" s="3"/>
      <x:c r="B48" s="3"/>
      <x:c r="C48" s="3"/>
      <x:c r="D48" s="3"/>
      <x:c r="E48" s="3"/>
      <x:c r="F48" s="3"/>
      <x:c r="G48" s="3"/>
      <x:c r="H48" s="3"/>
      <x:c r="I48" s="3"/>
      <x:c r="J48" s="3"/>
      <x:c r="K48" s="3"/>
      <x:c r="L48" s="3"/>
    </x:row>
    <x:row r="49" ht="21" customHeight="1">
      <x:c r="A49" s="3" t="str">
        <x:v>1. Les nouveaux clans, lieux et déroulements de mission sont créés pour le projet. Leur présence ne certifie pas un événement ou un rite canonique.</x:v>
      </x:c>
      <x:c r="B49" s="3"/>
      <x:c r="C49" s="3"/>
      <x:c r="D49" s="3"/>
      <x:c r="E49" s="3"/>
      <x:c r="F49" s="3"/>
      <x:c r="G49" s="3"/>
      <x:c r="H49" s="3"/>
      <x:c r="I49" s="3"/>
      <x:c r="J49" s="3"/>
      <x:c r="K49" s="3"/>
      <x:c r="L49" s="3"/>
    </x:row>
    <x:row r="50">
      <x:c r="A50" s="3"/>
      <x:c r="B50" s="3"/>
      <x:c r="C50" s="3"/>
      <x:c r="D50" s="3"/>
      <x:c r="E50" s="3"/>
      <x:c r="F50" s="3"/>
      <x:c r="G50" s="3"/>
      <x:c r="H50" s="3"/>
      <x:c r="I50" s="3"/>
      <x:c r="J50" s="3"/>
      <x:c r="K50" s="3"/>
      <x:c r="L50" s="3"/>
    </x:row>
    <x:row r="51" ht="21" customHeight="1">
      <x:c r="A51" s="3" t="str">
        <x:v>2. Les scénarios sont des presets indépendants. Si une campagne les relie, elle conserve l’identité, la mort, la capture et le retrait des chefs et des groupes.</x:v>
      </x:c>
      <x:c r="B51" s="3"/>
      <x:c r="C51" s="3"/>
      <x:c r="D51" s="3"/>
      <x:c r="E51" s="3"/>
      <x:c r="F51" s="3"/>
      <x:c r="G51" s="3"/>
      <x:c r="H51" s="3"/>
      <x:c r="I51" s="3"/>
      <x:c r="J51" s="3"/>
      <x:c r="K51" s="3"/>
      <x:c r="L51" s="3"/>
    </x:row>
    <x:row r="52">
      <x:c r="A52" s="3"/>
      <x:c r="B52" s="3"/>
      <x:c r="C52" s="3"/>
      <x:c r="D52" s="3"/>
      <x:c r="E52" s="3"/>
      <x:c r="F52" s="3"/>
      <x:c r="G52" s="3"/>
      <x:c r="H52" s="3"/>
      <x:c r="I52" s="3"/>
      <x:c r="J52" s="3"/>
      <x:c r="K52" s="3"/>
      <x:c r="L52" s="3"/>
    </x:row>
    <x:row r="53" ht="21" customHeight="1">
      <x:c r="A53" s="3" t="str">
        <x:v>3. Les forces actives, distantes et de réserve sont trois états exclusifs. Actif signifie simulé en détail, pas nécessairement visible. Les fronts partagent</x:v>
      </x:c>
      <x:c r="B53" s="3"/>
      <x:c r="C53" s="3"/>
      <x:c r="D53" s="3"/>
      <x:c r="E53" s="3"/>
      <x:c r="F53" s="3"/>
      <x:c r="G53" s="3"/>
      <x:c r="H53" s="3"/>
      <x:c r="I53" s="3"/>
      <x:c r="J53" s="3"/>
      <x:c r="K53" s="3"/>
      <x:c r="L53" s="3"/>
    </x:row>
    <x:row r="54" ht="21" customHeight="1">
      <x:c r="A54" s="3" t="str">
        <x:v>l’allocation globale, les chefs sont inclus et le joueur est séparé des PNJ.</x:v>
      </x:c>
      <x:c r="B54" s="3"/>
      <x:c r="C54" s="3"/>
      <x:c r="D54" s="3"/>
      <x:c r="E54" s="3"/>
      <x:c r="F54" s="3"/>
      <x:c r="G54" s="3"/>
      <x:c r="H54" s="3"/>
      <x:c r="I54" s="3"/>
      <x:c r="J54" s="3"/>
      <x:c r="K54" s="3"/>
      <x:c r="L54" s="3"/>
    </x:row>
    <x:row r="55">
      <x:c r="A55" s="3"/>
      <x:c r="B55" s="3"/>
      <x:c r="C55" s="3"/>
      <x:c r="D55" s="3"/>
      <x:c r="E55" s="3"/>
      <x:c r="F55" s="3"/>
      <x:c r="G55" s="3"/>
      <x:c r="H55" s="3"/>
      <x:c r="I55" s="3"/>
      <x:c r="J55" s="3"/>
      <x:c r="K55" s="3"/>
      <x:c r="L55" s="3"/>
    </x:row>
    <x:row r="56" ht="21" customHeight="1">
      <x:c r="A56" s="1" t="str">
        <x:v>4. Les civils, personnes blessées non combattantes et matériels sont suivis séparément. Leurs plafonds de représentation doivent entrer dans le profilage de la scène</x:v>
      </x:c>
      <x:c r="B56" s="1"/>
      <x:c r="C56" s="1"/>
      <x:c r="D56" s="1"/>
      <x:c r="E56" s="1"/>
      <x:c r="F56" s="1"/>
      <x:c r="G56" s="1"/>
      <x:c r="H56" s="1"/>
      <x:c r="I56" s="1"/>
      <x:c r="J56" s="1"/>
      <x:c r="K56" s="1"/>
      <x:c r="L56" s="1"/>
    </x:row>
    <x:row r="57" ht="21" customHeight="1">
      <x:c r="A57" s="1" t="str">
        <x:v>complète.</x:v>
      </x:c>
      <x:c r="B57" s="1"/>
      <x:c r="C57" s="1"/>
      <x:c r="D57" s="1"/>
      <x:c r="E57" s="1"/>
      <x:c r="F57" s="1"/>
      <x:c r="G57" s="1"/>
      <x:c r="H57" s="1"/>
      <x:c r="I57" s="1"/>
      <x:c r="J57" s="1"/>
      <x:c r="K57" s="1"/>
      <x:c r="L57" s="1"/>
    </x:row>
    <x:row r="59" ht="21" customHeight="1">
      <x:c r="A59" s="1" t="str">
        <x:v>5. Les factions humaines respectent l’époque du scénario. Les relations sont définies par les objectifs et les événements ; une trêve ne crée aucune unité</x:v>
      </x:c>
      <x:c r="B59" s="1"/>
      <x:c r="C59" s="1"/>
      <x:c r="D59" s="1"/>
      <x:c r="E59" s="1"/>
      <x:c r="F59" s="1"/>
      <x:c r="G59" s="1"/>
      <x:c r="H59" s="1"/>
      <x:c r="I59" s="1"/>
      <x:c r="J59" s="1"/>
      <x:c r="K59" s="1"/>
      <x:c r="L59" s="1"/>
    </x:row>
    <x:row r="60" ht="21" customHeight="1">
      <x:c r="A60" s="1" t="str">
        <x:v>supplémentaire.</x:v>
      </x:c>
      <x:c r="B60" s="1"/>
      <x:c r="C60" s="1"/>
      <x:c r="D60" s="1"/>
      <x:c r="E60" s="1"/>
      <x:c r="F60" s="1"/>
      <x:c r="G60" s="1"/>
      <x:c r="H60" s="1"/>
      <x:c r="I60" s="1"/>
      <x:c r="J60" s="1"/>
      <x:c r="K60" s="1"/>
      <x:c r="L60" s="1"/>
    </x:row>
    <x:row r="65">
      <x:c r="A65" s="96" t="str">
        <x:v>Extension initiale des médias du 26/10/2026</x:v>
      </x:c>
      <x:c r="B65" s="1"/>
      <x:c r="C65" s="1"/>
      <x:c r="D65" s="1"/>
      <x:c r="E65" s="1"/>
      <x:c r="F65" s="1"/>
      <x:c r="G65" s="1"/>
      <x:c r="H65" s="1"/>
      <x:c r="I65" s="1"/>
      <x:c r="J65" s="1"/>
      <x:c r="K65" s="1"/>
      <x:c r="L65" s="1"/>
    </x:row>
    <x:row r="66">
      <x:c r="A66" s="1"/>
      <x:c r="B66" s="1"/>
      <x:c r="C66" s="1"/>
      <x:c r="D66" s="1"/>
      <x:c r="E66" s="1"/>
      <x:c r="F66" s="1"/>
      <x:c r="G66" s="1"/>
      <x:c r="H66" s="1"/>
      <x:c r="I66" s="1"/>
      <x:c r="J66" s="1"/>
      <x:c r="K66" s="1"/>
      <x:c r="L66" s="1"/>
    </x:row>
    <x:row r="67" ht="25" customHeight="1">
      <x:c r="A67" s="91" t="str">
        <x:v>Ajout au catalogue</x:v>
      </x:c>
      <x:c r="B67" s="92" t="str">
        <x:v>Ajouts</x:v>
      </x:c>
      <x:c r="C67" s="93" t="str">
        <x:v>Total actuel</x:v>
      </x:c>
      <x:c r="D67" s="1"/>
      <x:c r="E67" s="1"/>
      <x:c r="F67" s="1" t="str">
        <x:v>Provenance, preuve et continuité figurent à côté de chaque entrée dans les onglets</x:v>
      </x:c>
      <x:c r="G67" s="1"/>
      <x:c r="H67" s="1"/>
      <x:c r="I67" s="1"/>
      <x:c r="J67" s="1"/>
      <x:c r="K67" s="1"/>
      <x:c r="L67" s="1"/>
    </x:row>
    <x:row r="68" ht="25" customHeight="1">
      <x:c r="A68" s="1" t="str">
        <x:v>Profils et dispositifs</x:v>
      </x:c>
      <x:c r="B68" s="108" t="n">
        <x:f>COUNTA('Bestiaire_medias'!$A$7:$A$121)-0</x:f>
        <x:v>115</x:v>
      </x:c>
      <x:c r="C68" s="1" t="n">
        <x:f>COUNTA('Bestiaire_medias'!$A$7:$A$121)</x:f>
        <x:v>115</x:v>
      </x:c>
      <x:c r="D68" s="1"/>
      <x:c r="E68" s="1"/>
      <x:c r="F68" s="1" t="str">
        <x:v>médias.</x:v>
      </x:c>
      <x:c r="G68" s="1"/>
      <x:c r="H68" s="1"/>
      <x:c r="I68" s="1"/>
      <x:c r="J68" s="1"/>
      <x:c r="K68" s="1"/>
      <x:c r="L68" s="1"/>
    </x:row>
    <x:row r="69" ht="25" customHeight="1">
      <x:c r="A69" s="109" t="str">
        <x:v>Références de lieux</x:v>
      </x:c>
      <x:c r="B69" s="110" t="n">
        <x:f>COUNTA('Lieux_medias'!$A$7:$A$33)-0</x:f>
        <x:v>27</x:v>
      </x:c>
      <x:c r="C69" s="109" t="n">
        <x:f>COUNTA('Lieux_medias'!$A$7:$A$33)</x:f>
        <x:v>27</x:v>
      </x:c>
      <x:c r="D69" s="1"/>
      <x:c r="E69" s="1"/>
      <x:c r="F69" s="1"/>
      <x:c r="G69" s="1"/>
      <x:c r="H69" s="1"/>
      <x:c r="I69" s="1"/>
      <x:c r="J69" s="1"/>
      <x:c r="K69" s="1"/>
      <x:c r="L69" s="1"/>
    </x:row>
    <x:row r="70" ht="25" customHeight="1">
      <x:c r="A70" s="1" t="str">
        <x:v>Affrontements</x:v>
      </x:c>
      <x:c r="B70" s="108" t="n">
        <x:f>COUNTA('Affrontements'!$A$7:$A$33)-12</x:f>
        <x:v>15</x:v>
      </x:c>
      <x:c r="C70" s="1" t="n">
        <x:f>COUNTA('Affrontements'!$A$7:$A$33)</x:f>
        <x:v>27</x:v>
      </x:c>
      <x:c r="D70" s="1"/>
      <x:c r="E70" s="1"/>
      <x:c r="F70" s="1" t="str">
        <x:v>Le bloc précédent conserve les totaux arrêtés lors de l’extension des guerres de</x:v>
      </x:c>
      <x:c r="G70" s="1"/>
      <x:c r="H70" s="1"/>
      <x:c r="I70" s="1"/>
      <x:c r="J70" s="1"/>
      <x:c r="K70" s="1"/>
      <x:c r="L70" s="1"/>
    </x:row>
    <x:row r="71" ht="25" customHeight="1">
      <x:c r="A71" s="109" t="str">
        <x:v>Fiches de cartes</x:v>
      </x:c>
      <x:c r="B71" s="110" t="n">
        <x:f>COUNTA('Cartes_zones'!$A$7:$A$40)-21</x:f>
        <x:v>13</x:v>
      </x:c>
      <x:c r="C71" s="109" t="n">
        <x:f>COUNTA('Cartes_zones'!$A$7:$A$40)</x:f>
        <x:v>34</x:v>
      </x:c>
      <x:c r="D71" s="1"/>
      <x:c r="E71" s="1"/>
      <x:c r="F71" s="1" t="str">
        <x:v>clans.</x:v>
      </x:c>
      <x:c r="G71" s="1"/>
      <x:c r="H71" s="1"/>
      <x:c r="I71" s="1"/>
      <x:c r="J71" s="1"/>
      <x:c r="K71" s="1"/>
      <x:c r="L71" s="1"/>
    </x:row>
    <x:row r="72" ht="25" customHeight="1">
      <x:c r="A72" s="1" t="str">
        <x:v>Groupes catalogués</x:v>
      </x:c>
      <x:c r="B72" s="108" t="n">
        <x:f>COUNTA('Groupes'!$A$7:$A$68)-42</x:f>
        <x:v>20</x:v>
      </x:c>
      <x:c r="C72" s="1" t="n">
        <x:f>COUNTA('Groupes'!$A$7:$A$68)</x:f>
        <x:v>62</x:v>
      </x:c>
      <x:c r="D72" s="1"/>
      <x:c r="E72" s="1"/>
      <x:c r="F72" s="1"/>
      <x:c r="G72" s="1"/>
      <x:c r="H72" s="1"/>
      <x:c r="I72" s="1"/>
      <x:c r="J72" s="1"/>
      <x:c r="K72" s="1"/>
      <x:c r="L72" s="1"/>
    </x:row>
    <x:row r="73" ht="25" customHeight="1">
      <x:c r="A73" s="109" t="str">
        <x:v>Fiches de rencontre</x:v>
      </x:c>
      <x:c r="B73" s="110" t="n">
        <x:f>COUNTA('Boss_et_elites'!$A$7:$A$45)-31</x:f>
        <x:v>8</x:v>
      </x:c>
      <x:c r="C73" s="109" t="n">
        <x:f>COUNTA('Boss_et_elites'!$A$7:$A$45)</x:f>
        <x:v>39</x:v>
      </x:c>
      <x:c r="D73" s="1"/>
      <x:c r="E73" s="1"/>
      <x:c r="F73" s="1" t="str">
        <x:v>Les 126 constats du code restent ceux de l’audit v65.5, arrêté au commit 0f37cc52.</x:v>
      </x:c>
      <x:c r="G73" s="1"/>
      <x:c r="H73" s="1"/>
      <x:c r="I73" s="1"/>
      <x:c r="J73" s="1"/>
      <x:c r="K73" s="1"/>
      <x:c r="L73" s="1"/>
    </x:row>
    <x:row r="74" ht="25" customHeight="1">
      <x:c r="A74" s="1" t="str">
        <x:v>Gabarits d’effectifs</x:v>
      </x:c>
      <x:c r="B74" s="108" t="n">
        <x:f>COUNTA('Effectifs'!$A$7:$A$23)-13</x:f>
        <x:v>4</x:v>
      </x:c>
      <x:c r="C74" s="1" t="n">
        <x:f>COUNTA('Effectifs'!$A$7:$A$23)</x:f>
        <x:v>17</x:v>
      </x:c>
      <x:c r="D74" s="1"/>
      <x:c r="E74" s="1"/>
      <x:c r="F74" s="1"/>
      <x:c r="G74" s="1"/>
      <x:c r="H74" s="1"/>
      <x:c r="I74" s="1"/>
      <x:c r="J74" s="1"/>
      <x:c r="K74" s="1"/>
      <x:c r="L74" s="1"/>
    </x:row>
    <x:row r="75" ht="25" customHeight="1">
      <x:c r="A75" s="109" t="str">
        <x:v>Opérations de fronts</x:v>
      </x:c>
      <x:c r="B75" s="110" t="n">
        <x:f>COUNTA('Fronts'!$A$7:$A$46)-25</x:f>
        <x:v>15</x:v>
      </x:c>
      <x:c r="C75" s="109" t="n">
        <x:f>COUNTA('Fronts'!$A$7:$A$46)</x:f>
        <x:v>40</x:v>
      </x:c>
      <x:c r="D75" s="1"/>
      <x:c r="E75" s="1"/>
      <x:c r="F75" s="1"/>
      <x:c r="G75" s="1"/>
      <x:c r="H75" s="1"/>
      <x:c r="I75" s="1"/>
      <x:c r="J75" s="1"/>
      <x:c r="K75" s="1"/>
      <x:c r="L75" s="1"/>
    </x:row>
    <x:row r="76">
      <x:c r="A76" s="1"/>
      <x:c r="B76" s="1"/>
      <x:c r="C76" s="1"/>
      <x:c r="D76" s="1"/>
      <x:c r="E76" s="1"/>
      <x:c r="F76" s="1"/>
      <x:c r="G76" s="1"/>
      <x:c r="H76" s="1"/>
      <x:c r="I76" s="1"/>
      <x:c r="J76" s="1"/>
      <x:c r="K76" s="1"/>
      <x:c r="L76" s="1"/>
    </x:row>
    <x:row r="77">
      <x:c r="A77" s="1"/>
      <x:c r="B77" s="1"/>
      <x:c r="C77" s="1"/>
      <x:c r="D77" s="1"/>
      <x:c r="E77" s="1"/>
      <x:c r="F77" s="1"/>
      <x:c r="G77" s="1"/>
      <x:c r="H77" s="1"/>
      <x:c r="I77" s="1"/>
      <x:c r="J77" s="1"/>
      <x:c r="K77" s="1"/>
      <x:c r="L77" s="1"/>
    </x:row>
    <x:row r="78">
      <x:c r="A78" s="96" t="str">
        <x:v>Règles de provenance et d’adaptation</x:v>
      </x:c>
      <x:c r="B78" s="1"/>
      <x:c r="C78" s="1"/>
      <x:c r="D78" s="1"/>
      <x:c r="E78" s="1"/>
      <x:c r="F78" s="1"/>
      <x:c r="G78" s="1"/>
      <x:c r="H78" s="1"/>
      <x:c r="I78" s="1"/>
      <x:c r="J78" s="1"/>
      <x:c r="K78" s="1"/>
      <x:c r="L78" s="1"/>
    </x:row>
    <x:row r="80" ht="21" customHeight="1">
      <x:c r="A80" s="1" t="str">
        <x:v>1. Le terme caste est réservé au cas où l’œuvre le justifie : stades, classes de jeu, métiers humains, matériel et individus sont distingués.</x:v>
      </x:c>
      <x:c r="B80" s="1"/>
      <x:c r="C80" s="1"/>
      <x:c r="D80" s="1"/>
      <x:c r="E80" s="1"/>
      <x:c r="F80" s="1"/>
      <x:c r="G80" s="1"/>
      <x:c r="H80" s="1"/>
      <x:c r="I80" s="1"/>
      <x:c r="J80" s="1"/>
      <x:c r="K80" s="1"/>
      <x:c r="L80" s="1"/>
    </x:row>
    <x:row r="82" ht="21" customHeight="1">
      <x:c r="A82" s="1" t="str">
        <x:v>2. Une preuve de nom ou de design, notamment une fiche de figurine officielle, ne valide pas tous les pouvoirs attribués à un personnage.</x:v>
      </x:c>
      <x:c r="B82" s="1"/>
      <x:c r="C82" s="1"/>
      <x:c r="D82" s="1"/>
      <x:c r="E82" s="1"/>
      <x:c r="F82" s="1"/>
      <x:c r="G82" s="1"/>
      <x:c r="H82" s="1"/>
      <x:c r="I82" s="1"/>
      <x:c r="J82" s="1"/>
      <x:c r="K82" s="1"/>
      <x:c r="L82" s="1"/>
    </x:row>
    <x:row r="84" ht="21" customHeight="1">
      <x:c r="A84" s="1" t="str">
        <x:v>3. Un individu unique n’entre jamais dans une réserve de clones ; les noms, apparitions et décès restent persistants.</x:v>
      </x:c>
      <x:c r="B84" s="1"/>
      <x:c r="C84" s="1"/>
      <x:c r="D84" s="1"/>
      <x:c r="E84" s="1"/>
      <x:c r="F84" s="1"/>
      <x:c r="G84" s="1"/>
      <x:c r="H84" s="1"/>
      <x:c r="I84" s="1"/>
      <x:c r="J84" s="1"/>
      <x:c r="K84" s="1"/>
      <x:c r="L84" s="1"/>
    </x:row>
    <x:row r="86" ht="21" customHeight="1">
      <x:c r="A86" s="1" t="str">
        <x:v>4. Présence d’un lieu attestée ; plan, dimensions, fronts, populations et scénarios musou proposés séparément.</x:v>
      </x:c>
      <x:c r="B86" s="1"/>
      <x:c r="C86" s="1"/>
      <x:c r="D86" s="1"/>
      <x:c r="E86" s="1"/>
      <x:c r="F86" s="1"/>
      <x:c r="G86" s="1"/>
      <x:c r="H86" s="1"/>
      <x:c r="I86" s="1"/>
      <x:c r="J86" s="1"/>
      <x:c r="K86" s="1"/>
      <x:c r="L86" s="1"/>
    </x:row>
    <x:row r="88" ht="21" customHeight="1">
      <x:c r="A88" s="1" t="str">
        <x:v>5. Les capacités non sourcées restent à vérifier et les dossiers exclus ne rejoignent pas les listes de spawn.</x:v>
      </x:c>
      <x:c r="B88" s="1"/>
      <x:c r="C88" s="1"/>
      <x:c r="D88" s="1"/>
      <x:c r="E88" s="1"/>
      <x:c r="F88" s="1"/>
      <x:c r="G88" s="1"/>
      <x:c r="H88" s="1"/>
      <x:c r="I88" s="1"/>
      <x:c r="J88" s="1"/>
      <x:c r="K88" s="1"/>
      <x:c r="L88" s="1"/>
    </x:row>
    <x:row r="90" ht="21" customHeight="1">
      <x:c r="A90" s="1" t="str">
        <x:v>6. Les chiffres sont des allocations de conception à profiler. Une reconstitution exige de relever ses effectifs dans l’œuvre.</x:v>
      </x:c>
      <x:c r="B90" s="1"/>
      <x:c r="C90" s="1"/>
      <x:c r="D90" s="1"/>
      <x:c r="E90" s="1"/>
      <x:c r="F90" s="1"/>
      <x:c r="G90" s="1"/>
      <x:c r="H90" s="1"/>
      <x:c r="I90" s="1"/>
      <x:c r="J90" s="1"/>
      <x:c r="K90" s="1"/>
      <x:c r="L90" s="1"/>
    </x:row>
    <x:row r="92" ht="21" customHeight="1">
      <x:c r="A92" s="1" t="str">
        <x:v>7. Les anciens 126 constats du code restent rattachés au même commit v65.5 ; ce catalogue ne constitue pas une nouvelle mesure de la production.</x:v>
      </x:c>
      <x:c r="B92" s="1"/>
      <x:c r="C92" s="1"/>
      <x:c r="D92" s="1"/>
      <x:c r="E92" s="1"/>
      <x:c r="F92" s="1"/>
      <x:c r="G92" s="1"/>
      <x:c r="H92" s="1"/>
      <x:c r="I92" s="1"/>
      <x:c r="J92" s="1"/>
      <x:c r="K92" s="1"/>
      <x:c r="L92" s="1"/>
    </x:row>
    <x:row r="96" ht="24" customHeight="1">
      <x:c r="A96" s="96" t="str">
        <x:v>Contrôle de complétude du 27/10/2026</x:v>
      </x:c>
      <x:c r="B96" s="1"/>
      <x:c r="C96" s="1"/>
      <x:c r="D96" s="1"/>
      <x:c r="E96" s="1"/>
      <x:c r="F96" s="1"/>
      <x:c r="G96" s="1"/>
      <x:c r="H96" s="1"/>
      <x:c r="I96" s="1"/>
      <x:c r="J96" s="1"/>
      <x:c r="K96" s="1"/>
      <x:c r="L96" s="1"/>
    </x:row>
    <x:row r="98">
      <x:c r="A98" s="1" t="str">
        <x:v>Révision du code</x:v>
      </x:c>
      <x:c r="B98" s="1" t="str">
        <x:v>39871c450379</x:v>
      </x:c>
      <x:c r="C98" s="1"/>
      <x:c r="D98" s="1"/>
      <x:c r="E98" s="1" t="str">
        <x:v>Nouveau contrôle</x:v>
      </x:c>
      <x:c r="F98" s="1" t="str">
        <x:v>Controle_roster</x:v>
      </x:c>
      <x:c r="G98" s="1"/>
      <x:c r="H98" s="1"/>
      <x:c r="I98" s="1"/>
      <x:c r="J98" s="1"/>
      <x:c r="K98" s="1"/>
      <x:c r="L98" s="1"/>
    </x:row>
    <x:row r="99">
      <x:c r="A99" s="1"/>
      <x:c r="B99" s="1"/>
      <x:c r="C99" s="1"/>
      <x:c r="D99" s="1"/>
      <x:c r="E99" s="1"/>
      <x:c r="F99" s="1"/>
      <x:c r="G99" s="1"/>
      <x:c r="H99" s="1"/>
      <x:c r="I99" s="1"/>
      <x:c r="J99" s="1"/>
      <x:c r="K99" s="1"/>
      <x:c r="L99" s="1"/>
    </x:row>
    <x:row r="100" ht="36" customHeight="1">
      <x:c r="A100" s="19" t="str">
        <x:v>Catalogue</x:v>
      </x:c>
      <x:c r="B100" s="21" t="str">
        <x:v>Nombre</x:v>
      </x:c>
      <x:c r="C100" s="1"/>
      <x:c r="D100" s="1"/>
      <x:c r="E100" s="1"/>
      <x:c r="F100" s="1"/>
      <x:c r="G100" s="1"/>
      <x:c r="H100" s="1"/>
      <x:c r="I100" s="1"/>
      <x:c r="J100" s="1"/>
      <x:c r="K100" s="1"/>
      <x:c r="L100" s="1"/>
    </x:row>
    <x:row r="101" ht="20" customHeight="1">
      <x:c r="A101" s="1" t="str">
        <x:v>Profils avant contrôle</x:v>
      </x:c>
      <x:c r="B101" s="140" t="n">
        <x:v>115</x:v>
      </x:c>
      <x:c r="C101" s="1"/>
      <x:c r="D101" s="1"/>
      <x:c r="E101" s="1" t="str">
        <x:v>80 contrôles, dont 31 dossiers à documenter et 7 hors socle actif.</x:v>
      </x:c>
      <x:c r="F101" s="1"/>
      <x:c r="G101" s="1"/>
      <x:c r="H101" s="1"/>
      <x:c r="I101" s="1"/>
      <x:c r="J101" s="1"/>
      <x:c r="K101" s="1"/>
      <x:c r="L101" s="1"/>
    </x:row>
    <x:row r="102" ht="20" customHeight="1">
      <x:c r="A102" s="1" t="str">
        <x:v>Ajouts documentés</x:v>
      </x:c>
      <x:c r="B102" s="140" t="n">
        <x:f>COUNTA('Bestiaire_medias'!$A$122:$A$223)</x:f>
        <x:v>102</x:v>
      </x:c>
      <x:c r="C102" s="1"/>
      <x:c r="D102" s="1"/>
      <x:c r="E102" s="1"/>
      <x:c r="F102" s="1"/>
      <x:c r="G102" s="1"/>
      <x:c r="H102" s="1"/>
      <x:c r="I102" s="1"/>
      <x:c r="J102" s="1"/>
      <x:c r="K102" s="1"/>
      <x:c r="L102" s="1"/>
    </x:row>
    <x:row r="103" ht="20" customHeight="1">
      <x:c r="A103" s="141" t="str">
        <x:v>Total documenté</x:v>
      </x:c>
      <x:c r="B103" s="142" t="n">
        <x:f>COUNTA('Bestiaire_medias'!$A$7:$A$223)</x:f>
        <x:v>217</x:v>
      </x:c>
      <x:c r="C103" s="1"/>
      <x:c r="D103" s="1"/>
      <x:c r="E103" s="1" t="str">
        <x:v>Les totaux comptent des fiches : profils, classes, groupes et matériels.</x:v>
      </x:c>
      <x:c r="F103" s="1"/>
      <x:c r="G103" s="1"/>
      <x:c r="H103" s="1"/>
      <x:c r="I103" s="1"/>
      <x:c r="J103" s="1"/>
      <x:c r="K103" s="1"/>
      <x:c r="L103" s="1"/>
    </x:row>
    <x:row r="104" ht="20" customHeight="1">
      <x:c r="A104" s="1"/>
      <x:c r="B104" s="1"/>
      <x:c r="C104" s="1"/>
      <x:c r="D104" s="1"/>
      <x:c r="E104" s="1"/>
      <x:c r="F104" s="1"/>
      <x:c r="G104" s="1"/>
      <x:c r="H104" s="1"/>
      <x:c r="I104" s="1"/>
      <x:c r="J104" s="1"/>
      <x:c r="K104" s="1"/>
      <x:c r="L104" s="1"/>
    </x:row>
    <x:row r="105" ht="20" customHeight="1">
      <x:c r="A105" s="1"/>
      <x:c r="B105" s="1"/>
      <x:c r="C105" s="1"/>
      <x:c r="D105" s="1"/>
      <x:c r="E105" s="1" t="str">
        <x:v>Ils ne comptent ni des races ni des acteurs effectivement rendus.</x:v>
      </x:c>
      <x:c r="F105" s="1"/>
      <x:c r="G105" s="1"/>
      <x:c r="H105" s="1"/>
      <x:c r="I105" s="1"/>
      <x:c r="J105" s="1"/>
      <x:c r="K105" s="1"/>
      <x:c r="L105" s="1"/>
    </x:row>
    <x:row r="106" ht="36" customHeight="1">
      <x:c r="A106" s="19" t="str">
        <x:v>Ajouts par famille</x:v>
      </x:c>
      <x:c r="B106" s="21" t="str">
        <x:v>Fiches</x:v>
      </x:c>
      <x:c r="C106" s="1"/>
      <x:c r="D106" s="1"/>
      <x:c r="E106" s="1"/>
      <x:c r="F106" s="1"/>
      <x:c r="G106" s="1"/>
      <x:c r="H106" s="1"/>
      <x:c r="I106" s="1"/>
      <x:c r="J106" s="1"/>
      <x:c r="K106" s="1"/>
      <x:c r="L106" s="1"/>
    </x:row>
    <x:row r="107" ht="20" customHeight="1">
      <x:c r="A107" s="1" t="str">
        <x:v>Xénomorphes et formes</x:v>
      </x:c>
      <x:c r="B107" s="140" t="n">
        <x:f>COUNTA('Bestiaire_medias'!$A$122:$A$147)</x:f>
        <x:v>26</x:v>
      </x:c>
      <x:c r="C107" s="1"/>
      <x:c r="D107" s="1"/>
      <x:c r="E107" s="1" t="str">
        <x:v>Voir Controle_roster pour les anomalies et les preuves à compléter.</x:v>
      </x:c>
      <x:c r="F107" s="1"/>
      <x:c r="G107" s="1"/>
      <x:c r="H107" s="1"/>
      <x:c r="I107" s="1"/>
      <x:c r="J107" s="1"/>
      <x:c r="K107" s="1"/>
      <x:c r="L107" s="1"/>
    </x:row>
    <x:row r="108" ht="20" customHeight="1">
      <x:c r="A108" s="1" t="str">
        <x:v>Yautja et classes</x:v>
      </x:c>
      <x:c r="B108" s="140" t="n">
        <x:f>COUNTA('Bestiaire_medias'!$A$148:$A$174)</x:f>
        <x:v>27</x:v>
      </x:c>
      <x:c r="C108" s="1"/>
      <x:c r="D108" s="1"/>
      <x:c r="E108" s="1"/>
      <x:c r="F108" s="1"/>
      <x:c r="G108" s="1"/>
      <x:c r="H108" s="1"/>
      <x:c r="I108" s="1"/>
      <x:c r="J108" s="1"/>
      <x:c r="K108" s="1"/>
      <x:c r="L108" s="1"/>
    </x:row>
    <x:row r="109" ht="20" customHeight="1">
      <x:c r="A109" s="1" t="str">
        <x:v>Humains et synthétiques</x:v>
      </x:c>
      <x:c r="B109" s="140" t="n">
        <x:f>COUNTA('Bestiaire_medias'!$A$175:$A$217)</x:f>
        <x:v>43</x:v>
      </x:c>
      <x:c r="C109" s="1"/>
      <x:c r="D109" s="1"/>
      <x:c r="E109" s="1" t="str">
        <x:v>Contrôle documentaire et du code. Combat WebGL et fidélité visuelle non revalidés.</x:v>
      </x:c>
      <x:c r="F109" s="1"/>
      <x:c r="G109" s="1"/>
      <x:c r="H109" s="1"/>
      <x:c r="I109" s="1"/>
      <x:c r="J109" s="1"/>
      <x:c r="K109" s="1"/>
      <x:c r="L109" s="1"/>
    </x:row>
    <x:row r="110" ht="20" customHeight="1">
      <x:c r="A110" s="1" t="str">
        <x:v>Autres organismes</x:v>
      </x:c>
      <x:c r="B110" s="140" t="n">
        <x:f>COUNTA('Bestiaire_medias'!$A$218:$A$223)</x:f>
        <x:v>6</x:v>
      </x:c>
      <x:c r="C110" s="1"/>
      <x:c r="D110" s="1"/>
      <x:c r="E110" s="1"/>
      <x:c r="F110" s="1"/>
      <x:c r="G110" s="1"/>
      <x:c r="H110" s="1"/>
      <x:c r="I110" s="1"/>
      <x:c r="J110" s="1"/>
      <x:c r="K110" s="1"/>
      <x:c r="L110" s="1"/>
    </x:row>
    <x:row r="111" ht="20" customHeight="1">
      <x:c r="A111" s="1"/>
      <x:c r="B111" s="1"/>
      <x:c r="C111" s="1"/>
      <x:c r="D111" s="1"/>
      <x:c r="E111" s="1" t="str">
        <x:v>Les 126 actions conservent leur suivi : 54 terminées, 47 à valider, 25 en cours.</x:v>
      </x:c>
      <x:c r="F111" s="1"/>
      <x:c r="G111" s="1"/>
      <x:c r="H111" s="1"/>
      <x:c r="I111" s="1"/>
      <x:c r="J111" s="1"/>
      <x:c r="K111" s="1"/>
      <x:c r="L111" s="1"/>
    </x:row>
    <x:row r="112" ht="20" customHeight="1">
      <x:c r="A112" s="1"/>
      <x:c r="B112" s="1"/>
      <x:c r="C112" s="1"/>
      <x:c r="D112" s="1"/>
      <x:c r="E112" s="1"/>
      <x:c r="F112" s="1"/>
      <x:c r="G112" s="1"/>
      <x:c r="H112" s="1"/>
      <x:c r="I112" s="1"/>
      <x:c r="J112" s="1"/>
      <x:c r="K112" s="1"/>
      <x:c r="L112" s="1"/>
    </x:row>
    <x:row r="113" ht="20" customHeight="1">
      <x:c r="A113" s="1"/>
      <x:c r="B113" s="1"/>
      <x:c r="C113" s="1"/>
      <x:c r="D113" s="1"/>
      <x:c r="E113" s="1"/>
      <x:c r="F113" s="1"/>
      <x:c r="G113" s="1"/>
      <x:c r="H113" s="1"/>
      <x:c r="I113" s="1"/>
      <x:c r="J113" s="1"/>
      <x:c r="K113" s="1"/>
      <x:c r="L113" s="1"/>
    </x:row>
    <x:row r="114" ht="20" customHeight="1">
      <x:c r="A114" s="1"/>
      <x:c r="B114" s="1"/>
      <x:c r="C114" s="1"/>
      <x:c r="D114" s="1"/>
      <x:c r="E114" s="1"/>
      <x:c r="F114" s="1"/>
      <x:c r="G114" s="1"/>
      <x:c r="H114" s="1"/>
      <x:c r="I114" s="1"/>
      <x:c r="J114" s="1"/>
      <x:c r="K114" s="1"/>
      <x:c r="L114" s="1"/>
    </x:row>
    <x:row r="115" ht="20" customHeight="1">
      <x:c r="A115" s="1"/>
      <x:c r="B115" s="1"/>
      <x:c r="C115" s="1"/>
      <x:c r="D115" s="1"/>
      <x:c r="E115" s="1"/>
      <x:c r="F115" s="1"/>
      <x:c r="G115" s="1"/>
      <x:c r="H115" s="1"/>
      <x:c r="I115" s="1"/>
      <x:c r="J115" s="1"/>
      <x:c r="K115" s="1"/>
      <x:c r="L115" s="1"/>
    </x:row>
  </x:sheetData>
  <x:pageMargins left="0.7" right="0.7" top="0.75" bottom="0.75" header="0.3" footer="0.3"/>
</x:worksheet>
</file>

<file path=xl/worksheets/sheet2.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16" hidden="0" customWidth="1"/>
    <x:col min="4" max="4" width="16" hidden="0" customWidth="1"/>
    <x:col min="5" max="5" width="16" hidden="0" customWidth="1"/>
    <x:col min="6" max="6" width="16"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80" hidden="0" customWidth="1"/>
  </x:cols>
  <x:sheetData>
    <x:row r="1" ht="12" customHeight="1">
      <x:c r="A1" s="3"/>
      <x:c r="B1" s="3"/>
      <x:c r="C1" s="3"/>
      <x:c r="D1" s="3"/>
      <x:c r="E1" s="3"/>
      <x:c r="F1" s="3"/>
      <x:c r="G1" s="3"/>
      <x:c r="H1" s="3"/>
      <x:c r="I1" s="3"/>
      <x:c r="J1" s="3"/>
      <x:c r="K1" s="3"/>
      <x:c r="L1" s="3"/>
      <x:c r="M1" s="3"/>
      <x:c r="N1" s="3"/>
      <x:c r="O1" s="3"/>
    </x:row>
    <x:row r="2" ht="29" customHeight="1">
      <x:c r="A2" s="4" t="str">
        <x:v>Gabarits d’effectifs proposés</x:v>
      </x:c>
      <x:c r="B2" s="3"/>
      <x:c r="C2" s="3"/>
      <x:c r="D2" s="3"/>
      <x:c r="E2" s="3"/>
      <x:c r="F2" s="3"/>
      <x:c r="G2" s="3"/>
      <x:c r="H2" s="3"/>
      <x:c r="I2" s="3"/>
      <x:c r="J2" s="3"/>
      <x:c r="K2" s="3"/>
      <x:c r="L2" s="3"/>
      <x:c r="M2" s="3"/>
      <x:c r="N2" s="3"/>
      <x:c r="O2" s="3"/>
    </x:row>
    <x:row r="3" ht="8" customHeight="1">
      <x:c r="A3" s="5"/>
      <x:c r="B3" s="5"/>
      <x:c r="C3" s="5"/>
      <x:c r="D3" s="5"/>
      <x:c r="E3" s="5"/>
      <x:c r="F3" s="5"/>
      <x:c r="G3" s="5"/>
      <x:c r="H3" s="5"/>
      <x:c r="I3" s="5"/>
      <x:c r="J3" s="5"/>
      <x:c r="K3" s="5"/>
      <x:c r="L3" s="5"/>
      <x:c r="M3" s="5"/>
      <x:c r="N3" s="5"/>
      <x:c r="O3" s="5"/>
    </x:row>
    <x:row r="4">
      <x:c r="A4" s="6" t="str">
        <x:v>État simultané cible. Distants : déjà déployés hors bulle. Réserves : non déployées. Aucun de ces nombres n’est une capacité de performance mesurée.</x:v>
      </x:c>
      <x:c r="B4" s="3"/>
      <x:c r="C4" s="3"/>
      <x:c r="D4" s="3"/>
      <x:c r="E4" s="3"/>
      <x:c r="F4" s="3"/>
      <x:c r="G4" s="3"/>
      <x:c r="H4" s="3"/>
      <x:c r="I4" s="3"/>
      <x:c r="J4" s="3"/>
      <x:c r="K4" s="3"/>
      <x:c r="L4" s="3"/>
      <x:c r="M4" s="3"/>
      <x:c r="N4" s="3"/>
      <x:c r="O4" s="3"/>
    </x:row>
    <x:row r="5">
      <x:c r="A5" s="6" t="str">
        <x:v>Cellules jaunes : cibles modifiables. Joueurs comptés séparément des alliés PNJ. Les fronts partagent le budget actif global.</x:v>
      </x:c>
      <x:c r="B5" s="3"/>
      <x:c r="C5" s="3"/>
      <x:c r="D5" s="3"/>
      <x:c r="E5" s="3"/>
      <x:c r="F5" s="3"/>
      <x:c r="G5" s="3"/>
      <x:c r="H5" s="3"/>
      <x:c r="I5" s="3"/>
      <x:c r="J5" s="3"/>
      <x:c r="K5" s="3"/>
      <x:c r="L5" s="3"/>
      <x:c r="M5" s="3"/>
      <x:c r="N5" s="3"/>
      <x:c r="O5" s="3"/>
    </x:row>
    <x:row r="6" ht="50" customHeight="1">
      <x:c r="A6" s="19" t="str">
        <x:v>ID</x:v>
      </x:c>
      <x:c r="B6" s="20" t="str">
        <x:v>Format de bataille</x:v>
      </x:c>
      <x:c r="C6" s="20" t="str">
        <x:v>Ennemis actifs</x:v>
      </x:c>
      <x:c r="D6" s="20" t="str">
        <x:v>Alliés PNJ actifs</x:v>
      </x:c>
      <x:c r="E6" s="20" t="str">
        <x:v>Joueurs actifs</x:v>
      </x:c>
      <x:c r="F6" s="20" t="str">
        <x:v>Total actifs</x:v>
      </x:c>
      <x:c r="G6" s="20" t="str">
        <x:v>Ennemis distants</x:v>
      </x:c>
      <x:c r="H6" s="20" t="str">
        <x:v>Alliés PNJ distants</x:v>
      </x:c>
      <x:c r="I6" s="20" t="str">
        <x:v>Réserves ennemies</x:v>
      </x:c>
      <x:c r="J6" s="20" t="str">
        <x:v>Réserves alliées PNJ</x:v>
      </x:c>
      <x:c r="K6" s="20" t="str">
        <x:v>Force ennemie cible</x:v>
      </x:c>
      <x:c r="L6" s="20" t="str">
        <x:v>Force alliée PNJ cible</x:v>
      </x:c>
      <x:c r="M6" s="20" t="str">
        <x:v>Force totale allouée</x:v>
      </x:c>
      <x:c r="N6" s="20" t="str">
        <x:v>Fronts simultanés</x:v>
      </x:c>
      <x:c r="O6" s="21" t="str">
        <x:v>Conditions / budget</x:v>
      </x:c>
    </x:row>
    <x:row r="7" ht="55" customHeight="1">
      <x:c r="A7" s="9" t="str">
        <x:v>EFF-01</x:v>
      </x:c>
      <x:c r="B7" s="9" t="str">
        <x:v>Incursion d’apprentissage — scénario original</x:v>
      </x:c>
      <x:c r="C7" s="30" t="n">
        <x:v>24</x:v>
      </x:c>
      <x:c r="D7" s="30" t="n">
        <x:v>2</x:v>
      </x:c>
      <x:c r="E7" s="30" t="n">
        <x:v>1</x:v>
      </x:c>
      <x:c r="F7" s="29" t="n">
        <x:f>IF(COUNT(C7:E7)=3,SUM(C7:E7),"n.a.")</x:f>
        <x:v>27</x:v>
      </x:c>
      <x:c r="G7" s="30" t="n">
        <x:v>24</x:v>
      </x:c>
      <x:c r="H7" s="30" t="n">
        <x:v>0</x:v>
      </x:c>
      <x:c r="I7" s="30" t="n">
        <x:v>48</x:v>
      </x:c>
      <x:c r="J7" s="30" t="n">
        <x:v>0</x:v>
      </x:c>
      <x:c r="K7" s="29" t="n">
        <x:f>IF(COUNT(C7,G7,I7)=3,SUM(C7,G7,I7),"n.a.")</x:f>
        <x:v>96</x:v>
      </x:c>
      <x:c r="L7" s="29" t="n">
        <x:f>IF(COUNT(D7,H7,J7)=3,SUM(D7,H7,J7),"n.a.")</x:f>
        <x:v>2</x:v>
      </x:c>
      <x:c r="M7" s="29" t="n">
        <x:f>IF(COUNT(K7:L7,E7)=3,SUM(K7:L7,E7),"n.a.")</x:f>
        <x:v>99</x:v>
      </x:c>
      <x:c r="N7" s="30" t="n">
        <x:v>1</x:v>
      </x:c>
      <x:c r="O7" s="9" t="str">
        <x:v>Cible de prototype original : 24 ennemis actifs, 24 déployés hors bulle et 48 non déployés ; 2 alliés PNJ plus le joueur forment le trio. Un preset de reconstitution remplace ces nombres par les effectifs documentés de sa scène.</x:v>
      </x:c>
    </x:row>
    <x:row r="8" ht="55" customHeight="1">
      <x:c r="A8" s="9" t="str">
        <x:v>EFF-02</x:v>
      </x:c>
      <x:c r="B8" s="9" t="str">
        <x:v>Guerre du clan — socle prudent</x:v>
      </x:c>
      <x:c r="C8" s="30" t="n">
        <x:v>64</x:v>
      </x:c>
      <x:c r="D8" s="30" t="n">
        <x:v>8</x:v>
      </x:c>
      <x:c r="E8" s="30" t="n">
        <x:v>1</x:v>
      </x:c>
      <x:c r="F8" s="29" t="n">
        <x:f>IF(COUNT(C8:E8)=3,SUM(C8:E8),"n.a.")</x:f>
        <x:v>73</x:v>
      </x:c>
      <x:c r="G8" s="30" t="n">
        <x:v>192</x:v>
      </x:c>
      <x:c r="H8" s="30" t="n">
        <x:v>8</x:v>
      </x:c>
      <x:c r="I8" s="30" t="n">
        <x:v>128</x:v>
      </x:c>
      <x:c r="J8" s="30" t="n">
        <x:v>8</x:v>
      </x:c>
      <x:c r="K8" s="29" t="n">
        <x:f>IF(COUNT(C8,G8,I8)=3,SUM(C8,G8,I8),"n.a.")</x:f>
        <x:v>384</x:v>
      </x:c>
      <x:c r="L8" s="29" t="n">
        <x:f>IF(COUNT(D8,H8,J8)=3,SUM(D8,H8,J8),"n.a.")</x:f>
        <x:v>24</x:v>
      </x:c>
      <x:c r="M8" s="29" t="n">
        <x:f>IF(COUNT(K8:L8,E8)=3,SUM(K8:L8,E8),"n.a.")</x:f>
        <x:v>409</x:v>
      </x:c>
      <x:c r="N8" s="30" t="n">
        <x:v>2</x:v>
      </x:c>
      <x:c r="O8" s="9" t="str">
        <x:v>8 combattants alliés Yautja actifs ; 16 disponibles sur les autres fronts ou en réserve. Essaims de 16–32 adversaires. Objectif initial à profiler avant de monter les budgets.</x:v>
      </x:c>
    </x:row>
    <x:row r="9" ht="55" customHeight="1">
      <x:c r="A9" s="9" t="str">
        <x:v>EFF-03</x:v>
      </x:c>
      <x:c r="B9" s="9" t="str">
        <x:v>Guerre du clan — bataille standard</x:v>
      </x:c>
      <x:c r="C9" s="30" t="n">
        <x:v>128</x:v>
      </x:c>
      <x:c r="D9" s="30" t="n">
        <x:v>16</x:v>
      </x:c>
      <x:c r="E9" s="30" t="n">
        <x:v>1</x:v>
      </x:c>
      <x:c r="F9" s="29" t="n">
        <x:f>IF(COUNT(C9:E9)=3,SUM(C9:E9),"n.a.")</x:f>
        <x:v>145</x:v>
      </x:c>
      <x:c r="G9" s="30" t="n">
        <x:v>512</x:v>
      </x:c>
      <x:c r="H9" s="30" t="n">
        <x:v>24</x:v>
      </x:c>
      <x:c r="I9" s="30" t="n">
        <x:v>360</x:v>
      </x:c>
      <x:c r="J9" s="30" t="n">
        <x:v>8</x:v>
      </x:c>
      <x:c r="K9" s="29" t="n">
        <x:f>IF(COUNT(C9,G9,I9)=3,SUM(C9,G9,I9),"n.a.")</x:f>
        <x:v>1000</x:v>
      </x:c>
      <x:c r="L9" s="29" t="n">
        <x:f>IF(COUNT(D9,H9,J9)=3,SUM(D9,H9,J9),"n.a.")</x:f>
        <x:v>48</x:v>
      </x:c>
      <x:c r="M9" s="29" t="n">
        <x:f>IF(COUNT(K9:L9,E9)=3,SUM(K9:L9,E9),"n.a.")</x:f>
        <x:v>1049</x:v>
      </x:c>
      <x:c r="N9" s="30" t="n">
        <x:v>3</x:v>
      </x:c>
      <x:c r="O9" s="9" t="str">
        <x:v>Force ennemie allouée de 1 000, répartie dans le temps et l’espace ; pas 1 000 IA proches. 16 Yautja alliés proches, 48 au total alloué. Cohérence de guerre explicitée dans un scénario original.</x:v>
      </x:c>
    </x:row>
    <x:row r="10" ht="55" customHeight="1">
      <x:c r="A10" s="9" t="str">
        <x:v>EFF-04</x:v>
      </x:c>
      <x:c r="B10" s="9" t="str">
        <x:v>Guerre du clan — assaut de ruche</x:v>
      </x:c>
      <x:c r="C10" s="30" t="n">
        <x:v>192</x:v>
      </x:c>
      <x:c r="D10" s="30" t="n">
        <x:v>24</x:v>
      </x:c>
      <x:c r="E10" s="30" t="n">
        <x:v>1</x:v>
      </x:c>
      <x:c r="F10" s="29" t="n">
        <x:f>IF(COUNT(C10:E10)=3,SUM(C10:E10),"n.a.")</x:f>
        <x:v>217</x:v>
      </x:c>
      <x:c r="G10" s="30" t="n">
        <x:v>1008</x:v>
      </x:c>
      <x:c r="H10" s="30" t="n">
        <x:v>36</x:v>
      </x:c>
      <x:c r="I10" s="30" t="n">
        <x:v>800</x:v>
      </x:c>
      <x:c r="J10" s="30" t="n">
        <x:v>12</x:v>
      </x:c>
      <x:c r="K10" s="29" t="n">
        <x:f>IF(COUNT(C10,G10,I10)=3,SUM(C10,G10,I10),"n.a.")</x:f>
        <x:v>2000</x:v>
      </x:c>
      <x:c r="L10" s="29" t="n">
        <x:f>IF(COUNT(D10,H10,J10)=3,SUM(D10,H10,J10),"n.a.")</x:f>
        <x:v>72</x:v>
      </x:c>
      <x:c r="M10" s="29" t="n">
        <x:f>IF(COUNT(K10:L10,E10)=3,SUM(K10:L10,E10),"n.a.")</x:f>
        <x:v>2073</x:v>
      </x:c>
      <x:c r="N10" s="30" t="n">
        <x:v>4</x:v>
      </x:c>
      <x:c r="O10" s="9" t="str">
        <x:v>Cible ambitieuse conditionnée au profilage, au rendu instancié et à une simulation de groupes. Les 2 000 adversaires alloués ne sont pas 2 000 ennemis présents au même endroit.</x:v>
      </x:c>
    </x:row>
    <x:row r="11" ht="55" customHeight="1">
      <x:c r="A11" s="9" t="str">
        <x:v>EFF-05</x:v>
      </x:c>
      <x:c r="B11" s="9" t="str">
        <x:v>Grande opération — palier expérimental</x:v>
      </x:c>
      <x:c r="C11" s="30" t="n">
        <x:v>256</x:v>
      </x:c>
      <x:c r="D11" s="30" t="n">
        <x:v>32</x:v>
      </x:c>
      <x:c r="E11" s="30" t="n">
        <x:v>1</x:v>
      </x:c>
      <x:c r="F11" s="29" t="n">
        <x:f>IF(COUNT(C11:E11)=3,SUM(C11:E11),"n.a.")</x:f>
        <x:v>289</x:v>
      </x:c>
      <x:c r="G11" s="30" t="n">
        <x:v>2244</x:v>
      </x:c>
      <x:c r="H11" s="30" t="n">
        <x:v>48</x:v>
      </x:c>
      <x:c r="I11" s="30" t="n">
        <x:v>1500</x:v>
      </x:c>
      <x:c r="J11" s="30" t="n">
        <x:v>16</x:v>
      </x:c>
      <x:c r="K11" s="29" t="n">
        <x:f>IF(COUNT(C11,G11,I11)=3,SUM(C11,G11,I11),"n.a.")</x:f>
        <x:v>4000</x:v>
      </x:c>
      <x:c r="L11" s="29" t="n">
        <x:f>IF(COUNT(D11,H11,J11)=3,SUM(D11,H11,J11),"n.a.")</x:f>
        <x:v>96</x:v>
      </x:c>
      <x:c r="M11" s="29" t="n">
        <x:f>IF(COUNT(K11:L11,E11)=3,SUM(K11:L11,E11),"n.a.")</x:f>
        <x:v>4097</x:v>
      </x:c>
      <x:c r="N11" s="30" t="n">
        <x:v>5</x:v>
      </x:c>
      <x:c r="O11" s="9" t="str">
        <x:v>Étude ultérieure : 4 000 ennemis alloués et 96 Yautja alliés sur l’opération. Bataille de guerre originale exceptionnelle ; aucune promesse de performances ni scène cinématographique reconstituée.</x:v>
      </x:c>
    </x:row>
    <x:row r="12" ht="63" customHeight="1">
      <x:c r="A12" s="9" t="str">
        <x:v>EFF-06</x:v>
      </x:c>
      <x:c r="B12" s="9" t="str">
        <x:v>Front humain sous trêve scénarisée</x:v>
      </x:c>
      <x:c r="C12" s="30" t="n">
        <x:v>128</x:v>
      </x:c>
      <x:c r="D12" s="30" t="n">
        <x:v>28</x:v>
      </x:c>
      <x:c r="E12" s="30" t="n">
        <x:v>1</x:v>
      </x:c>
      <x:c r="F12" s="29" t="n">
        <x:f>IF(COUNT(C12:E12)=3,SUM(C12:E12),"n.a.")</x:f>
        <x:v>157</x:v>
      </x:c>
      <x:c r="G12" s="30" t="n">
        <x:v>512</x:v>
      </x:c>
      <x:c r="H12" s="30" t="n">
        <x:v>68</x:v>
      </x:c>
      <x:c r="I12" s="30" t="n">
        <x:v>360</x:v>
      </x:c>
      <x:c r="J12" s="30" t="n">
        <x:v>24</x:v>
      </x:c>
      <x:c r="K12" s="29" t="n">
        <x:f>IF(COUNT(C12,G12,I12)=3,SUM(C12,G12,I12),"n.a.")</x:f>
        <x:v>1000</x:v>
      </x:c>
      <x:c r="L12" s="29" t="n">
        <x:f>IF(COUNT(D12,H12,J12)=3,SUM(D12,H12,J12),"n.a.")</x:f>
        <x:v>120</x:v>
      </x:c>
      <x:c r="M12" s="29" t="n">
        <x:f>IF(COUNT(K12:L12,E12)=3,SUM(K12:L12,E12),"n.a.")</x:f>
        <x:v>1121</x:v>
      </x:c>
      <x:c r="N12" s="30" t="n">
        <x:v>3</x:v>
      </x:c>
      <x:c r="O12" s="9" t="str">
        <x:v>28 alliés proches = 4 Yautja + 24 humains ; hors bulle et réserves = 8 Yautja + 84 humains, soit 92 PNJ répartis entre 68 déployés distants et 24 en réserve. Trêve expliquée et révocable ; aucune alliance automatique entre toutes les factions.</x:v>
      </x:c>
    </x:row>
    <x:row r="13" ht="55" customHeight="1">
      <x:c r="A13" s="9" t="str">
        <x:v>EFF-07</x:v>
      </x:c>
      <x:c r="B13" s="9" t="str">
        <x:v>Coop locale — joueurs séparés</x:v>
      </x:c>
      <x:c r="C13" s="30" t="n">
        <x:v>128</x:v>
      </x:c>
      <x:c r="D13" s="30" t="n">
        <x:v>16</x:v>
      </x:c>
      <x:c r="E13" s="30" t="n">
        <x:v>2</x:v>
      </x:c>
      <x:c r="F13" s="29" t="n">
        <x:f>IF(COUNT(C13:E13)=3,SUM(C13:E13),"n.a.")</x:f>
        <x:v>146</x:v>
      </x:c>
      <x:c r="G13" s="30" t="n">
        <x:v>512</x:v>
      </x:c>
      <x:c r="H13" s="30" t="n">
        <x:v>24</x:v>
      </x:c>
      <x:c r="I13" s="30" t="n">
        <x:v>360</x:v>
      </x:c>
      <x:c r="J13" s="30" t="n">
        <x:v>8</x:v>
      </x:c>
      <x:c r="K13" s="29" t="n">
        <x:f>IF(COUNT(C13,G13,I13)=3,SUM(C13,G13,I13),"n.a.")</x:f>
        <x:v>1000</x:v>
      </x:c>
      <x:c r="L13" s="29" t="n">
        <x:f>IF(COUNT(D13,H13,J13)=3,SUM(D13,H13,J13),"n.a.")</x:f>
        <x:v>48</x:v>
      </x:c>
      <x:c r="M13" s="29" t="n">
        <x:f>IF(COUNT(K13:L13,E13)=3,SUM(K13:L13,E13),"n.a.")</x:f>
        <x:v>1050</x:v>
      </x:c>
      <x:c r="N13" s="30" t="n">
        <x:v>3</x:v>
      </x:c>
      <x:c r="O13" s="9" t="str">
        <x:v>Budget global partagé entre les deux bulles. Un groupe visible des deux joueurs n’est compté qu’une fois ; cible 64 ennemis par bulle disjointe, réallocation possible sans changer le total.</x:v>
      </x:c>
    </x:row>
    <x:row r="14" ht="63" customHeight="1">
      <x:c r="A14" s="9" t="str">
        <x:v>EFF-08</x:v>
      </x:c>
      <x:c r="B14" s="9" t="str">
        <x:v>Mode faible capacité</x:v>
      </x:c>
      <x:c r="C14" s="30" t="n">
        <x:v>48</x:v>
      </x:c>
      <x:c r="D14" s="30" t="n">
        <x:v>6</x:v>
      </x:c>
      <x:c r="E14" s="30" t="n">
        <x:v>1</x:v>
      </x:c>
      <x:c r="F14" s="29" t="n">
        <x:f>IF(COUNT(C14:E14)=3,SUM(C14:E14),"n.a.")</x:f>
        <x:v>55</x:v>
      </x:c>
      <x:c r="G14" s="30" t="n">
        <x:v>592</x:v>
      </x:c>
      <x:c r="H14" s="30" t="n">
        <x:v>34</x:v>
      </x:c>
      <x:c r="I14" s="30" t="n">
        <x:v>360</x:v>
      </x:c>
      <x:c r="J14" s="30" t="n">
        <x:v>8</x:v>
      </x:c>
      <x:c r="K14" s="29" t="n">
        <x:f>IF(COUNT(C14,G14,I14)=3,SUM(C14,G14,I14),"n.a.")</x:f>
        <x:v>1000</x:v>
      </x:c>
      <x:c r="L14" s="29" t="n">
        <x:f>IF(COUNT(D14,H14,J14)=3,SUM(D14,H14,J14),"n.a.")</x:f>
        <x:v>48</x:v>
      </x:c>
      <x:c r="M14" s="29" t="n">
        <x:f>IF(COUNT(K14:L14,E14)=3,SUM(K14:L14,E14),"n.a.")</x:f>
        <x:v>1049</x:v>
      </x:c>
      <x:c r="N14" s="30" t="n">
        <x:v>3</x:v>
      </x:c>
      <x:c r="O14" s="9" t="str">
        <x:v>Force stratégique cible identique à EFF-03 : 1 000 ennemis et 48 alliés PNJ alloués. Le passage de 128 à 48 ennemis actifs peut changer la difficulté tactique : vérifier et calibrer cette équivalence, sans promettre un simple changement visuel.</x:v>
      </x:c>
    </x:row>
    <x:row r="15" ht="76.5" customHeight="1">
      <x:c r="A15" s="39" t="str">
        <x:v>EFF-09</x:v>
      </x:c>
      <x:c r="B15" s="39" t="str">
        <x:v>Clans rivaux — escarmouche de chasseurs</x:v>
      </x:c>
      <x:c r="C15" s="66" t="n">
        <x:v>16</x:v>
      </x:c>
      <x:c r="D15" s="66" t="n">
        <x:v>8</x:v>
      </x:c>
      <x:c r="E15" s="66" t="n">
        <x:v>1</x:v>
      </x:c>
      <x:c r="F15" s="65" t="n">
        <x:f>IF(COUNT(C15:E15)=3,SUM(C15:E15),"n.a.")</x:f>
        <x:v>25</x:v>
      </x:c>
      <x:c r="G15" s="66" t="n">
        <x:v>32</x:v>
      </x:c>
      <x:c r="H15" s="66" t="n">
        <x:v>8</x:v>
      </x:c>
      <x:c r="I15" s="66" t="n">
        <x:v>16</x:v>
      </x:c>
      <x:c r="J15" s="66" t="n">
        <x:v>4</x:v>
      </x:c>
      <x:c r="K15" s="65" t="n">
        <x:f>IF(COUNT(C15,G15,I15)=3,SUM(C15,G15,I15),"n.a.")</x:f>
        <x:v>64</x:v>
      </x:c>
      <x:c r="L15" s="65" t="n">
        <x:f>IF(COUNT(D15,H15,J15)=3,SUM(D15,H15,J15),"n.a.")</x:f>
        <x:v>20</x:v>
      </x:c>
      <x:c r="M15" s="65" t="n">
        <x:f>IF(COUNT(K15:L15,E15)=3,SUM(K15:L15,E15),"n.a.")</x:f>
        <x:v>85</x:v>
      </x:c>
      <x:c r="N15" s="66" t="n">
        <x:v>3</x:v>
      </x:c>
      <x:c r="O15" s="39" t="str">
        <x:v>Proposition originale : 64 Yautja adverses et 20 alliés PNJ alloués. Cellules spécialisées et effectifs finis ; chefs inclus dans les groupes. Trois fronts partagent 16 ennemis et 8 alliés PNJ actifs au total. Le joueur est séparé. Renforts limités par les réserves et les routes ; aucun chiffre canonique ni performance certifiée.</x:v>
      </x:c>
    </x:row>
    <x:row r="16" ht="76.5" customHeight="1">
      <x:c r="A16" s="39" t="str">
        <x:v>EFF-10</x:v>
      </x:c>
      <x:c r="B16" s="39" t="str">
        <x:v>Clans rivaux — siège exceptionnel</x:v>
      </x:c>
      <x:c r="C16" s="66" t="n">
        <x:v>32</x:v>
      </x:c>
      <x:c r="D16" s="66" t="n">
        <x:v>16</x:v>
      </x:c>
      <x:c r="E16" s="66" t="n">
        <x:v>1</x:v>
      </x:c>
      <x:c r="F16" s="65" t="n">
        <x:f>IF(COUNT(C16:E16)=3,SUM(C16:E16),"n.a.")</x:f>
        <x:v>49</x:v>
      </x:c>
      <x:c r="G16" s="66" t="n">
        <x:v>64</x:v>
      </x:c>
      <x:c r="H16" s="66" t="n">
        <x:v>32</x:v>
      </x:c>
      <x:c r="I16" s="66" t="n">
        <x:v>32</x:v>
      </x:c>
      <x:c r="J16" s="66" t="n">
        <x:v>16</x:v>
      </x:c>
      <x:c r="K16" s="65" t="n">
        <x:f>IF(COUNT(C16,G16,I16)=3,SUM(C16,G16,I16),"n.a.")</x:f>
        <x:v>128</x:v>
      </x:c>
      <x:c r="L16" s="65" t="n">
        <x:f>IF(COUNT(D16,H16,J16)=3,SUM(D16,H16,J16),"n.a.")</x:f>
        <x:v>64</x:v>
      </x:c>
      <x:c r="M16" s="65" t="n">
        <x:f>IF(COUNT(K16:L16,E16)=3,SUM(K16:L16,E16),"n.a.")</x:f>
        <x:v>193</x:v>
      </x:c>
      <x:c r="N16" s="66" t="n">
        <x:v>4</x:v>
      </x:c>
      <x:c r="O16" s="39" t="str">
        <x:v>Guerre de clan originale exceptionnelle : 128 adversaires Yautja et 64 alliés PNJ alloués, dont 32 et 16 proches. Les quatre fronts se répartissent cette même force. Chefs, blessés combattants et équipages ne sont comptés qu’une fois. Civils, appareils et tourelles ont leurs compteurs séparés. À valider après EFF-09.</x:v>
      </x:c>
    </x:row>
    <x:row r="17" ht="76.5" customHeight="1">
      <x:c r="A17" s="39" t="str">
        <x:v>EFF-11</x:v>
      </x:c>
      <x:c r="B17" s="39" t="str">
        <x:v>Humains contemporains — capture et poursuite</x:v>
      </x:c>
      <x:c r="C17" s="66" t="n">
        <x:v>64</x:v>
      </x:c>
      <x:c r="D17" s="66" t="n">
        <x:v>4</x:v>
      </x:c>
      <x:c r="E17" s="66" t="n">
        <x:v>1</x:v>
      </x:c>
      <x:c r="F17" s="65" t="n">
        <x:f>IF(COUNT(C17:E17)=3,SUM(C17:E17),"n.a.")</x:f>
        <x:v>69</x:v>
      </x:c>
      <x:c r="G17" s="66" t="n">
        <x:v>128</x:v>
      </x:c>
      <x:c r="H17" s="66" t="n">
        <x:v>4</x:v>
      </x:c>
      <x:c r="I17" s="66" t="n">
        <x:v>64</x:v>
      </x:c>
      <x:c r="J17" s="66" t="n">
        <x:v>0</x:v>
      </x:c>
      <x:c r="K17" s="65" t="n">
        <x:f>IF(COUNT(C17,G17,I17)=3,SUM(C17,G17,I17),"n.a.")</x:f>
        <x:v>256</x:v>
      </x:c>
      <x:c r="L17" s="65" t="n">
        <x:f>IF(COUNT(D17,H17,J17)=3,SUM(D17,H17,J17),"n.a.")</x:f>
        <x:v>8</x:v>
      </x:c>
      <x:c r="M17" s="65" t="n">
        <x:f>IF(COUNT(K17:L17,E17)=3,SUM(K17:L17,E17),"n.a.")</x:f>
        <x:v>265</x:v>
      </x:c>
      <x:c r="N17" s="66" t="n">
        <x:v>3</x:v>
      </x:c>
      <x:c r="O17" s="39" t="str">
        <x:v>Mission originale contemporaine : 256 humains adverses et 8 Yautja alliés PNJ alloués. Trois fronts partagent les budgets actifs. Les unités viennent de postes, véhicules ou convois identifiés ; chaque transport transfère ses passagers sans duplication. Aucun armement futuriste importé. Civils hors budget combattants et hors objectifs de kills.</x:v>
      </x:c>
    </x:row>
    <x:row r="18" ht="90" customHeight="1">
      <x:c r="A18" s="39" t="str">
        <x:v>EFF-12</x:v>
      </x:c>
      <x:c r="B18" s="39" t="str">
        <x:v>Humains du futur — opération militaire</x:v>
      </x:c>
      <x:c r="C18" s="66" t="n">
        <x:v>128</x:v>
      </x:c>
      <x:c r="D18" s="66" t="n">
        <x:v>12</x:v>
      </x:c>
      <x:c r="E18" s="66" t="n">
        <x:v>1</x:v>
      </x:c>
      <x:c r="F18" s="65" t="n">
        <x:f>IF(COUNT(C18:E18)=3,SUM(C18:E18),"n.a.")</x:f>
        <x:v>141</x:v>
      </x:c>
      <x:c r="G18" s="66" t="n">
        <x:v>384</x:v>
      </x:c>
      <x:c r="H18" s="66" t="n">
        <x:v>12</x:v>
      </x:c>
      <x:c r="I18" s="66" t="n">
        <x:v>256</x:v>
      </x:c>
      <x:c r="J18" s="66" t="n">
        <x:v>8</x:v>
      </x:c>
      <x:c r="K18" s="65" t="n">
        <x:f>IF(COUNT(C18,G18,I18)=3,SUM(C18,G18,I18),"n.a.")</x:f>
        <x:v>768</x:v>
      </x:c>
      <x:c r="L18" s="65" t="n">
        <x:f>IF(COUNT(D18,H18,J18)=3,SUM(D18,H18,J18),"n.a.")</x:f>
        <x:v>32</x:v>
      </x:c>
      <x:c r="M18" s="65" t="n">
        <x:f>IF(COUNT(K18:L18,E18)=3,SUM(K18:L18,E18),"n.a.")</x:f>
        <x:v>801</x:v>
      </x:c>
      <x:c r="N18" s="66" t="n">
        <x:v>4</x:v>
      </x:c>
      <x:c r="O18" s="39" t="str">
        <x:v>Opération originale du futur : 768 adversaires et 32 Yautja alliés PNJ alloués sur quatre fronts. Le scénario précise la faction humaine et les éventuels synthétiques combattants ; aucun androïde ajouté en dehors de l’allocation. Les véhicules et tourelles sont du matériel, leurs équipages sont déjà comptés. Les civils et unités de maintenance restent séparés. Plafonds à profiler, pas capacités acquises.</x:v>
      </x:c>
    </x:row>
    <x:row r="19" ht="90" customHeight="1">
      <x:c r="A19" s="39" t="str">
        <x:v>EFF-13</x:v>
      </x:c>
      <x:c r="B19" s="39" t="str">
        <x:v>Plusieurs camps — rivalité Yautja et force humaine</x:v>
      </x:c>
      <x:c r="C19" s="66" t="n">
        <x:v>96</x:v>
      </x:c>
      <x:c r="D19" s="66" t="n">
        <x:v>12</x:v>
      </x:c>
      <x:c r="E19" s="66" t="n">
        <x:v>1</x:v>
      </x:c>
      <x:c r="F19" s="65" t="n">
        <x:f>IF(COUNT(C19:E19)=3,SUM(C19:E19),"n.a.")</x:f>
        <x:v>109</x:v>
      </x:c>
      <x:c r="G19" s="66" t="n">
        <x:v>192</x:v>
      </x:c>
      <x:c r="H19" s="66" t="n">
        <x:v>12</x:v>
      </x:c>
      <x:c r="I19" s="66" t="n">
        <x:v>96</x:v>
      </x:c>
      <x:c r="J19" s="66" t="n">
        <x:v>8</x:v>
      </x:c>
      <x:c r="K19" s="65" t="n">
        <x:f>IF(COUNT(C19,G19,I19)=3,SUM(C19,G19,I19),"n.a.")</x:f>
        <x:v>384</x:v>
      </x:c>
      <x:c r="L19" s="65" t="n">
        <x:f>IF(COUNT(D19,H19,J19)=3,SUM(D19,H19,J19),"n.a.")</x:f>
        <x:v>32</x:v>
      </x:c>
      <x:c r="M19" s="65" t="n">
        <x:f>IF(COUNT(K19:L19,E19)=3,SUM(K19:L19,E19),"n.a.")</x:f>
        <x:v>417</x:v>
      </x:c>
      <x:c r="N19" s="66" t="n">
        <x:v>4</x:v>
      </x:c>
      <x:c r="O19" s="39" t="str">
        <x:v>384 combattants initialement adverses, répartis entre deux camps indépendants, et 32 alliés PNJ. Chaque scénario ventile actifs/distants/réserves par camp et tous les fronts partagent ces plafonds. Une trêve change les relations sans dupliquer les unités ni créer des renforts. Les chefs sont inclus. Civils et matériel ont des compteurs et limites de représentation distincts. Conflit original à profiler.</x:v>
      </x:c>
    </x:row>
    <x:row r="20" ht="90" customHeight="1">
      <x:c r="A20" s="39" t="str">
        <x:v>EFF-14</x:v>
      </x:c>
      <x:c r="B20" s="39" t="str">
        <x:v>Trois espèces — guerre régionale à quatre fronts</x:v>
      </x:c>
      <x:c r="C20" s="95" t="n">
        <x:v>128</x:v>
      </x:c>
      <x:c r="D20" s="95" t="n">
        <x:v>8</x:v>
      </x:c>
      <x:c r="E20" s="95" t="n">
        <x:v>1</x:v>
      </x:c>
      <x:c r="F20" s="65" t="n">
        <x:f>IF(COUNT(C20:E20)=3,SUM(C20:E20),"n.a.")</x:f>
        <x:v>137</x:v>
      </x:c>
      <x:c r="G20" s="95" t="n">
        <x:v>480</x:v>
      </x:c>
      <x:c r="H20" s="95" t="n">
        <x:v>8</x:v>
      </x:c>
      <x:c r="I20" s="95" t="n">
        <x:v>320</x:v>
      </x:c>
      <x:c r="J20" s="95" t="n">
        <x:v>8</x:v>
      </x:c>
      <x:c r="K20" s="65" t="n">
        <x:f>IF(COUNT(C20,G20,I20)=3,SUM(C20,G20,I20),"n.a.")</x:f>
        <x:v>928</x:v>
      </x:c>
      <x:c r="L20" s="65" t="n">
        <x:f>IF(COUNT(D20,H20,J20)=3,SUM(D20,H20,J20),"n.a.")</x:f>
        <x:v>24</x:v>
      </x:c>
      <x:c r="M20" s="65" t="n">
        <x:f>IF(COUNT(K20:L20,E20)=3,SUM(K20:L20,E20),"n.a.")</x:f>
        <x:v>953</x:v>
      </x:c>
      <x:c r="N20" s="95" t="n">
        <x:v>4</x:v>
      </x:c>
      <x:c r="O20" s="39" t="str">
        <x:v>Cible de conception : Xénomorphes 96 actifs +384 distants +256 en réserve =736 ; force humaine/synthétique 32 +96 +64 =192 ; clan du joueur 8 +8 +8 =24 PNJ et un joueur séparé. Soit 928 adversaires initiaux, jamais tous simulés en détail. Les deux camps adverses ont leurs propres objectifs et relations. Chefs inclus, civils et matériel plafonnés séparément. Aucun chiffre canonique ni performance acquise.</x:v>
      </x:c>
    </x:row>
    <x:row r="21" ht="90" customHeight="1">
      <x:c r="A21" s="39" t="str">
        <x:v>EFF-15</x:v>
      </x:c>
      <x:c r="B21" s="39" t="str">
        <x:v>Infiltration de station — menace localisée</x:v>
      </x:c>
      <x:c r="C21" s="95" t="n">
        <x:v>12</x:v>
      </x:c>
      <x:c r="D21" s="95" t="n">
        <x:v>2</x:v>
      </x:c>
      <x:c r="E21" s="95" t="n">
        <x:v>1</x:v>
      </x:c>
      <x:c r="F21" s="65" t="n">
        <x:f>IF(COUNT(C21:E21)=3,SUM(C21:E21),"n.a.")</x:f>
        <x:v>15</x:v>
      </x:c>
      <x:c r="G21" s="95" t="n">
        <x:v>20</x:v>
      </x:c>
      <x:c r="H21" s="95" t="n">
        <x:v>2</x:v>
      </x:c>
      <x:c r="I21" s="95" t="n">
        <x:v>8</x:v>
      </x:c>
      <x:c r="J21" s="95" t="n">
        <x:v>0</x:v>
      </x:c>
      <x:c r="K21" s="65" t="n">
        <x:f>IF(COUNT(C21,G21,I21)=3,SUM(C21,G21,I21),"n.a.")</x:f>
        <x:v>40</x:v>
      </x:c>
      <x:c r="L21" s="65" t="n">
        <x:f>IF(COUNT(D21,H21,J21)=3,SUM(D21,H21,J21),"n.a.")</x:f>
        <x:v>4</x:v>
      </x:c>
      <x:c r="M21" s="65" t="n">
        <x:f>IF(COUNT(K21:L21,E21)=3,SUM(K21:L21,E21),"n.a.")</x:f>
        <x:v>45</x:v>
      </x:c>
      <x:c r="N21" s="95" t="n">
        <x:v>3</x:v>
      </x:c>
      <x:c r="O21" s="39" t="str">
        <x:v>Cible restreinte : 8 Xénomorphes au total (2 actifs,4 distants,2 réserve) et 32 adversaires humains ou synthétiques selon le preset (10,16,6), plus 4 Yautja alliés (2,2,0). Les robots de maintenance peuvent ignorer les Xénomorphes : présence de trois camps ne veut pas dire hostilité entre toutes les paires. Réserves finies, pas de vagues de milliers dans un théâtre de survie. Effectifs originaux.</x:v>
      </x:c>
    </x:row>
    <x:row r="22" ht="76.5" customHeight="1">
      <x:c r="A22" s="39" t="str">
        <x:v>EFF-16</x:v>
      </x:c>
      <x:c r="B22" s="39" t="str">
        <x:v>Variante humaine optionnelle — trois fronts contre une ruche</x:v>
      </x:c>
      <x:c r="C22" s="95" t="n">
        <x:v>96</x:v>
      </x:c>
      <x:c r="D22" s="95" t="n">
        <x:v>12</x:v>
      </x:c>
      <x:c r="E22" s="95" t="n">
        <x:v>1</x:v>
      </x:c>
      <x:c r="F22" s="65" t="n">
        <x:f>IF(COUNT(C22:E22)=3,SUM(C22:E22),"n.a.")</x:f>
        <x:v>109</x:v>
      </x:c>
      <x:c r="G22" s="95" t="n">
        <x:v>288</x:v>
      </x:c>
      <x:c r="H22" s="95" t="n">
        <x:v>12</x:v>
      </x:c>
      <x:c r="I22" s="95" t="n">
        <x:v>192</x:v>
      </x:c>
      <x:c r="J22" s="95" t="n">
        <x:v>8</x:v>
      </x:c>
      <x:c r="K22" s="65" t="n">
        <x:f>IF(COUNT(C22,G22,I22)=3,SUM(C22,G22,I22),"n.a.")</x:f>
        <x:v>576</x:v>
      </x:c>
      <x:c r="L22" s="65" t="n">
        <x:f>IF(COUNT(D22,H22,J22)=3,SUM(D22,H22,J22),"n.a.")</x:f>
        <x:v>32</x:v>
      </x:c>
      <x:c r="M22" s="65" t="n">
        <x:f>IF(COUNT(K22:L22,E22)=3,SUM(K22:L22,E22),"n.a.")</x:f>
        <x:v>609</x:v>
      </x:c>
      <x:c r="N22" s="95" t="n">
        <x:v>3</x:v>
      </x:c>
      <x:c r="O22" s="39" t="str">
        <x:v>576 Xénomorphes alloués et 32 alliés PNJ humains/synthétiques, plus un joueur humain. Mode secondaire proposé, nécessitant un personnage humain jouable non établi dans l’audit. Les identités synthétiques restent distinctes ; aucune copie de Steel Team. Les effectifs, formations et fronts sont originaux et à profiler.</x:v>
      </x:c>
    </x:row>
    <x:row r="23" ht="63" customHeight="1">
      <x:c r="A23" s="39" t="str">
        <x:v>EFF-17</x:v>
      </x:c>
      <x:c r="B23" s="39" t="str">
        <x:v>Traque de toundra — rencontres de faible densité</x:v>
      </x:c>
      <x:c r="C23" s="95" t="n">
        <x:v>4</x:v>
      </x:c>
      <x:c r="D23" s="95" t="n">
        <x:v>2</x:v>
      </x:c>
      <x:c r="E23" s="95" t="n">
        <x:v>1</x:v>
      </x:c>
      <x:c r="F23" s="65" t="n">
        <x:f>IF(COUNT(C23:E23)=3,SUM(C23:E23),"n.a.")</x:f>
        <x:v>7</x:v>
      </x:c>
      <x:c r="G23" s="95" t="n">
        <x:v>4</x:v>
      </x:c>
      <x:c r="H23" s="95" t="n">
        <x:v>2</x:v>
      </x:c>
      <x:c r="I23" s="95" t="n">
        <x:v>0</x:v>
      </x:c>
      <x:c r="J23" s="95" t="n">
        <x:v>0</x:v>
      </x:c>
      <x:c r="K23" s="65" t="n">
        <x:f>IF(COUNT(C23,G23,I23)=3,SUM(C23,G23,I23),"n.a.")</x:f>
        <x:v>8</x:v>
      </x:c>
      <x:c r="L23" s="65" t="n">
        <x:f>IF(COUNT(D23,H23,J23)=3,SUM(D23,H23,J23),"n.a.")</x:f>
        <x:v>4</x:v>
      </x:c>
      <x:c r="M23" s="65" t="n">
        <x:f>IF(COUNT(K23:L23,E23)=3,SUM(K23:L23,E23),"n.a.")</x:f>
        <x:v>13</x:v>
      </x:c>
      <x:c r="N23" s="95" t="n">
        <x:v>3</x:v>
      </x:c>
      <x:c r="O23" s="39" t="str">
        <x:v>8 adversaires alloués dont une Theta unique et 7 gardes d’avant-poste originaux ;4 Yautja alliés et un joueur. Aucun renfort de réserve. Une trêve avec Theta conserve son identifiant et change la relation, sans créer un combattant supplémentaire. Cible de scénario, pas effectif du comic.</x:v>
      </x:c>
    </x:row>
  </x:sheetData>
  <x:dataValidations count="24">
    <x:dataValidation type="whole" operator="between" sqref="C7:C14">
      <x:formula1>0</x:formula1>
      <x:formula2>100000</x:formula2>
    </x:dataValidation>
    <x:dataValidation type="whole" operator="between" sqref="D7:D14">
      <x:formula1>0</x:formula1>
      <x:formula2>100000</x:formula2>
    </x:dataValidation>
    <x:dataValidation type="whole" operator="between" sqref="E7:E14">
      <x:formula1>0</x:formula1>
      <x:formula2>100000</x:formula2>
    </x:dataValidation>
    <x:dataValidation type="whole" operator="between" sqref="G7:G14">
      <x:formula1>0</x:formula1>
      <x:formula2>100000</x:formula2>
    </x:dataValidation>
    <x:dataValidation type="whole" operator="between" sqref="H7:H14">
      <x:formula1>0</x:formula1>
      <x:formula2>100000</x:formula2>
    </x:dataValidation>
    <x:dataValidation type="whole" operator="between" sqref="I7:I14">
      <x:formula1>0</x:formula1>
      <x:formula2>100000</x:formula2>
    </x:dataValidation>
    <x:dataValidation type="whole" operator="between" sqref="J7:J14">
      <x:formula1>0</x:formula1>
      <x:formula2>100000</x:formula2>
    </x:dataValidation>
    <x:dataValidation type="whole" operator="between" sqref="N7:N14">
      <x:formula1>1</x:formula1>
      <x:formula2>32</x:formula2>
    </x:dataValidation>
    <x:dataValidation type="whole" operator="between" sqref="C15:C19">
      <x:formula1>0</x:formula1>
      <x:formula2>100000</x:formula2>
    </x:dataValidation>
    <x:dataValidation type="whole" operator="between" sqref="D15:D19">
      <x:formula1>0</x:formula1>
      <x:formula2>100000</x:formula2>
    </x:dataValidation>
    <x:dataValidation type="whole" operator="between" sqref="E15:E19">
      <x:formula1>0</x:formula1>
      <x:formula2>100000</x:formula2>
    </x:dataValidation>
    <x:dataValidation type="whole" operator="between" sqref="G15:G19">
      <x:formula1>0</x:formula1>
      <x:formula2>100000</x:formula2>
    </x:dataValidation>
    <x:dataValidation type="whole" operator="between" sqref="H15:H19">
      <x:formula1>0</x:formula1>
      <x:formula2>100000</x:formula2>
    </x:dataValidation>
    <x:dataValidation type="whole" operator="between" sqref="I15:I19">
      <x:formula1>0</x:formula1>
      <x:formula2>100000</x:formula2>
    </x:dataValidation>
    <x:dataValidation type="whole" operator="between" sqref="J15:J19">
      <x:formula1>0</x:formula1>
      <x:formula2>100000</x:formula2>
    </x:dataValidation>
    <x:dataValidation type="whole" operator="between" sqref="N15:N19">
      <x:formula1>1</x:formula1>
      <x:formula2>32</x:formula2>
    </x:dataValidation>
    <x:dataValidation type="whole" operator="between" sqref="C20:C23">
      <x:formula1>0</x:formula1>
      <x:formula2>100000</x:formula2>
    </x:dataValidation>
    <x:dataValidation type="whole" operator="between" sqref="D20:D23">
      <x:formula1>0</x:formula1>
      <x:formula2>100000</x:formula2>
    </x:dataValidation>
    <x:dataValidation type="whole" operator="between" sqref="E20:E23">
      <x:formula1>0</x:formula1>
      <x:formula2>100000</x:formula2>
    </x:dataValidation>
    <x:dataValidation type="whole" operator="between" sqref="G20:G23">
      <x:formula1>0</x:formula1>
      <x:formula2>100000</x:formula2>
    </x:dataValidation>
    <x:dataValidation type="whole" operator="between" sqref="H20:H23">
      <x:formula1>0</x:formula1>
      <x:formula2>100000</x:formula2>
    </x:dataValidation>
    <x:dataValidation type="whole" operator="between" sqref="I20:I23">
      <x:formula1>0</x:formula1>
      <x:formula2>100000</x:formula2>
    </x:dataValidation>
    <x:dataValidation type="whole" operator="between" sqref="J20:J23">
      <x:formula1>0</x:formula1>
      <x:formula2>100000</x:formula2>
    </x:dataValidation>
    <x:dataValidation type="whole" operator="between" sqref="N20:N23">
      <x:formula1>1</x:formula1>
      <x:formula2>32</x:formula2>
    </x:dataValidation>
  </x:dataValidations>
  <x:pageMargins left="0.7" right="0.7" top="0.75" bottom="0.75" header="0.3" footer="0.3"/>
  <x:tableParts count="1">
    <x:tablePart xmlns:r="http://schemas.openxmlformats.org/officeDocument/2006/relationships" r:id="R7a131b8795bc4363"/>
  </x:tableParts>
</x:worksheet>
</file>

<file path=xl/worksheets/sheet3.xml><?xml version="1.0" encoding="utf-8"?>
<x:worksheet xmlns:x="http://schemas.openxmlformats.org/spreadsheetml/2006/main">
  <x:sheetPr>
    <x:tabColor rgb="FF344536"/>
  </x:sheetPr>
  <x:sheetViews>
    <x:sheetView showGridLines="0" workbookViewId="0">
      <x:pane xSplit="2" ySplit="6" topLeftCell="C7" activePane="bottomRight" state="frozen"/>
    </x:sheetView>
  </x:sheetViews>
  <x:sheetFormatPr defaultRowHeight="15"/>
  <x:cols>
    <x:col min="1" max="1" width="13" hidden="0" customWidth="1"/>
    <x:col min="2" max="2" width="27" hidden="0" customWidth="1"/>
    <x:col min="3" max="3" width="42" hidden="0" customWidth="1"/>
    <x:col min="4" max="4" width="10" hidden="0" customWidth="1"/>
    <x:col min="5" max="5" width="22" hidden="0" customWidth="1"/>
    <x:col min="6" max="6" width="62" hidden="0" customWidth="1"/>
    <x:col min="7" max="7" width="62" hidden="0" customWidth="1"/>
    <x:col min="8" max="8" width="72" hidden="0" customWidth="1"/>
    <x:col min="9" max="9" width="74" hidden="0" customWidth="1"/>
    <x:col min="10" max="10" width="25" hidden="0" customWidth="1"/>
    <x:col min="11" max="11" width="58" hidden="0" customWidth="1"/>
    <x:col min="12" max="12" width="52" hidden="0" customWidth="1"/>
    <x:col min="13" max="13" width="65" hidden="0" customWidth="1"/>
    <x:col min="14" max="14" width="18" hidden="0" customWidth="1"/>
  </x:cols>
  <x:sheetData>
    <x:row r="1" ht="12" customHeight="1">
      <x:c r="A1" s="3"/>
      <x:c r="B1" s="3"/>
      <x:c r="C1" s="3"/>
      <x:c r="D1" s="3"/>
      <x:c r="E1" s="3"/>
      <x:c r="F1" s="3"/>
      <x:c r="G1" s="3"/>
      <x:c r="H1" s="3"/>
      <x:c r="I1" s="3"/>
      <x:c r="J1" s="3"/>
      <x:c r="K1" s="3"/>
      <x:c r="L1" s="3"/>
      <x:c r="M1" s="3"/>
      <x:c r="N1" s="3"/>
    </x:row>
    <x:row r="2" ht="29" customHeight="1">
      <x:c r="A2" s="4" t="str">
        <x:v>Manquants et corrections de la bataille</x:v>
      </x:c>
      <x:c r="B2" s="3"/>
      <x:c r="C2" s="3"/>
      <x:c r="D2" s="3"/>
      <x:c r="E2" s="3"/>
      <x:c r="F2" s="3"/>
      <x:c r="G2" s="3"/>
      <x:c r="H2" s="3"/>
      <x:c r="I2" s="3"/>
      <x:c r="J2" s="3"/>
      <x:c r="K2" s="3"/>
      <x:c r="L2" s="3"/>
      <x:c r="M2" s="3"/>
      <x:c r="N2" s="3"/>
    </x:row>
    <x:row r="3" ht="8" customHeight="1">
      <x:c r="A3" s="5"/>
      <x:c r="B3" s="5"/>
      <x:c r="C3" s="5"/>
      <x:c r="D3" s="5"/>
      <x:c r="E3" s="5"/>
      <x:c r="F3" s="5"/>
      <x:c r="G3" s="5"/>
      <x:c r="H3" s="5"/>
      <x:c r="I3" s="5"/>
      <x:c r="J3" s="5"/>
      <x:c r="K3" s="5"/>
      <x:c r="L3" s="5"/>
      <x:c r="M3" s="5"/>
      <x:c r="N3" s="5"/>
    </x:row>
    <x:row r="4">
      <x:c r="A4" s="6" t="str">
        <x:v>État constaté dans chaque branche au 26/10/2026. Le suivi est modifiable sans écraser le constat.</x:v>
      </x:c>
      <x:c r="B4" s="3"/>
      <x:c r="C4" s="3"/>
      <x:c r="D4" s="3"/>
      <x:c r="E4" s="3"/>
      <x:c r="F4" s="3"/>
      <x:c r="G4" s="3"/>
      <x:c r="H4" s="3"/>
      <x:c r="I4" s="3"/>
      <x:c r="J4" s="3"/>
      <x:c r="K4" s="3"/>
      <x:c r="L4" s="3"/>
      <x:c r="M4" s="3"/>
      <x:c r="N4" s="3"/>
    </x:row>
    <x:row r="5">
      <x:c r="A5" s="7" t="str">
        <x:v>126 lignes</x:v>
      </x:c>
      <x:c r="B5" s="3"/>
      <x:c r="C5" s="3"/>
      <x:c r="D5" s="3"/>
      <x:c r="E5" s="3"/>
      <x:c r="F5" s="3"/>
      <x:c r="G5" s="3"/>
      <x:c r="H5" s="3"/>
      <x:c r="I5" s="3"/>
      <x:c r="J5" s="3"/>
      <x:c r="K5" s="3"/>
      <x:c r="L5" s="3"/>
      <x:c r="M5" s="3"/>
      <x:c r="N5" s="3"/>
    </x:row>
    <x:row r="6" ht="36" customHeight="1">
      <x:c r="A6" s="19" t="str">
        <x:v>ID</x:v>
      </x:c>
      <x:c r="B6" s="20" t="str">
        <x:v>Domaine</x:v>
      </x:c>
      <x:c r="C6" s="20" t="str">
        <x:v>Action</x:v>
      </x:c>
      <x:c r="D6" s="20" t="str">
        <x:v>Priorité</x:v>
      </x:c>
      <x:c r="E6" s="20" t="str">
        <x:v>État constaté</x:v>
      </x:c>
      <x:c r="F6" s="20" t="str">
        <x:v>Main récent (0f37cc52)</x:v>
      </x:c>
      <x:c r="G6" s="20" t="str">
        <x:v>Branche validée (1d52d9ff)</x:v>
      </x:c>
      <x:c r="H6" s="20" t="str">
        <x:v>Résultat attendu</x:v>
      </x:c>
      <x:c r="I6" s="20" t="str">
        <x:v>Critère de validation</x:v>
      </x:c>
      <x:c r="J6" s="20" t="str">
        <x:v>Dépendances</x:v>
      </x:c>
      <x:c r="K6" s="20" t="str">
        <x:v>Cohérence de franchise</x:v>
      </x:c>
      <x:c r="L6" s="20" t="str">
        <x:v>Preuve dans le dépôt</x:v>
      </x:c>
      <x:c r="M6" s="20" t="str">
        <x:v>Liens des preuves</x:v>
      </x:c>
      <x:c r="N6" s="21" t="str">
        <x:v>Suivi</x:v>
      </x:c>
    </x:row>
    <x:row r="7" ht="103.5" customHeight="1">
      <x:c r="A7" s="9" t="str">
        <x:v>AUD-001</x:v>
      </x:c>
      <x:c r="B7" s="9" t="str">
        <x:v>Versions et fiabilité</x:v>
      </x:c>
      <x:c r="C7" s="9" t="str">
        <x:v>Réconcilier la version récente et la branche jouable</x:v>
      </x:c>
      <x:c r="D7" s="9" t="str">
        <x:v>P0</x:v>
      </x:c>
      <x:c r="E7" s="9" t="str">
        <x:v>À réconcilier</x:v>
      </x:c>
      <x:c r="F7" s="9" t="str">
        <x:v>main v65.5 ajoute quatre cartes par rapport à la branche validée et beaucoup d’interactions, mais ne possède pas les modules de bataille de la branche validée.</x:v>
      </x:c>
      <x:c r="G7" s="9" t="str">
        <x:v>La branche validée possède secteurs, directeur de combat, collisions, modèles et QA distincts.</x:v>
      </x:c>
      <x:c r="H7" s="9" t="str">
        <x:v>Construire une base intégrée en conservant les contenus v65 et les fondations validées; inventorier chaque conflit.</x:v>
      </x:c>
      <x:c r="I7" s="9" t="str">
        <x:v>Une branche candidate regroupe les 10 cartes récentes et la progression/QA préservée; aucun module validé supprimé sans décision tracée.</x:v>
      </x:c>
      <x:c r="J7" s="9" t="str">
        <x:v>Aucune</x:v>
      </x:c>
      <x:c r="K7" s="9" t="str">
        <x:v>Adaptation de conception; aucun nouvel élément déclaré canon par cet audit.</x:v>
      </x:c>
      <x:c r="L7" s="9" t="str">
        <x:v>0f37cc52f9d8 : package.json : lignes 1-18
1d52d9ff91db : package.json : lignes 1-25
1d52d9ff91db : docs/BATTLEFIELDS.md : lignes 1-34</x:v>
      </x:c>
      <x:c r="M7" s="22" t="str">
        <x:v>https://github.com/darknigthmare/Yautja-hive-warriors/blob/0f37cc52f9d83a4abecc17b80f7bfc67701677cf/package.json#L1-L18
https://github.com/darknigthmare/Yautja-hive-warriors/blob/1d52d9ff91dbe85c08256f44f8b72086ab65200a/package.json#L1-L25
https://github.com/darknigthmare/Yautja-hive-warriors/blob/1d52d9ff91dbe85c08256f44f8b72086ab65200a/docs/BATTLEFIELDS.md#L1-L34</x:v>
      </x:c>
      <x:c r="N7" s="24" t="str">
        <x:v>Terminé</x:v>
      </x:c>
    </x:row>
    <x:row r="8" ht="76.5" customHeight="1">
      <x:c r="A8" s="10" t="str">
        <x:v>AUD-002</x:v>
      </x:c>
      <x:c r="B8" s="10" t="str">
        <x:v>Versions et fiabilité</x:v>
      </x:c>
      <x:c r="C8" s="10" t="str">
        <x:v>Corriger la syntaxe du routeur de jeu</x:v>
      </x:c>
      <x:c r="D8" s="10" t="str">
        <x:v>P0</x:v>
      </x:c>
      <x:c r="E8" s="10" t="str">
        <x:v>À corriger</x:v>
      </x:c>
      <x:c r="F8" s="10" t="str">
        <x:v>node --check échoue dans main.js:3258 : const isNearCrypt redéclaré.</x:v>
      </x:c>
      <x:c r="G8" s="10" t="str">
        <x:v>La branche validée a un routeur différent; la correction ne se réduit pas à remplacer tout le fichier.</x:v>
      </x:c>
      <x:c r="H8" s="10" t="str">
        <x:v>Supprimer la double déclaration en conservant le comportement de proximité concerné.</x:v>
      </x:c>
      <x:c r="I8" s="10" t="str">
        <x:v>node --check main.js passe; build Vite puis lancement réel des 10 cartes réussissent.</x:v>
      </x:c>
      <x:c r="J8" s="10" t="str">
        <x:v>AUD-001</x:v>
      </x:c>
      <x:c r="K8" s="10" t="str">
        <x:v>Adaptation de conception; aucun nouvel élément déclaré canon par cet audit.</x:v>
      </x:c>
      <x:c r="L8" s="10" t="str">
        <x:v>0f37cc52f9d8 : js/main.js : lignes 3258
0f37cc52f9d8 : js/entities/Environment.js : lignes 10689</x:v>
      </x:c>
      <x:c r="M8" s="23" t="str">
        <x:v>https://github.com/darknigthmare/Yautja-hive-warriors/blob/0f37cc52f9d83a4abecc17b80f7bfc67701677cf/js/main.js#L3258
https://github.com/darknigthmare/Yautja-hive-warriors/blob/0f37cc52f9d83a4abecc17b80f7bfc67701677cf/js/entities/Environment.js#L10689</x:v>
      </x:c>
      <x:c r="N8" s="24" t="str">
        <x:v>Terminé</x:v>
      </x:c>
    </x:row>
    <x:row r="9" ht="76.5" customHeight="1">
      <x:c r="A9" s="9" t="str">
        <x:v>AUD-003</x:v>
      </x:c>
      <x:c r="B9" s="9" t="str">
        <x:v>Versions et fiabilité</x:v>
      </x:c>
      <x:c r="C9" s="9" t="str">
        <x:v>Corriger la syntaxe du décor</x:v>
      </x:c>
      <x:c r="D9" s="9" t="str">
        <x:v>P0</x:v>
      </x:c>
      <x:c r="E9" s="9" t="str">
        <x:v>À corriger</x:v>
      </x:c>
      <x:c r="F9" s="9" t="str">
        <x:v>node --check échoue dans Environment.js:10689 : const blueLight redéclaré.</x:v>
      </x:c>
      <x:c r="G9" s="9" t="str">
        <x:v>Le décor validé contient une autre architecture de niveaux.</x:v>
      </x:c>
      <x:c r="H9" s="9" t="str">
        <x:v>Résoudre les collisions de noms et vérifier l’ensemble des méthodes fusionnées.</x:v>
      </x:c>
      <x:c r="I9" s="9" t="str">
        <x:v>Le fichier est analysable et chaque biome se construit sans exception ni perte des interactions retenues.</x:v>
      </x:c>
      <x:c r="J9" s="9" t="str">
        <x:v>AUD-001</x:v>
      </x:c>
      <x:c r="K9" s="9" t="str">
        <x:v>Adaptation de conception; aucun nouvel élément déclaré canon par cet audit.</x:v>
      </x:c>
      <x:c r="L9" s="9" t="str">
        <x:v>0f37cc52f9d8 : js/main.js : lignes 3258
0f37cc52f9d8 : js/entities/Environment.js : lignes 10689</x:v>
      </x:c>
      <x:c r="M9" s="22" t="str">
        <x:v>https://github.com/darknigthmare/Yautja-hive-warriors/blob/0f37cc52f9d83a4abecc17b80f7bfc67701677cf/js/main.js#L3258
https://github.com/darknigthmare/Yautja-hive-warriors/blob/0f37cc52f9d83a4abecc17b80f7bfc67701677cf/js/entities/Environment.js#L10689</x:v>
      </x:c>
      <x:c r="N9" s="24" t="str">
        <x:v>Terminé</x:v>
      </x:c>
    </x:row>
    <x:row r="10" ht="117" customHeight="1">
      <x:c r="A10" s="10" t="str">
        <x:v>AUD-004</x:v>
      </x:c>
      <x:c r="B10" s="10" t="str">
        <x:v>Versions et fiabilité</x:v>
      </x:c>
      <x:c r="C10" s="10" t="str">
        <x:v>Tracer le SHA du code servi en production</x:v>
      </x:c>
      <x:c r="D10" s="10" t="str">
        <x:v>P1</x:v>
      </x:c>
      <x:c r="E10" s="10" t="str">
        <x:v>Partiel</x:v>
      </x:c>
      <x:c r="F10" s="10" t="str">
        <x:v>La production publique répond HTTP 200 et son empreinte correspond à l’artefact documenté de la branche validée. Le déploiement du SHA v65.5 est encore QUEUED à la clôture ; son résultat de build n’est pas disponible.</x:v>
      </x:c>
      <x:c r="G10" s="10" t="str">
        <x:v>Le rapport vercel-delivery.json contient la même empreinte HTML et le déploiement READY. Les métadonnées de ce déploiement CLI ne donnent pas le SHA Git exact du code construit.</x:v>
      </x:c>
      <x:c r="H10" s="10" t="str">
        <x:v>Conserver la correspondance d’artefact établie et ajouter un manifeste du SHA Git source, version du contenu, date de build et déploiement.</x:v>
      </x:c>
      <x:c r="I10" s="10" t="str">
        <x:v>L’URL publique et la preview de PR exposent un manifeste reproductible; la correspondance HTML documentée demeure vérifiable.</x:v>
      </x:c>
      <x:c r="J10" s="10" t="str">
        <x:v>AUD-001</x:v>
      </x:c>
      <x:c r="K10" s="10" t="str">
        <x:v>Adaptation de conception; aucun nouvel élément déclaré canon par cet audit.</x:v>
      </x:c>
      <x:c r="L10" s="10" t="str">
        <x:v>1d52d9ff91db : docs/qa/fidelity/vercel-delivery.json : lignes 1-32
production-2026-10-26 : Production Vercel publique
HTTP : 200
SHA-256 : cb19eded36c19e20a5c50b94daad56d1d8550cf1c9ddff08df6d0167d7a03910
Empreinte relevée et comparée par agent principal pendant cet audit.</x:v>
      </x:c>
      <x:c r="M10" s="23" t="str">
        <x:v>https://github.com/darknigthmare/Yautja-hive-warriors/blob/1d52d9ff91dbe85c08256f44f8b72086ab65200a/docs/qa/fidelity/vercel-delivery.json#L1-L32
https://yautja-hive-warriors.vercel.app/</x:v>
      </x:c>
      <x:c r="N10" s="24" t="str">
        <x:v>À valider</x:v>
      </x:c>
    </x:row>
    <x:row r="11" ht="103.5" customHeight="1">
      <x:c r="A11" s="9" t="str">
        <x:v>AUD-005</x:v>
      </x:c>
      <x:c r="B11" s="9" t="str">
        <x:v>Versions et fiabilité</x:v>
      </x:c>
      <x:c r="C11" s="9" t="str">
        <x:v>Préserver les acquis validés dans la fusion</x:v>
      </x:c>
      <x:c r="D11" s="9" t="str">
        <x:v>P0</x:v>
      </x:c>
      <x:c r="E11" s="9" t="str">
        <x:v>À réconcilier</x:v>
      </x:c>
      <x:c r="F11" s="9" t="str">
        <x:v>main ne contient ni BattlefieldMission ni SceneResources ni les modules graphiques importés.</x:v>
      </x:c>
      <x:c r="G11" s="9" t="str">
        <x:v>Ces modules et leurs preuves existent; ils ne doivent pas être planifiés comme inexistants.</x:v>
      </x:c>
      <x:c r="H11" s="9" t="str">
        <x:v>Importer ou adapter les acquis module par module avec couverture des appels et sauvegardes.</x:v>
      </x:c>
      <x:c r="I11" s="9" t="str">
        <x:v>Chaque acquis cité dans docs/BATTLEFIELDS et docs/SECTOR-ARCHITECTURE a un équivalent vérifié dans la candidate.</x:v>
      </x:c>
      <x:c r="J11" s="9" t="str">
        <x:v>AUD-001</x:v>
      </x:c>
      <x:c r="K11" s="9" t="str">
        <x:v>Adaptation de conception; aucun nouvel élément déclaré canon par cet audit.</x:v>
      </x:c>
      <x:c r="L11" s="9" t="str">
        <x:v>0f37cc52f9d8 : package.json : lignes 1-18
1d52d9ff91db : package.json : lignes 1-25
1d52d9ff91db : docs/BATTLEFIELDS.md : lignes 1-34</x:v>
      </x:c>
      <x:c r="M11" s="22" t="str">
        <x:v>https://github.com/darknigthmare/Yautja-hive-warriors/blob/0f37cc52f9d83a4abecc17b80f7bfc67701677cf/package.json#L1-L18
https://github.com/darknigthmare/Yautja-hive-warriors/blob/1d52d9ff91dbe85c08256f44f8b72086ab65200a/package.json#L1-L25
https://github.com/darknigthmare/Yautja-hive-warriors/blob/1d52d9ff91dbe85c08256f44f8b72086ab65200a/docs/BATTLEFIELDS.md#L1-L34</x:v>
      </x:c>
      <x:c r="N11" s="24" t="str">
        <x:v>Terminé</x:v>
      </x:c>
    </x:row>
    <x:row r="12" ht="117" customHeight="1">
      <x:c r="A12" s="10" t="str">
        <x:v>AUD-006</x:v>
      </x:c>
      <x:c r="B12" s="10" t="str">
        <x:v>Versions et fiabilité</x:v>
      </x:c>
      <x:c r="C12" s="10" t="str">
        <x:v>Garantir des missions finies et un mode survie explicite</x:v>
      </x:c>
      <x:c r="D12" s="10" t="str">
        <x:v>P0</x:v>
      </x:c>
      <x:c r="E12" s="10" t="str">
        <x:v>À réconcilier</x:v>
      </x:c>
      <x:c r="F12" s="10" t="str">
        <x:v>isEndlessMode=true par défaut; la boucle de vagues renouvelle les rencontres et le boss.</x:v>
      </x:c>
      <x:c r="G12" s="10" t="str">
        <x:v>Des missions à secteurs finissent lorsque leur boss final est réellement vaincu.</x:v>
      </x:c>
      <x:c r="H12" s="10" t="str">
        <x:v>Conserver des conditions victoire/défaite propres à chaque scénario; rendre la survie un choix identifié.</x:v>
      </x:c>
      <x:c r="I12" s="10" t="str">
        <x:v>Une chasse se termine une seule fois, la campagne avance et la survie seule continue indéfiniment.</x:v>
      </x:c>
      <x:c r="J12" s="10" t="str">
        <x:v>AUD-001</x:v>
      </x:c>
      <x:c r="K12" s="10" t="str">
        <x:v>Adaptation de conception; aucun nouvel élément déclaré canon par cet audit.</x:v>
      </x:c>
      <x:c r="L12" s="10" t="str">
        <x:v>0f37cc52f9d8 : js/main.js : lignes 3699-3769
1d52d9ff91db : js/engine/BattlefieldMission.js : lignes 71-120
1d52d9ff91db : js/engine/BattlefieldProgression.js : lignes 202-219</x:v>
      </x:c>
      <x:c r="M12"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 s="24" t="str">
        <x:v>Terminé</x:v>
      </x:c>
    </x:row>
    <x:row r="13" ht="117" customHeight="1">
      <x:c r="A13" s="9" t="str">
        <x:v>AUD-007</x:v>
      </x:c>
      <x:c r="B13" s="9" t="str">
        <x:v>Versions et fiabilité</x:v>
      </x:c>
      <x:c r="C13" s="9" t="str">
        <x:v>Raccorder les cinq chapitres aux niveaux réels</x:v>
      </x:c>
      <x:c r="D13" s="9" t="str">
        <x:v>P0</x:v>
      </x:c>
      <x:c r="E13" s="9" t="str">
        <x:v>À réconcilier</x:v>
      </x:c>
      <x:c r="F13" s="9" t="str">
        <x:v>4 levelId sur 5 du gestionnaire de campagne ne figurent pas dans le registre main; checkChapterProgress n’est pas appelée par main.</x:v>
      </x:c>
      <x:c r="G13" s="9" t="str">
        <x:v>Les 5 identifiants sont corrigés et completeChapter est raccordée à la victoire.</x:v>
      </x:c>
      <x:c r="H13" s="9" t="str">
        <x:v>Conserver cette correction et refonder les objectifs narratifs pour la nouvelle bataille.</x:v>
      </x:c>
      <x:c r="I13" s="9" t="str">
        <x:v>Démarrer et finir chaque chapitre ouvre le bon lieu suivant; aucune sélection précédente ne remplace le lieu demandé.</x:v>
      </x:c>
      <x:c r="J13" s="9" t="str">
        <x:v>AUD-001
AUD-006</x:v>
      </x:c>
      <x:c r="K13" s="9" t="str">
        <x:v>Adaptation de conception; aucun nouvel élément déclaré canon par cet audit.</x:v>
      </x:c>
      <x:c r="L13" s="9" t="str">
        <x:v>0f37cc52f9d8 : js/engine/StoryCampaign.js : lignes 3-71
0f37cc52f9d8 : js/main.js : lignes 137-145
1d52d9ff91db : js/engine/StoryCampaign.js : lignes 3-80</x:v>
      </x:c>
      <x:c r="M13"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3" s="24" t="str">
        <x:v>Terminé</x:v>
      </x:c>
    </x:row>
    <x:row r="14" ht="90" customHeight="1">
      <x:c r="A14" s="10" t="str">
        <x:v>AUD-008</x:v>
      </x:c>
      <x:c r="B14" s="10" t="str">
        <x:v>Versions et fiabilité</x:v>
      </x:c>
      <x:c r="C14" s="10" t="str">
        <x:v>Reconstituer un registre d’état du contenu</x:v>
      </x:c>
      <x:c r="D14" s="10" t="str">
        <x:v>P1</x:v>
      </x:c>
      <x:c r="E14" s="10" t="str">
        <x:v>À créer</x:v>
      </x:c>
      <x:c r="F14" s="10" t="str">
        <x:v>36 entrées d’armurerie et de nombreux commentaires 1:1 ne prouvent pas le fonctionnement de chaque équipement.</x:v>
      </x:c>
      <x:c r="G14" s="10" t="str">
        <x:v>Des modèles et tests supplémentaires existent dans une autre branche.</x:v>
      </x:c>
      <x:c r="H14" s="10" t="str">
        <x:v>Suivre chaque contenu par ID avec état main, état validé, intégration, source de lore et test réel.</x:v>
      </x:c>
      <x:c r="I14" s="10" t="str">
        <x:v>Aucun objet n’est marqué terminé sur la seule présence d’un libellé, d’un bouton ou d’un commentaire.</x:v>
      </x:c>
      <x:c r="J14" s="10" t="str">
        <x:v>AUD-001</x:v>
      </x:c>
      <x:c r="K14" s="10" t="str">
        <x:v>Adaptation de conception; aucun nouvel élément déclaré canon par cet audit.</x:v>
      </x:c>
      <x:c r="L14" s="10" t="str">
        <x:v>0f37cc52f9d8 : js/data/charactersData.js : lignes 3-162
0f37cc52f9d8 : js/ui/LoadoutScreen.js : lignes 1-64</x:v>
      </x:c>
      <x:c r="M14" s="23" t="str">
        <x:v>https://github.com/darknigthmare/Yautja-hive-warriors/blob/0f37cc52f9d83a4abecc17b80f7bfc67701677cf/js/data/charactersData.js#L3-L162
https://github.com/darknigthmare/Yautja-hive-warriors/blob/0f37cc52f9d83a4abecc17b80f7bfc67701677cf/js/ui/LoadoutScreen.js#L1-L64</x:v>
      </x:c>
      <x:c r="N14" s="24" t="str">
        <x:v>Terminé</x:v>
      </x:c>
    </x:row>
    <x:row r="15" ht="117" customHeight="1">
      <x:c r="A15" s="9" t="str">
        <x:v>AUD-009</x:v>
      </x:c>
      <x:c r="B15" s="9" t="str">
        <x:v>Effectifs et foule</x:v>
      </x:c>
      <x:c r="C15" s="9" t="str">
        <x:v>Séparer les quatre niveaux d’effectifs</x:v>
      </x:c>
      <x:c r="D15" s="9" t="str">
        <x:v>P1</x:v>
      </x:c>
      <x:c r="E15" s="9" t="str">
        <x:v>À créer</x:v>
      </x:c>
      <x:c r="F15" s="9" t="str">
        <x:v>Le nombre passé à spawnWave désigne une partie des agents; les spéciaux et plusieurs tableaux s’ajoutent.</x:v>
      </x:c>
      <x:c r="G15" s="9" t="str">
        <x:v>remainingCount additionne aliens et file d’attente; ce n’est pas un effectif militaire total.</x:v>
      </x:c>
      <x:c r="H15" s="9" t="str">
        <x:v>Suivre soldats engagés, simulés hors écran, agents actifs et silhouettes visibles séparément.</x:v>
      </x:c>
      <x:c r="I15" s="9" t="str">
        <x:v>Le diagnostic et le bilan réconcilient réserves, actifs, pertes et évacués sans comptage double.</x:v>
      </x:c>
      <x:c r="J15" s="9" t="str">
        <x:v>AUD-001</x:v>
      </x:c>
      <x:c r="K15" s="9" t="str">
        <x:v>Adaptation de conception; aucun nouvel élément déclaré canon par cet audit.</x:v>
      </x:c>
      <x:c r="L15" s="9" t="str">
        <x:v>0f37cc52f9d8 : js/entities/XenomorphHorde.js : lignes 81-188
0f37cc52f9d8 : js/main.js : lignes 1240-1243
1d52d9ff91db : js/entities/XenomorphHorde.js : lignes 74-181</x:v>
      </x:c>
      <x:c r="M1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5" s="24" t="str">
        <x:v>Terminé</x:v>
      </x:c>
    </x:row>
    <x:row r="16" ht="117" customHeight="1">
      <x:c r="A16" s="10" t="str">
        <x:v>AUD-010</x:v>
      </x:c>
      <x:c r="B16" s="10" t="str">
        <x:v>Effectifs et foule</x:v>
      </x:c>
      <x:c r="C16" s="10" t="str">
        <x:v>Établir des budgets d’agents par plateforme</x:v>
      </x:c>
      <x:c r="D16" s="10" t="str">
        <x:v>P1</x:v>
      </x:c>
      <x:c r="E16" s="10" t="str">
        <x:v>À créer</x:v>
      </x:c>
      <x:c r="F16" s="10" t="str">
        <x:v>Nombre de base croissant sans plafond en survie, géométries détaillées créées pour chaque agent.</x:v>
      </x:c>
      <x:c r="G16" s="10" t="str">
        <x:v>Le quota d’une rencontre est plafonné à 200; ce plafond n’est pas une preuve de performance à 200 actifs.</x:v>
      </x:c>
      <x:c r="H16" s="10" t="str">
        <x:v>Définir profils d’effectifs progressifs à mesurer sur PC et mobile, reliés au budget CPU/GPU.</x:v>
      </x:c>
      <x:c r="I16" s="10" t="str">
        <x:v>Chaque profil tient sa cible de frame time dans une scène comparable; le nombre réellement actif est enregistré.</x:v>
      </x:c>
      <x:c r="J16" s="10" t="str">
        <x:v>AUD-009</x:v>
      </x:c>
      <x:c r="K16" s="10" t="str">
        <x:v>Adaptation de conception; aucun nouvel élément déclaré canon par cet audit.</x:v>
      </x:c>
      <x:c r="L16" s="10" t="str">
        <x:v>0f37cc52f9d8 : js/entities/XenomorphHorde.js : lignes 81-188
0f37cc52f9d8 : js/main.js : lignes 1240-1243
1d52d9ff91db : js/entities/XenomorphHorde.js : lignes 74-181</x:v>
      </x:c>
      <x:c r="M16"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6" s="24" t="str">
        <x:v>En cours</x:v>
      </x:c>
    </x:row>
    <x:row r="17" ht="90" customHeight="1">
      <x:c r="A17" s="9" t="str">
        <x:v>AUD-011</x:v>
      </x:c>
      <x:c r="B17" s="9" t="str">
        <x:v>Effectifs et foule</x:v>
      </x:c>
      <x:c r="C17" s="9" t="str">
        <x:v>Densifier sans infliger toutes les attaques simultanément</x:v>
      </x:c>
      <x:c r="D17" s="9" t="str">
        <x:v>P1</x:v>
      </x:c>
      <x:c r="E17" s="9" t="str">
        <x:v>À réconcilier</x:v>
      </x:c>
      <x:c r="F17" s="9" t="str">
        <x:v>Les attaques proches de plusieurs factions s’additionnent sans arbitre commun.</x:v>
      </x:c>
      <x:c r="G17" s="9" t="str">
        <x:v>CombatDirector limite 3 engagements par joueur et espace les impacts; six ennemis arrivent initialement.</x:v>
      </x:c>
      <x:c r="H17" s="9" t="str">
        <x:v>Conserver les fenêtres lisibles en augmentant la foule; différencier menace immédiate, appui et arrière-plan.</x:v>
      </x:c>
      <x:c r="I17" s="9" t="str">
        <x:v>La foule augmente sans chaînes de coups impossibles à éviter ni ennemi invisible capable de tuer.</x:v>
      </x:c>
      <x:c r="J17" s="9" t="str">
        <x:v>AUD-001
AUD-010</x:v>
      </x:c>
      <x:c r="K17" s="9" t="str">
        <x:v>Adaptation de conception; aucun nouvel élément déclaré canon par cet audit.</x:v>
      </x:c>
      <x:c r="L17" s="9" t="str">
        <x:v>0f37cc52f9d8 : js/entities/Player.js : lignes 1565-1655
1d52d9ff91db : js/engine/CombatDirector.js : lignes 45-101</x:v>
      </x:c>
      <x:c r="M17" s="22" t="str">
        <x:v>https://github.com/darknigthmare/Yautja-hive-warriors/blob/0f37cc52f9d83a4abecc17b80f7bfc67701677cf/js/entities/Player.js#L1565-L1655
https://github.com/darknigthmare/Yautja-hive-warriors/blob/1d52d9ff91dbe85c08256f44f8b72086ab65200a/js/engine/CombatDirector.js#L45-L101</x:v>
      </x:c>
      <x:c r="N17" s="24" t="str">
        <x:v>À valider</x:v>
      </x:c>
    </x:row>
    <x:row r="18" ht="117" customHeight="1">
      <x:c r="A18" s="10" t="str">
        <x:v>AUD-012</x:v>
      </x:c>
      <x:c r="B18" s="10" t="str">
        <x:v>Effectifs et foule</x:v>
      </x:c>
      <x:c r="C18" s="10" t="str">
        <x:v>Créer une réserve finie par armée</x:v>
      </x:c>
      <x:c r="D18" s="10" t="str">
        <x:v>P1</x:v>
      </x:c>
      <x:c r="E18" s="10" t="str">
        <x:v>À créer</x:v>
      </x:c>
      <x:c r="F18" s="10" t="str">
        <x:v>Les vagues fournissent de nouveaux ennemis sans effectif initial ni coût de renfort.</x:v>
      </x:c>
      <x:c r="G18" s="10" t="str">
        <x:v>La file est bornée par rencontre mais aucun stock d’armée n’est exposé.</x:v>
      </x:c>
      <x:c r="H18" s="10" t="str">
        <x:v>Chaque camp prélève les renforts sur des réserves liées aux couvoirs, transports ou garnisons.</x:v>
      </x:c>
      <x:c r="I18" s="10" t="str">
        <x:v>Détruire une source de renfort diminue effectivement les arrivées; les réserves ne deviennent jamais négatives.</x:v>
      </x:c>
      <x:c r="J18" s="10" t="str">
        <x:v>AUD-009</x:v>
      </x:c>
      <x:c r="K18" s="10" t="str">
        <x:v>Adaptation de conception; aucun nouvel élément déclaré canon par cet audit.</x:v>
      </x:c>
      <x:c r="L18" s="10" t="str">
        <x:v>0f37cc52f9d8 : js/entities/XenomorphHorde.js : lignes 81-188
0f37cc52f9d8 : js/main.js : lignes 1240-1243
1d52d9ff91db : js/entities/XenomorphHorde.js : lignes 74-181</x:v>
      </x:c>
      <x:c r="M1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8" s="24" t="str">
        <x:v>Terminé</x:v>
      </x:c>
    </x:row>
    <x:row r="19" ht="117" customHeight="1">
      <x:c r="A19" s="9" t="str">
        <x:v>AUD-013</x:v>
      </x:c>
      <x:c r="B19" s="9" t="str">
        <x:v>Effectifs et foule</x:v>
      </x:c>
      <x:c r="C19" s="9" t="str">
        <x:v>Faire entrer les renforts par des accès plausibles</x:v>
      </x:c>
      <x:c r="D19" s="9" t="str">
        <x:v>P1</x:v>
      </x:c>
      <x:c r="E19" s="9" t="str">
        <x:v>À réconcilier</x:v>
      </x:c>
      <x:c r="F19" s="9" t="str">
        <x:v>Les agents naissent en anneau aléatoire 22–47 unités autour du joueur sans contrôle de terrain.</x:v>
      </x:c>
      <x:c r="G19" s="9" t="str">
        <x:v>Spawn sûr à distance des joueurs et hors obstacles, mais choisi dans le secteur courant.</x:v>
      </x:c>
      <x:c r="H19" s="9" t="str">
        <x:v>Conserver les protections et choisir tunnels, conduits, hangars ou lignes de crête reliés au réseau.</x:v>
      </x:c>
      <x:c r="I19" s="9" t="str">
        <x:v>Aucun spawn dans une paroi, le champ proche ou un secteur sans accès; une arrivée visible précède le contact.</x:v>
      </x:c>
      <x:c r="J19" s="9" t="str">
        <x:v>AUD-001
AUD-012</x:v>
      </x:c>
      <x:c r="K19" s="9" t="str">
        <x:v>Adaptation de conception; aucun nouvel élément déclaré canon par cet audit.</x:v>
      </x:c>
      <x:c r="L19" s="9" t="str">
        <x:v>0f37cc52f9d8 : js/entities/XenomorphHorde.js : lignes 81-188
0f37cc52f9d8 : js/main.js : lignes 1240-1243
1d52d9ff91db : js/entities/XenomorphHorde.js : lignes 74-181</x:v>
      </x:c>
      <x:c r="M19"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9" s="24" t="str">
        <x:v>À valider</x:v>
      </x:c>
    </x:row>
    <x:row r="20" ht="117" customHeight="1">
      <x:c r="A20" s="10" t="str">
        <x:v>AUD-014</x:v>
      </x:c>
      <x:c r="B20" s="10" t="str">
        <x:v>Effectifs et foule</x:v>
      </x:c>
      <x:c r="C20" s="10" t="str">
        <x:v>Éviter la disparition des survivants entre rencontres</x:v>
      </x:c>
      <x:c r="D20" s="10" t="str">
        <x:v>P1</x:v>
      </x:c>
      <x:c r="E20" s="10" t="str">
        <x:v>À corriger</x:v>
      </x:c>
      <x:c r="F20" s="10" t="str">
        <x:v>spawnWave appelle clearWave et détruit les survivants au seuil de moins de 10 aliens.</x:v>
      </x:c>
      <x:c r="G20" s="10" t="str">
        <x:v>BattlefieldMission.clearWave efface la rencontre précédente à l’entrée du secteur suivant.</x:v>
      </x:c>
      <x:c r="H20" s="10" t="str">
        <x:v>Conserver les groupes encore vivants dans l’état de bataille; les retirer par retraite, évacuation ou simulation distante.</x:v>
      </x:c>
      <x:c r="I20" s="10" t="str">
        <x:v>Traverser un passage n’efface ni poursuivant, ni chef blessé, ni pertes déjà enregistrées.</x:v>
      </x:c>
      <x:c r="J20" s="10" t="str">
        <x:v>AUD-009</x:v>
      </x:c>
      <x:c r="K20" s="10" t="str">
        <x:v>Adaptation de conception; aucun nouvel élément déclaré canon par cet audit.</x:v>
      </x:c>
      <x:c r="L20" s="10" t="str">
        <x:v>0f37cc52f9d8 : js/main.js : lignes 3699-3769
1d52d9ff91db : js/engine/BattlefieldMission.js : lignes 71-120
1d52d9ff91db : js/engine/BattlefieldProgression.js : lignes 202-219</x:v>
      </x:c>
      <x:c r="M20"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20" s="24" t="str">
        <x:v>À valider</x:v>
      </x:c>
    </x:row>
    <x:row r="21" ht="117" customHeight="1">
      <x:c r="A21" s="9" t="str">
        <x:v>AUD-015</x:v>
      </x:c>
      <x:c r="B21" s="9" t="str">
        <x:v>Effectifs et foule</x:v>
      </x:c>
      <x:c r="C21" s="9" t="str">
        <x:v>Rendre les vagues progressives et paramétrables</x:v>
      </x:c>
      <x:c r="D21" s="9" t="str">
        <x:v>P1</x:v>
      </x:c>
      <x:c r="E21" s="9" t="str">
        <x:v>À réconcilier</x:v>
      </x:c>
      <x:c r="F21" s="9" t="str">
        <x:v>55 bases au départ, puis 45+15 × vague; tous sont créés en bloc avec un lot fixe de spéciaux.</x:v>
      </x:c>
      <x:c r="G21" s="9" t="str">
        <x:v>Six au départ puis quatre toutes les 3 s, après grâce; quota par secteur.</x:v>
      </x:c>
      <x:c r="H21" s="9" t="str">
        <x:v>Exposer cadence, taille de lot, réserve, alerte et conditions d’arrêt dans le scénario.</x:v>
      </x:c>
      <x:c r="I21" s="9" t="str">
        <x:v>Modifier un profil modifie la cadence mesurée sans toucher le code des créatures; la pause fige les délais.</x:v>
      </x:c>
      <x:c r="J21" s="9" t="str">
        <x:v>AUD-001
AUD-012</x:v>
      </x:c>
      <x:c r="K21" s="9" t="str">
        <x:v>Adaptation de conception; aucun nouvel élément déclaré canon par cet audit.</x:v>
      </x:c>
      <x:c r="L21" s="9" t="str">
        <x:v>0f37cc52f9d8 : js/entities/XenomorphHorde.js : lignes 81-188
0f37cc52f9d8 : js/main.js : lignes 1240-1243
1d52d9ff91db : js/entities/XenomorphHorde.js : lignes 74-181</x:v>
      </x:c>
      <x:c r="M2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1" s="24" t="str">
        <x:v>Terminé</x:v>
      </x:c>
    </x:row>
    <x:row r="22" ht="90" customHeight="1">
      <x:c r="A22" s="10" t="str">
        <x:v>AUD-016</x:v>
      </x:c>
      <x:c r="B22" s="10" t="str">
        <x:v>Effectifs et foule</x:v>
      </x:c>
      <x:c r="C22" s="10" t="str">
        <x:v>Dissocier population et difficulté</x:v>
      </x:c>
      <x:c r="D22" s="10" t="str">
        <x:v>P1</x:v>
      </x:c>
      <x:c r="E22" s="10" t="str">
        <x:v>À créer</x:v>
      </x:c>
      <x:c r="F22" s="10" t="str">
        <x:v>Le registre affiche difficulté mais les effectifs et distributions viennent de règles globales.</x:v>
      </x:c>
      <x:c r="G22" s="10" t="str">
        <x:v>Le nombre recommandé varie 18–38 selon rôle du secteur; pas de profil complet d’armée.</x:v>
      </x:c>
      <x:c r="H22" s="10" t="str">
        <x:v>Piloter séparément densité visuelle, agressivité, variété, dégâts et ressources.</x:v>
      </x:c>
      <x:c r="I22" s="10" t="str">
        <x:v>Deux difficultés peuvent garder une même armée lisible tout en changeant tactique et tolérance, sans gonfler tous les PV.</x:v>
      </x:c>
      <x:c r="J22" s="10" t="str">
        <x:v>AUD-010
AUD-015</x:v>
      </x:c>
      <x:c r="K22" s="10" t="str">
        <x:v>Adaptation de conception; aucun nouvel élément déclaré canon par cet audit.</x:v>
      </x:c>
      <x:c r="L22" s="10" t="str">
        <x:v>0f37cc52f9d8 : js/data/levelsData.js : lignes 3-184
1d52d9ff91db : js/data/BattlefieldLayouts.js : lignes 4-19</x:v>
      </x:c>
      <x:c r="M22" s="23" t="str">
        <x:v>https://github.com/darknigthmare/Yautja-hive-warriors/blob/0f37cc52f9d83a4abecc17b80f7bfc67701677cf/js/data/levelsData.js#L3-L184
https://github.com/darknigthmare/Yautja-hive-warriors/blob/1d52d9ff91dbe85c08256f44f8b72086ab65200a/js/data/BattlefieldLayouts.js#L4-L19</x:v>
      </x:c>
      <x:c r="N22" s="24" t="str">
        <x:v>En cours</x:v>
      </x:c>
    </x:row>
    <x:row r="23" ht="117" customHeight="1">
      <x:c r="A23" s="9" t="str">
        <x:v>AUD-017</x:v>
      </x:c>
      <x:c r="B23" s="9" t="str">
        <x:v>Effectifs et foule</x:v>
      </x:c>
      <x:c r="C23" s="9" t="str">
        <x:v>Unifier le comptage de tous les types hostiles</x:v>
      </x:c>
      <x:c r="D23" s="9" t="str">
        <x:v>P1</x:v>
      </x:c>
      <x:c r="E23" s="9" t="str">
        <x:v>À corriger</x:v>
      </x:c>
      <x:c r="F23" s="9" t="str">
        <x:v>Le seuil de fin lit aliens.length et ignore mantaSwarmers, royalFacehuggers, microSwarms et autres listes.</x:v>
      </x:c>
      <x:c r="G23" s="9" t="str">
        <x:v>remainingCount améliore le comptage de la liste principale et de sa file.</x:v>
      </x:c>
      <x:c r="H23" s="9" t="str">
        <x:v>Centraliser le registre des menaces pertinentes pour chaque objectif et distinguer danger résiduel de quota.</x:v>
      </x:c>
      <x:c r="I23" s="9" t="str">
        <x:v>Une victoire ne part pas avec un ennemi requis vivant dans une liste secondaire; aucune menace ne bloque à tort un objectif déjà réussi.</x:v>
      </x:c>
      <x:c r="J23" s="9" t="str">
        <x:v>AUD-009</x:v>
      </x:c>
      <x:c r="K23" s="9" t="str">
        <x:v>Adaptation de conception; aucun nouvel élément déclaré canon par cet audit.</x:v>
      </x:c>
      <x:c r="L23" s="9" t="str">
        <x:v>0f37cc52f9d8 : js/entities/XenomorphHorde.js : lignes 81-188
0f37cc52f9d8 : js/main.js : lignes 1240-1243
1d52d9ff91db : js/entities/XenomorphHorde.js : lignes 74-181</x:v>
      </x:c>
      <x:c r="M2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3" s="24" t="str">
        <x:v>Terminé</x:v>
      </x:c>
    </x:row>
    <x:row r="24" ht="171" customHeight="1">
      <x:c r="A24" s="10" t="str">
        <x:v>AUD-018</x:v>
      </x:c>
      <x:c r="B24" s="10" t="str">
        <x:v>Effectifs et foule</x:v>
      </x:c>
      <x:c r="C24" s="10" t="str">
        <x:v>Synchroniser mort, score et objectif</x:v>
      </x:c>
      <x:c r="D24" s="10" t="str">
        <x:v>P0</x:v>
      </x:c>
      <x:c r="E24" s="10" t="str">
        <x:v>À réconcilier</x:v>
      </x:c>
      <x:c r="F24" s="10" t="str">
        <x:v>Les alliés et armes modifient directement hp; plusieurs sources contournent registerHits. Sarii et le feu des barils ajoutés en v65.5 soustraient directement les PV des aliens.</x:v>
      </x:c>
      <x:c r="G24" s="10" t="str">
        <x:v>recordDefeat protège contre les notifications doubles et alimente les objectifs.</x:v>
      </x:c>
      <x:c r="H24" s="10" t="str">
        <x:v>Passer tous les dégâts et décès par une notification unique portant faction, auteur, secteur et type.</x:v>
      </x:c>
      <x:c r="I24" s="10" t="str">
        <x:v>Un ennemi tué par allié, piège, acide ou joueur crédite une seule perte et les bons objectifs.</x:v>
      </x:c>
      <x:c r="J24" s="10" t="str">
        <x:v>AUD-001
AUD-017</x:v>
      </x:c>
      <x:c r="K24" s="10" t="str">
        <x:v>Adaptation de conception; aucun nouvel élément déclaré canon par cet audit.</x:v>
      </x:c>
      <x:c r="L24" s="10" t="str">
        <x:v>0f37cc52f9d8 : js/entities/XenomorphHorde.js : lignes 2774-2815
1d52d9ff91db : js/entities/XenomorphHorde.js : lignes 511-520
0f37cc52f9d8 : js/entities/Environment.js : lignes 14138-14189
0f37cc52f9d8 : js/entities/Environment.js : lignes 15638-15670</x:v>
      </x:c>
      <x:c r="M24" s="23" t="str">
        <x:v>https://github.com/darknigthmare/Yautja-hive-warriors/blob/0f37cc52f9d83a4abecc17b80f7bfc67701677cf/js/entities/XenomorphHorde.js#L2774-L2815
https://github.com/darknigthmare/Yautja-hive-warriors/blob/1d52d9ff91dbe85c08256f44f8b72086ab65200a/js/entities/XenomorphHorde.js#L511-L520
https://github.com/darknigthmare/Yautja-hive-warriors/blob/0f37cc52f9d83a4abecc17b80f7bfc67701677cf/js/entities/Environment.js#L14138-L14189
https://github.com/darknigthmare/Yautja-hive-warriors/blob/0f37cc52f9d83a4abecc17b80f7bfc67701677cf/js/entities/Environment.js#L15638-L15670</x:v>
      </x:c>
      <x:c r="N24" s="24" t="str">
        <x:v>Terminé</x:v>
      </x:c>
    </x:row>
    <x:row r="25" ht="117" customHeight="1">
      <x:c r="A25" s="9" t="str">
        <x:v>AUD-019</x:v>
      </x:c>
      <x:c r="B25" s="9" t="str">
        <x:v>Effectifs et foule</x:v>
      </x:c>
      <x:c r="C25" s="9" t="str">
        <x:v>Introduire une représentation distante de la bataille</x:v>
      </x:c>
      <x:c r="D25" s="9" t="str">
        <x:v>P1</x:v>
      </x:c>
      <x:c r="E25" s="9" t="str">
        <x:v>À créer</x:v>
      </x:c>
      <x:c r="F25" s="9" t="str">
        <x:v>Seuls les groupes autour du joueur sont simulés.</x:v>
      </x:c>
      <x:c r="G25" s="9" t="str">
        <x:v>Le détail visuel est désactivé à distance, mais les rencontres restent attachées au secteur actuel.</x:v>
      </x:c>
      <x:c r="H25" s="9" t="str">
        <x:v>Simuler les groupes distants à cadence réduite et matérialiser leur état exact à l’approche.</x:v>
      </x:c>
      <x:c r="I25" s="9" t="str">
        <x:v>Quitter puis rejoindre un front conserve effectifs, positions plausibles, moral et progression temporelle.</x:v>
      </x:c>
      <x:c r="J25" s="9" t="str">
        <x:v>AUD-009
AUD-012
AUD-018</x:v>
      </x:c>
      <x:c r="K25" s="9" t="str">
        <x:v>Adaptation de conception; aucun nouvel élément déclaré canon par cet audit.</x:v>
      </x:c>
      <x:c r="L25" s="9" t="str">
        <x:v>0f37cc52f9d8 : js/main.js : lignes 3699-3769
1d52d9ff91db : js/engine/BattlefieldMission.js : lignes 71-120
1d52d9ff91db : js/engine/BattlefieldProgression.js : lignes 202-219</x:v>
      </x:c>
      <x:c r="M2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25" s="24" t="str">
        <x:v>À valider</x:v>
      </x:c>
    </x:row>
    <x:row r="26" ht="90" customHeight="1">
      <x:c r="A26" s="10" t="str">
        <x:v>AUD-020</x:v>
      </x:c>
      <x:c r="B26" s="10" t="str">
        <x:v>Effectifs et foule</x:v>
      </x:c>
      <x:c r="C26" s="10" t="str">
        <x:v>Donner une échelle perceptible au champ de bataille</x:v>
      </x:c>
      <x:c r="D26" s="10" t="str">
        <x:v>P2</x:v>
      </x:c>
      <x:c r="E26" s="10" t="str">
        <x:v>À créer</x:v>
      </x:c>
      <x:c r="F26" s="10" t="str">
        <x:v>Arène compacte et brouillard masquent l’ampleur; pas de groupes distants structurés.</x:v>
      </x:c>
      <x:c r="G26" s="10" t="str">
        <x:v>Réseau plus grand mais chaque secteur suit le même parcours séquentiel.</x:v>
      </x:c>
      <x:c r="H26" s="10" t="str">
        <x:v>Ajouter lignes d’assaut lointaines, réserves visibles, mouvements de transport et sons de fronts distincts.</x:v>
      </x:c>
      <x:c r="I26" s="10" t="str">
        <x:v>Depuis les points hauts, le joueur identifie au moins deux combats réels et leurs voies d’accès.</x:v>
      </x:c>
      <x:c r="J26" s="10" t="str">
        <x:v>AUD-019</x:v>
      </x:c>
      <x:c r="K26" s="10" t="str">
        <x:v>Adaptation de conception; aucun nouvel élément déclaré canon par cet audit.</x:v>
      </x:c>
      <x:c r="L26" s="10" t="str">
        <x:v>0f37cc52f9d8 : js/entities/Environment.js : lignes 947-1042
1d52d9ff91db : js/data/BattlefieldLayouts.js : lignes 1-61</x:v>
      </x:c>
      <x:c r="M26" s="23" t="str">
        <x:v>https://github.com/darknigthmare/Yautja-hive-warriors/blob/0f37cc52f9d83a4abecc17b80f7bfc67701677cf/js/entities/Environment.js#L947-L1042
https://github.com/darknigthmare/Yautja-hive-warriors/blob/1d52d9ff91dbe85c08256f44f8b72086ab65200a/js/data/BattlefieldLayouts.js#L1-L61</x:v>
      </x:c>
      <x:c r="N26" s="24" t="str">
        <x:v>À valider</x:v>
      </x:c>
    </x:row>
    <x:row r="27" ht="117" customHeight="1">
      <x:c r="A27" s="9" t="str">
        <x:v>AUD-021</x:v>
      </x:c>
      <x:c r="B27" s="9" t="str">
        <x:v>Groupes et factions</x:v>
      </x:c>
      <x:c r="C27" s="9" t="str">
        <x:v>Créer des compositions de groupes par mission</x:v>
      </x:c>
      <x:c r="D27" s="9" t="str">
        <x:v>P1</x:v>
      </x:c>
      <x:c r="E27" s="9" t="str">
        <x:v>À créer</x:v>
      </x:c>
      <x:c r="F27" s="9" t="str">
        <x:v>Chaque vague mélange aléatoirement neuf variantes de base et tous les spéciaux récurrents.</x:v>
      </x:c>
      <x:c r="G27" s="9" t="str">
        <x:v>Les variantes sont moins nombreuses mais toujours mélangées sans table de faction/lieu.</x:v>
      </x:c>
      <x:c r="H27" s="9" t="str">
        <x:v>Définir des groupes avec fonction, chef éventuel, proportions, habitat et budget de rareté.</x:v>
      </x:c>
      <x:c r="I27" s="9" t="str">
        <x:v>Une même graine et un même profil produisent une composition autorisée; aucune caste exclue n’apparaît.</x:v>
      </x:c>
      <x:c r="J27" s="9" t="str">
        <x:v>AUD-015</x:v>
      </x:c>
      <x:c r="K27" s="9" t="str">
        <x:v>Les règles d’apparition doivent citer la continuité retenue; les noms de code ne prouvent pas le canon.</x:v>
      </x:c>
      <x:c r="L27" s="9" t="str">
        <x:v>0f37cc52f9d8 : js/entities/XenomorphHorde.js : lignes 81-188
0f37cc52f9d8 : js/main.js : lignes 1240-1243
1d52d9ff91db : js/entities/XenomorphHorde.js : lignes 74-181</x:v>
      </x:c>
      <x:c r="M27"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7" s="24" t="str">
        <x:v>En cours</x:v>
      </x:c>
    </x:row>
    <x:row r="28" ht="117" customHeight="1">
      <x:c r="A28" s="10" t="str">
        <x:v>AUD-022</x:v>
      </x:c>
      <x:c r="B28" s="10" t="str">
        <x:v>Groupes et factions</x:v>
      </x:c>
      <x:c r="C28" s="10" t="str">
        <x:v>Empêcher la répétition des individus nommés</x:v>
      </x:c>
      <x:c r="D28" s="10" t="str">
        <x:v>P1</x:v>
      </x:c>
      <x:c r="E28" s="10" t="str">
        <x:v>À corriger</x:v>
      </x:c>
      <x:c r="F28" s="10" t="str">
        <x:v>Grid, Alpha, Raven, Rogue et autres références rares sont recréés à chaque vague.</x:v>
      </x:c>
      <x:c r="G28" s="10" t="str">
        <x:v>Grid peut encore apparaître dans la liste spéciale des vagues.</x:v>
      </x:c>
      <x:c r="H28" s="10" t="str">
        <x:v>Réserver les individus uniques à leur rencontre; créer des variantes génériques explicitement distinctes si nécessaire.</x:v>
      </x:c>
      <x:c r="I28" s="10" t="str">
        <x:v>Un individu nommé n’existe qu’une fois dans la mission et ne revient pas après une mort confirmée.</x:v>
      </x:c>
      <x:c r="J28" s="10" t="str">
        <x:v>AUD-021</x:v>
      </x:c>
      <x:c r="K28" s="10" t="str">
        <x:v>Séparer individu canonique, archétype de gameplay et création originale.</x:v>
      </x:c>
      <x:c r="L28" s="10" t="str">
        <x:v>0f37cc52f9d8 : js/entities/XenomorphHorde.js : lignes 81-188
0f37cc52f9d8 : js/main.js : lignes 1240-1243
1d52d9ff91db : js/entities/XenomorphHorde.js : lignes 74-181</x:v>
      </x:c>
      <x:c r="M2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28" s="24" t="str">
        <x:v>Terminé</x:v>
      </x:c>
    </x:row>
    <x:row r="29" ht="117" customHeight="1">
      <x:c r="A29" s="9" t="str">
        <x:v>AUD-023</x:v>
      </x:c>
      <x:c r="B29" s="9" t="str">
        <x:v>Groupes et factions</x:v>
      </x:c>
      <x:c r="C29" s="9" t="str">
        <x:v>Établir une matrice de relations entre factions</x:v>
      </x:c>
      <x:c r="D29" s="9" t="str">
        <x:v>P1</x:v>
      </x:c>
      <x:c r="E29" s="9" t="str">
        <x:v>À créer</x:v>
      </x:c>
      <x:c r="F29" s="9" t="str">
        <x:v>Marines et synthétiques ciblent les xénos puis le joueur en l’absence de cible.</x:v>
      </x:c>
      <x:c r="G29" s="9" t="str">
        <x:v>Le ciblage partagé règle surtout la sélection du joueur vivant.</x:v>
      </x:c>
      <x:c r="H29" s="9" t="str">
        <x:v>Définir hostilité, neutralité, trêve temporaire, priorité et règles de rupture par scénario.</x:v>
      </x:c>
      <x:c r="I29" s="9" t="str">
        <x:v>Les trois camps combattent leurs adversaires déclarés; une alliance annoncée ne se termine pas automatiquement quand le dernier xéno proche meurt.</x:v>
      </x:c>
      <x:c r="J29" s="9" t="str">
        <x:v>AUD-021</x:v>
      </x:c>
      <x:c r="K29" s="9" t="str">
        <x:v>Adaptation de conception; aucun nouvel élément déclaré canon par cet audit.</x:v>
      </x:c>
      <x:c r="L29" s="9" t="str">
        <x:v>0f37cc52f9d8 : js/entities/ColonialMarines.js : lignes 132-257
0f37cc52f9d8 : js/entities/Synthetics.js : lignes 285-357
1d52d9ff91db : js/main.js : lignes 921-945</x:v>
      </x:c>
      <x:c r="M29"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29" s="24" t="str">
        <x:v>Terminé</x:v>
      </x:c>
    </x:row>
    <x:row r="30" ht="117" customHeight="1">
      <x:c r="A30" s="10" t="str">
        <x:v>AUD-024</x:v>
      </x:c>
      <x:c r="B30" s="10" t="str">
        <x:v>Groupes et factions</x:v>
      </x:c>
      <x:c r="C30" s="10" t="str">
        <x:v>Donner une vraie réciprocité aux combats entre IA</x:v>
      </x:c>
      <x:c r="D30" s="10" t="str">
        <x:v>P1</x:v>
      </x:c>
      <x:c r="E30" s="10" t="str">
        <x:v>À créer</x:v>
      </x:c>
      <x:c r="F30" s="10" t="str">
        <x:v>Alliés attaquent xénos; xénos ciblent principalement le joueur et pas les lignes de soutien.</x:v>
      </x:c>
      <x:c r="G30" s="10" t="str">
        <x:v>CombatDirector sélectionne les joueurs; les alliés restent une escorte qui inflige des dégâts.</x:v>
      </x:c>
      <x:c r="H30" s="10" t="str">
        <x:v>Permettre aux unités de s’attaquer, protéger leurs chefs, reculer et perdre un front sans intervention du joueur.</x:v>
      </x:c>
      <x:c r="I30" s="10" t="str">
        <x:v>Un combat observé sans joueur au contact change les pertes des deux camps, avec actions et impacts visibles.</x:v>
      </x:c>
      <x:c r="J30" s="10" t="str">
        <x:v>AUD-018
AUD-023</x:v>
      </x:c>
      <x:c r="K30" s="10" t="str">
        <x:v>Adaptation de conception; aucun nouvel élément déclaré canon par cet audit.</x:v>
      </x:c>
      <x:c r="L30" s="10" t="str">
        <x:v>0f37cc52f9d8 : js/entities/ColonialMarines.js : lignes 132-257
0f37cc52f9d8 : js/entities/Synthetics.js : lignes 285-357
1d52d9ff91db : js/main.js : lignes 921-945</x:v>
      </x:c>
      <x:c r="M30"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0" s="24" t="str">
        <x:v>À valider</x:v>
      </x:c>
    </x:row>
    <x:row r="31" ht="117" customHeight="1">
      <x:c r="A31" s="9" t="str">
        <x:v>AUD-025</x:v>
      </x:c>
      <x:c r="B31" s="9" t="str">
        <x:v>Groupes et factions</x:v>
      </x:c>
      <x:c r="C31" s="9" t="str">
        <x:v>Composer des unités xénomorphes biologiquement crédibles</x:v>
      </x:c>
      <x:c r="D31" s="9" t="str">
        <x:v>P1</x:v>
      </x:c>
      <x:c r="E31" s="9" t="str">
        <x:v>À créer</x:v>
      </x:c>
      <x:c r="F31" s="9" t="str">
        <x:v>Spéciaux lourds, parasites, volants et variantes hybrides apparaissent ensemble partout.</x:v>
      </x:c>
      <x:c r="G31" s="9" t="str">
        <x:v>Des sous-types existent, sans composition écologique définie par secteur.</x:v>
      </x:c>
      <x:c r="H31" s="9" t="str">
        <x:v>Séparer éclaireurs, assaut, défense de couvoir, embuscade et garde royale selon fonctions observables.</x:v>
      </x:c>
      <x:c r="I31" s="9" t="str">
        <x:v>Chaque groupe possède une raison de présence et des comportements cohérents; les parasites ne remplacent pas une ligne d’assaut permanente.</x:v>
      </x:c>
      <x:c r="J31" s="9" t="str">
        <x:v>AUD-021</x:v>
      </x:c>
      <x:c r="K31" s="9" t="str">
        <x:v>Rôles de conception; ne pas présenter les termes militaires comme une organisation humaine canonique des xénos.</x:v>
      </x:c>
      <x:c r="L31" s="9" t="str">
        <x:v>0f37cc52f9d8 : js/entities/XenomorphHorde.js : lignes 81-188
0f37cc52f9d8 : js/main.js : lignes 1240-1243
1d52d9ff91db : js/entities/XenomorphHorde.js : lignes 74-181</x:v>
      </x:c>
      <x:c r="M3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31" s="24" t="str">
        <x:v>En cours</x:v>
      </x:c>
    </x:row>
    <x:row r="32" ht="117" customHeight="1">
      <x:c r="A32" s="10" t="str">
        <x:v>AUD-026</x:v>
      </x:c>
      <x:c r="B32" s="10" t="str">
        <x:v>Groupes et factions</x:v>
      </x:c>
      <x:c r="C32" s="10" t="str">
        <x:v>Former des patrouilles Yautja adaptées au clan</x:v>
      </x:c>
      <x:c r="D32" s="10" t="str">
        <x:v>P1</x:v>
      </x:c>
      <x:c r="E32" s="10" t="str">
        <x:v>À créer</x:v>
      </x:c>
      <x:c r="F32" s="10" t="str">
        <x:v>Trois gardes identiques suivent le joueur avec mêmes statistiques.</x:v>
      </x:c>
      <x:c r="G32" s="10" t="str">
        <x:v>Un garde rejoint les secteurs suivants avec modèle amélioré.</x:v>
      </x:c>
      <x:c r="H32" s="10" t="str">
        <x:v>Définir petites cellules de chasse, spécialistes et chefs identifiés, avec doctrine propre au clan.</x:v>
      </x:c>
      <x:c r="I32" s="10" t="str">
        <x:v>Une cellule garde son identité et ses équipements; son effectif reste justifié par le scénario de chasse ou de guerre.</x:v>
      </x:c>
      <x:c r="J32" s="10" t="str">
        <x:v>AUD-021
AUD-023</x:v>
      </x:c>
      <x:c r="K32" s="10" t="str">
        <x:v>Les grands effectifs Yautja sont une hypothèse de guerre de clan, pas la reproduction d’une chasse filmique.</x:v>
      </x:c>
      <x:c r="L32" s="10" t="str">
        <x:v>0f37cc52f9d8 : js/entities/YautjaAllies.js : lignes 98-173
1d52d9ff91db : js/entities/YautjaAllies.js : lignes 14-87
1d52d9ff91db : js/main.js : lignes 921-949</x:v>
      </x:c>
      <x:c r="M32"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32" s="24" t="str">
        <x:v>En cours</x:v>
      </x:c>
    </x:row>
    <x:row r="33" ht="117" customHeight="1">
      <x:c r="A33" s="9" t="str">
        <x:v>AUD-027</x:v>
      </x:c>
      <x:c r="B33" s="9" t="str">
        <x:v>Groupes et factions</x:v>
      </x:c>
      <x:c r="C33" s="9" t="str">
        <x:v>Diversifier les groupes humains avec une structure réelle</x:v>
      </x:c>
      <x:c r="D33" s="9" t="str">
        <x:v>P1</x:v>
      </x:c>
      <x:c r="E33" s="9" t="str">
        <x:v>À créer</x:v>
      </x:c>
      <x:c r="F33" s="9" t="str">
        <x:v>La génération alterne seulement smartgunner et flametrooper.</x:v>
      </x:c>
      <x:c r="G33" s="9" t="str">
        <x:v>Le soutien sectoriel conserve des petits groupes issus du même gestionnaire.</x:v>
      </x:c>
      <x:c r="H33" s="9" t="str">
        <x:v>Ajouter chef, fusiliers, appui, technicien et éventuel medic suivant l’unité choisie et ses sources.</x:v>
      </x:c>
      <x:c r="I33" s="9" t="str">
        <x:v>La composition autorise couverture, progression et replis; aucun groupe entier n’est composé de la même arme lourde.</x:v>
      </x:c>
      <x:c r="J33" s="9" t="str">
        <x:v>AUD-021
AUD-024</x:v>
      </x:c>
      <x:c r="K33" s="9" t="str">
        <x:v>Adaptation de conception; aucun nouvel élément déclaré canon par cet audit.</x:v>
      </x:c>
      <x:c r="L33" s="9" t="str">
        <x:v>0f37cc52f9d8 : js/entities/ColonialMarines.js : lignes 132-257
0f37cc52f9d8 : js/entities/Synthetics.js : lignes 285-357
1d52d9ff91db : js/main.js : lignes 921-945</x:v>
      </x:c>
      <x:c r="M33"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3" s="24" t="str">
        <x:v>En cours</x:v>
      </x:c>
    </x:row>
    <x:row r="34" ht="117" customHeight="1">
      <x:c r="A34" s="10" t="str">
        <x:v>AUD-028</x:v>
      </x:c>
      <x:c r="B34" s="10" t="str">
        <x:v>Groupes et factions</x:v>
      </x:c>
      <x:c r="C34" s="10" t="str">
        <x:v>Séparer synthétiques militaires, industriels et civils</x:v>
      </x:c>
      <x:c r="D34" s="10" t="str">
        <x:v>P1</x:v>
      </x:c>
      <x:c r="E34" s="10" t="str">
        <x:v>À créer</x:v>
      </x:c>
      <x:c r="F34" s="10" t="str">
        <x:v>Les androids sont des adversaires associés au même gestionnaire, incluant Working Joe.</x:v>
      </x:c>
      <x:c r="G34" s="10" t="str">
        <x:v>La branche validée garde ce regroupement fonctionnel.</x:v>
      </x:c>
      <x:c r="H34" s="10" t="str">
        <x:v>Créer des profils d’employeur, fonction, armement et protocole; ne pas armer automatiquement une unité industrielle.</x:v>
      </x:c>
      <x:c r="I34" s="10" t="str">
        <x:v>Un profil de sécurité et un profil industriel réagissent différemment à une intrusion et restent limités à leur lieu.</x:v>
      </x:c>
      <x:c r="J34" s="10" t="str">
        <x:v>AUD-021
AUD-023</x:v>
      </x:c>
      <x:c r="K34" s="10" t="str">
        <x:v>Adaptation de conception; aucun nouvel élément déclaré canon par cet audit.</x:v>
      </x:c>
      <x:c r="L34" s="10" t="str">
        <x:v>0f37cc52f9d8 : js/entities/ColonialMarines.js : lignes 132-257
0f37cc52f9d8 : js/entities/Synthetics.js : lignes 285-357
1d52d9ff91db : js/main.js : lignes 921-945</x:v>
      </x:c>
      <x:c r="M34"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34" s="24" t="str">
        <x:v>À valider</x:v>
      </x:c>
    </x:row>
    <x:row r="35" ht="117" customHeight="1">
      <x:c r="A35" s="9" t="str">
        <x:v>AUD-029</x:v>
      </x:c>
      <x:c r="B35" s="9" t="str">
        <x:v>Groupes et factions</x:v>
      </x:c>
      <x:c r="C35" s="9" t="str">
        <x:v>Lier types rares et conditions de scénario</x:v>
      </x:c>
      <x:c r="D35" s="9" t="str">
        <x:v>P1</x:v>
      </x:c>
      <x:c r="E35" s="9" t="str">
        <x:v>À créer</x:v>
      </x:c>
      <x:c r="F35" s="9" t="str">
        <x:v>Deacon Titan, cryo_xeno, cyber_xeno et hybrides sont sélectionnables implicitement partout.</x:v>
      </x:c>
      <x:c r="G35" s="9" t="str">
        <x:v>La réduction de types dans la branche validée ne constitue pas un registre de provenance.</x:v>
      </x:c>
      <x:c r="H35" s="9" t="str">
        <x:v>Conditionner chaque type à une source, un habitat, une installation ou un mode crossover explicite.</x:v>
      </x:c>
      <x:c r="I35" s="9" t="str">
        <x:v>Toutes les compositions passent une validation d’appartenance et d’anachronisme avant lancement.</x:v>
      </x:c>
      <x:c r="J35" s="9" t="str">
        <x:v>AUD-021
AUD-022</x:v>
      </x:c>
      <x:c r="K35" s="9" t="str">
        <x:v>Les affirmations « Canon 1:1 » dans les commentaires nécessitent une vérification indépendante.</x:v>
      </x:c>
      <x:c r="L35" s="9" t="str">
        <x:v>0f37cc52f9d8 : js/entities/XenomorphHorde.js : lignes 81-188
0f37cc52f9d8 : js/main.js : lignes 1240-1243
1d52d9ff91db : js/entities/XenomorphHorde.js : lignes 74-181</x:v>
      </x:c>
      <x:c r="M3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35" s="24" t="str">
        <x:v>Terminé</x:v>
      </x:c>
    </x:row>
    <x:row r="36" ht="90" customHeight="1">
      <x:c r="A36" s="10" t="str">
        <x:v>AUD-030</x:v>
      </x:c>
      <x:c r="B36" s="10" t="str">
        <x:v>Groupes et factions</x:v>
      </x:c>
      <x:c r="C36" s="10" t="str">
        <x:v>Préserver la guerre entre ruches comme scénario spécifique</x:v>
      </x:c>
      <x:c r="D36" s="10" t="str">
        <x:v>P2</x:v>
      </x:c>
      <x:c r="E36" s="10" t="str">
        <x:v>Partiel</x:v>
      </x:c>
      <x:c r="F36" s="10" t="str">
        <x:v>red_warrior peut attaquer d’autres aliens dans la vague standard.</x:v>
      </x:c>
      <x:c r="G36" s="10" t="str">
        <x:v>La variante rouge reste dans la distribution commune.</x:v>
      </x:c>
      <x:c r="H36" s="10" t="str">
        <x:v>Définir deux ruches identifiées avec territoire, réserves et objectif; utiliser cette rivalité uniquement dans les missions prévues.</x:v>
      </x:c>
      <x:c r="I36" s="10" t="str">
        <x:v>Le joueur comprend quel groupe appartient à quelle ruche et peut exploiter un conflit déjà actif.</x:v>
      </x:c>
      <x:c r="J36" s="10" t="str">
        <x:v>AUD-023
AUD-024
AUD-029</x:v>
      </x:c>
      <x:c r="K36" s="10" t="str">
        <x:v>Adaptation de conception; aucun nouvel élément déclaré canon par cet audit.</x:v>
      </x:c>
      <x:c r="L36" s="10" t="str">
        <x:v>0f37cc52f9d8 : js/entities/XenomorphHorde.js : lignes 2774-2815
1d52d9ff91db : js/entities/XenomorphHorde.js : lignes 511-520</x:v>
      </x:c>
      <x:c r="M36" s="23" t="str">
        <x:v>https://github.com/darknigthmare/Yautja-hive-warriors/blob/0f37cc52f9d83a4abecc17b80f7bfc67701677cf/js/entities/XenomorphHorde.js#L2774-L2815
https://github.com/darknigthmare/Yautja-hive-warriors/blob/1d52d9ff91dbe85c08256f44f8b72086ab65200a/js/entities/XenomorphHorde.js#L511-L520</x:v>
      </x:c>
      <x:c r="N36" s="24" t="str">
        <x:v>À valider</x:v>
      </x:c>
    </x:row>
    <x:row r="37" ht="90" customHeight="1">
      <x:c r="A37" s="9" t="str">
        <x:v>AUD-031</x:v>
      </x:c>
      <x:c r="B37" s="9" t="str">
        <x:v>Groupes et factions</x:v>
      </x:c>
      <x:c r="C37" s="9" t="str">
        <x:v>Distinguer silhouettes, rangs et équipements</x:v>
      </x:c>
      <x:c r="D37" s="9" t="str">
        <x:v>P1</x:v>
      </x:c>
      <x:c r="E37" s="9" t="str">
        <x:v>À réconcilier</x:v>
      </x:c>
      <x:c r="F37" s="9" t="str">
        <x:v>Modèles procéduraux simples et palettes partagent une silhouette de base pour nombreux rôles.</x:v>
      </x:c>
      <x:c r="G37" s="9" t="str">
        <x:v>Bibliothèque graphique et modèles importés existent pour certaines créatures et chasseurs.</x:v>
      </x:c>
      <x:c r="H37" s="9" t="str">
        <x:v>Réutiliser les modèles validés et garantir une lecture des familles, équipements et menaces à distance de combat.</x:v>
      </x:c>
      <x:c r="I37" s="9" t="str">
        <x:v>Un test de silhouette identifie chef, appui, parasite et lourd sans dépendre uniquement de la couleur.</x:v>
      </x:c>
      <x:c r="J37" s="9" t="str">
        <x:v>AUD-001
AUD-021</x:v>
      </x:c>
      <x:c r="K37" s="9" t="str">
        <x:v>Adaptation de conception; aucun nouvel élément déclaré canon par cet audit.</x:v>
      </x:c>
      <x:c r="L37" s="9" t="str">
        <x:v>0f37cc52f9d8 : js/data/charactersData.js : lignes 3-162
0f37cc52f9d8 : js/ui/LoadoutScreen.js : lignes 1-64</x:v>
      </x:c>
      <x:c r="M37" s="22" t="str">
        <x:v>https://github.com/darknigthmare/Yautja-hive-warriors/blob/0f37cc52f9d83a4abecc17b80f7bfc67701677cf/js/data/charactersData.js#L3-L162
https://github.com/darknigthmare/Yautja-hive-warriors/blob/0f37cc52f9d83a4abecc17b80f7bfc67701677cf/js/ui/LoadoutScreen.js#L1-L64</x:v>
      </x:c>
      <x:c r="N37" s="24" t="str">
        <x:v>En cours</x:v>
      </x:c>
    </x:row>
    <x:row r="38" ht="117" customHeight="1">
      <x:c r="A38" s="10" t="str">
        <x:v>AUD-032</x:v>
      </x:c>
      <x:c r="B38" s="10" t="str">
        <x:v>Groupes et factions</x:v>
      </x:c>
      <x:c r="C38" s="10" t="str">
        <x:v>Conserver des identités de groupe persistantes</x:v>
      </x:c>
      <x:c r="D38" s="10" t="str">
        <x:v>P1</x:v>
      </x:c>
      <x:c r="E38" s="10" t="str">
        <x:v>À créer</x:v>
      </x:c>
      <x:c r="F38" s="10" t="str">
        <x:v>Les listes sont recréées au changement de vague ou de secteur.</x:v>
      </x:c>
      <x:c r="G38" s="10" t="str">
        <x:v>Les callbacks de mort portent un secteur, mais pas une armée persistante.</x:v>
      </x:c>
      <x:c r="H38" s="10" t="str">
        <x:v>Attribuer IDs de groupe, provenance, chef, mission, membres et historique de pertes.</x:v>
      </x:c>
      <x:c r="I38" s="10" t="str">
        <x:v>Le même groupe conserve son identité lors d’un passage proche/lointain et dans le bilan de bataille.</x:v>
      </x:c>
      <x:c r="J38" s="10" t="str">
        <x:v>AUD-009
AUD-018
AUD-021</x:v>
      </x:c>
      <x:c r="K38" s="10" t="str">
        <x:v>Adaptation de conception; aucun nouvel élément déclaré canon par cet audit.</x:v>
      </x:c>
      <x:c r="L38" s="10" t="str">
        <x:v>0f37cc52f9d8 : js/main.js : lignes 3699-3769
1d52d9ff91db : js/engine/BattlefieldMission.js : lignes 71-120
1d52d9ff91db : js/engine/BattlefieldProgression.js : lignes 202-219</x:v>
      </x:c>
      <x:c r="M3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38" s="24" t="str">
        <x:v>À valider</x:v>
      </x:c>
    </x:row>
    <x:row r="39" ht="117" customHeight="1">
      <x:c r="A39" s="9" t="str">
        <x:v>AUD-033</x:v>
      </x:c>
      <x:c r="B39" s="9" t="str">
        <x:v>Alliés et commandement</x:v>
      </x:c>
      <x:c r="C39" s="9" t="str">
        <x:v>Donner des ordres de combat aux alliés</x:v>
      </x:c>
      <x:c r="D39" s="9" t="str">
        <x:v>P1</x:v>
      </x:c>
      <x:c r="E39" s="9" t="str">
        <x:v>À créer</x:v>
      </x:c>
      <x:c r="F39" s="9" t="str">
        <x:v>Les alliés choisissent le xéno le plus proche à 25 unités ou suivent le joueur.</x:v>
      </x:c>
      <x:c r="G39" s="9" t="str">
        <x:v>Même comportement de poursuite/escorte.</x:v>
      </x:c>
      <x:c r="H39" s="9" t="str">
        <x:v>Ajouter attaquer, tenir, suivre, escorter, se replier et rejoindre un point avec retour d’état.</x:v>
      </x:c>
      <x:c r="I39" s="9" t="str">
        <x:v>Un ordre change réellement objectif et trajet; un ordre impossible explique sa cause et peut être annulé.</x:v>
      </x:c>
      <x:c r="J39" s="9" t="str">
        <x:v>AUD-023
AUD-032</x:v>
      </x:c>
      <x:c r="K39" s="9" t="str">
        <x:v>Adaptation de conception; aucun nouvel élément déclaré canon par cet audit.</x:v>
      </x:c>
      <x:c r="L39" s="9" t="str">
        <x:v>0f37cc52f9d8 : js/entities/YautjaAllies.js : lignes 98-173
1d52d9ff91db : js/entities/YautjaAllies.js : lignes 14-87
1d52d9ff91db : js/main.js : lignes 921-949</x:v>
      </x:c>
      <x:c r="M39"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39" s="24" t="str">
        <x:v>Terminé</x:v>
      </x:c>
    </x:row>
    <x:row r="40" ht="117" customHeight="1">
      <x:c r="A40" s="10" t="str">
        <x:v>AUD-034</x:v>
      </x:c>
      <x:c r="B40" s="10" t="str">
        <x:v>Alliés et commandement</x:v>
      </x:c>
      <x:c r="C40" s="10" t="str">
        <x:v>Déléguer un front à un capitaine</x:v>
      </x:c>
      <x:c r="D40" s="10" t="str">
        <x:v>P1</x:v>
      </x:c>
      <x:c r="E40" s="10" t="str">
        <x:v>À créer</x:v>
      </x:c>
      <x:c r="F40" s="10" t="str">
        <x:v>Aucun capitaine ne gère une mission indépendante du joueur.</x:v>
      </x:c>
      <x:c r="G40" s="10" t="str">
        <x:v>Les soutiens sont régénérés au secteur actif.</x:v>
      </x:c>
      <x:c r="H40" s="10" t="str">
        <x:v>Créer un chef autonome qui évalue la pression, demande du renfort et exécute l’ordre reçu.</x:v>
      </x:c>
      <x:c r="I40" s="10" t="str">
        <x:v>Pendant que le joueur agit ailleurs, le capitaine peut défendre ou perdre un objectif selon des règles visibles.</x:v>
      </x:c>
      <x:c r="J40" s="10" t="str">
        <x:v>AUD-019
AUD-024
AUD-033</x:v>
      </x:c>
      <x:c r="K40" s="10" t="str">
        <x:v>Adaptation de conception; aucun nouvel élément déclaré canon par cet audit.</x:v>
      </x:c>
      <x:c r="L40" s="10" t="str">
        <x:v>0f37cc52f9d8 : js/entities/YautjaAllies.js : lignes 98-173
1d52d9ff91db : js/entities/YautjaAllies.js : lignes 14-87
1d52d9ff91db : js/main.js : lignes 921-949</x:v>
      </x:c>
      <x:c r="M40"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40" s="24" t="str">
        <x:v>À valider</x:v>
      </x:c>
    </x:row>
    <x:row r="41" ht="198" customHeight="1">
      <x:c r="A41" s="9" t="str">
        <x:v>AUD-035</x:v>
      </x:c>
      <x:c r="B41" s="9" t="str">
        <x:v>Alliés et commandement</x:v>
      </x:c>
      <x:c r="C41" s="9" t="str">
        <x:v>Rendre la survie des alliés significative</x:v>
      </x:c>
      <x:c r="D41" s="9" t="str">
        <x:v>P1</x:v>
      </x:c>
      <x:c r="E41" s="9" t="str">
        <x:v>À créer</x:v>
      </x:c>
      <x:c r="F41" s="9" t="str">
        <x:v>Les gardes disposent de hp mais ne possèdent pas de cycle de blessure/mort dans leur update. Sarii dispose seulement du groupe visuel, de sa position et du drapeau isTamed : aucun PV ni cycle de blessure défini pour elle.</x:v>
      </x:c>
      <x:c r="G41" s="9" t="str">
        <x:v>Le modèle d’escorte persiste sans état de déroute ou sauvetage.</x:v>
      </x:c>
      <x:c r="H41" s="9" t="str">
        <x:v>Ajouter dégâts reçus, incapacitation, secours et conséquences proportionnées.</x:v>
      </x:c>
      <x:c r="I41" s="9" t="str">
        <x:v>Un allié peut être mis à terre et secouru; son absence change l’action du groupe sans provoquer un échec arbitraire.</x:v>
      </x:c>
      <x:c r="J41" s="9" t="str">
        <x:v>AUD-018
AUD-024</x:v>
      </x:c>
      <x:c r="K41" s="9" t="str">
        <x:v>Adaptation de conception; aucun nouvel élément déclaré canon par cet audit.</x:v>
      </x:c>
      <x:c r="L41" s="9" t="str">
        <x:v>0f37cc52f9d8 : js/entities/YautjaAllies.js : lignes 98-173
1d52d9ff91db : js/entities/YautjaAllies.js : lignes 14-87
1d52d9ff91db : js/main.js : lignes 921-949
0f37cc52f9d8 : js/entities/Environment.js : lignes 15359-15390
0f37cc52f9d8 : js/entities/Environment.js : lignes 14138-14155</x:v>
      </x:c>
      <x:c r="M41"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
https://github.com/darknigthmare/Yautja-hive-warriors/blob/0f37cc52f9d83a4abecc17b80f7bfc67701677cf/js/entities/Environment.js#L15359-L15390
https://github.com/darknigthmare/Yautja-hive-warriors/blob/0f37cc52f9d83a4abecc17b80f7bfc67701677cf/js/entities/Environment.js#L14138-L14155</x:v>
      </x:c>
      <x:c r="N41" s="24" t="str">
        <x:v>En cours</x:v>
      </x:c>
    </x:row>
    <x:row r="42" ht="117" customHeight="1">
      <x:c r="A42" s="10" t="str">
        <x:v>AUD-036</x:v>
      </x:c>
      <x:c r="B42" s="10" t="str">
        <x:v>Alliés et commandement</x:v>
      </x:c>
      <x:c r="C42" s="10" t="str">
        <x:v>Proposer des tactiques collectives Yautja</x:v>
      </x:c>
      <x:c r="D42" s="10" t="str">
        <x:v>P1</x:v>
      </x:c>
      <x:c r="E42" s="10" t="str">
        <x:v>À créer</x:v>
      </x:c>
      <x:c r="F42" s="10" t="str">
        <x:v>Warhorn et buffs existent côté joueur, pas une coordination spatiale d’escouade.</x:v>
      </x:c>
      <x:c r="G42" s="10" t="str">
        <x:v>Le directeur temporise les attaques hostiles sans commander les alliés.</x:v>
      </x:c>
      <x:c r="H42" s="10" t="str">
        <x:v>Créer encerclement, volée synchronisée, rabattage, couverture et rupture de ligne avec coût/risque.</x:v>
      </x:c>
      <x:c r="I42" s="10" t="str">
        <x:v>La tactique repositionne les unités et produit un effet mesurable; elle peut échouer si ses conditions ne sont plus remplies.</x:v>
      </x:c>
      <x:c r="J42" s="10" t="str">
        <x:v>AUD-033
AUD-034</x:v>
      </x:c>
      <x:c r="K42" s="10" t="str">
        <x:v>Adaptation de conception; aucun nouvel élément déclaré canon par cet audit.</x:v>
      </x:c>
      <x:c r="L42" s="10" t="str">
        <x:v>0f37cc52f9d8 : js/entities/YautjaAllies.js : lignes 98-173
1d52d9ff91db : js/entities/YautjaAllies.js : lignes 14-87
1d52d9ff91db : js/main.js : lignes 921-949</x:v>
      </x:c>
      <x:c r="M42" s="23"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42" s="24" t="str">
        <x:v>À valider</x:v>
      </x:c>
    </x:row>
    <x:row r="43" ht="225" customHeight="1">
      <x:c r="A43" s="9" t="str">
        <x:v>AUD-037</x:v>
      </x:c>
      <x:c r="B43" s="9" t="str">
        <x:v>Alliés et commandement</x:v>
      </x:c>
      <x:c r="C43" s="9" t="str">
        <x:v>Rendre les compagnons spécialisés et équipables</x:v>
      </x:c>
      <x:c r="D43" s="9" t="str">
        <x:v>P2</x:v>
      </x:c>
      <x:c r="E43" s="9" t="str">
        <x:v>Partiel</x:v>
      </x:c>
      <x:c r="F43" s="9" t="str">
        <x:v>Tous les gardes ont même vitesse 14.5, dégâts 110 et plasma 160. Sarii est une compagne distincte : après recrutement, elle suit P1 et inflige 85 PV/s à chaque alien dans 3,4 unités, sans attaque animée ni recherche de chemin dans cette boucle. Son recrutement donne aussi 4 discs, 2 Medicomp si la propriété existe et 2000 points, sous plafonds de ressources.</x:v>
      </x:c>
      <x:c r="G43" s="9" t="str">
        <x:v>Les variations graphiques n’impliquent pas de rôles tactiques.</x:v>
      </x:c>
      <x:c r="H43" s="9" t="str">
        <x:v>Définir fonctions, équipement autorisé, portée, énergie et capacités distinctes. Pour Sarii, définir une aide de chasse lisible et compatible avec son identité, ainsi qu’un déplacement avec obstacles et des attaques délimitées par une animation et un temps de récupération.</x:v>
      </x:c>
      <x:c r="I43" s="9" t="str">
        <x:v>Deux compagnons de rôles différents modifient le plan de bataille; aucun n’accède à une arme hors profil sans choix explicite.</x:v>
      </x:c>
      <x:c r="J43" s="9" t="str">
        <x:v>AUD-026
AUD-033</x:v>
      </x:c>
      <x:c r="K43" s="9" t="str">
        <x:v>Adaptation de conception; aucun nouvel élément déclaré canon par cet audit.</x:v>
      </x:c>
      <x:c r="L43" s="9" t="str">
        <x:v>0f37cc52f9d8 : js/entities/YautjaAllies.js : lignes 98-173
1d52d9ff91db : js/entities/YautjaAllies.js : lignes 14-87
1d52d9ff91db : js/main.js : lignes 921-949
0f37cc52f9d8 : js/main.js : lignes 2475-2476
0f37cc52f9d8 : js/entities/Environment.js : lignes 14138-14155
0f37cc52f9d8 : js/entities/Environment.js : lignes 15619-15635</x:v>
      </x:c>
      <x:c r="M43"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
https://github.com/darknigthmare/Yautja-hive-warriors/blob/0f37cc52f9d83a4abecc17b80f7bfc67701677cf/js/main.js#L2475-L2476
https://github.com/darknigthmare/Yautja-hive-warriors/blob/0f37cc52f9d83a4abecc17b80f7bfc67701677cf/js/entities/Environment.js#L14138-L14155
https://github.com/darknigthmare/Yautja-hive-warriors/blob/0f37cc52f9d83a4abecc17b80f7bfc67701677cf/js/entities/Environment.js#L15619-L15635</x:v>
      </x:c>
      <x:c r="N43" s="24" t="str">
        <x:v>À valider</x:v>
      </x:c>
    </x:row>
    <x:row r="44" ht="184.5" customHeight="1">
      <x:c r="A44" s="10" t="str">
        <x:v>AUD-038</x:v>
      </x:c>
      <x:c r="B44" s="10" t="str">
        <x:v>Alliés et commandement</x:v>
      </x:c>
      <x:c r="C44" s="10" t="str">
        <x:v>Préserver les ordres en coopération</x:v>
      </x:c>
      <x:c r="D44" s="10" t="str">
        <x:v>P2</x:v>
      </x:c>
      <x:c r="E44" s="10" t="str">
        <x:v>À créer</x:v>
      </x:c>
      <x:c r="F44" s="10" t="str">
        <x:v>Les alliés suivent player.position et ignorent un commandement P2. La nouvelle Sarii reçoit elle aussi this.player via updateLevelDesignV56 et suit sa position.</x:v>
      </x:c>
      <x:c r="G44" s="10" t="str">
        <x:v>Les hostiles savent choisir P2; les ordres alliés restent absents.</x:v>
      </x:c>
      <x:c r="H44" s="10" t="str">
        <x:v>Définir propriétaire et priorités d’ordres, partage des groupes et marqueurs des deux joueurs.</x:v>
      </x:c>
      <x:c r="I44" s="10" t="str">
        <x:v>Deux ordres contradictoires sont résolus de façon lisible, sans téléportation ni va-et-vient infini.</x:v>
      </x:c>
      <x:c r="J44" s="10" t="str">
        <x:v>AUD-033</x:v>
      </x:c>
      <x:c r="K44" s="10" t="str">
        <x:v>Adaptation de conception; aucun nouvel élément déclaré canon par cet audit.</x:v>
      </x:c>
      <x:c r="L44" s="10" t="str">
        <x:v>0f37cc52f9d8 : js/main.js : lignes 2957-2961
0f37cc52f9d8 : js/engine/Renderer.js : lignes 130-150
1d52d9ff91db : js/engine/CombatDirector.js : lignes 38-42
0f37cc52f9d8 : js/main.js : lignes 2475-2476
0f37cc52f9d8 : js/entities/Environment.js : lignes 14138-14143</x:v>
      </x:c>
      <x:c r="M44"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
https://github.com/darknigthmare/Yautja-hive-warriors/blob/0f37cc52f9d83a4abecc17b80f7bfc67701677cf/js/main.js#L2475-L2476
https://github.com/darknigthmare/Yautja-hive-warriors/blob/0f37cc52f9d83a4abecc17b80f7bfc67701677cf/js/entities/Environment.js#L14138-L14143</x:v>
      </x:c>
      <x:c r="N44" s="24" t="str">
        <x:v>Terminé</x:v>
      </x:c>
    </x:row>
    <x:row r="45" ht="117" customHeight="1">
      <x:c r="A45" s="9" t="str">
        <x:v>AUD-039</x:v>
      </x:c>
      <x:c r="B45" s="9" t="str">
        <x:v>Alliés et commandement</x:v>
      </x:c>
      <x:c r="C45" s="9" t="str">
        <x:v>Limiter et justifier les appuis lourds</x:v>
      </x:c>
      <x:c r="D45" s="9" t="str">
        <x:v>P1</x:v>
      </x:c>
      <x:c r="E45" s="9" t="str">
        <x:v>Partiel</x:v>
      </x:c>
      <x:c r="F45" s="9" t="str">
        <x:v>Dropship déclenché aux vagues 2/4, APC à 3, y compris dans lieux peu adaptés.</x:v>
      </x:c>
      <x:c r="G45" s="9" t="str">
        <x:v>APC placé au quatrième secteur avec collision et visibilité améliorées.</x:v>
      </x:c>
      <x:c r="H45" s="9" t="str">
        <x:v>Conditionner appui aérien, APC, tourelle et ravitaillement à accès, affiliation et objectifs logistiques.</x:v>
      </x:c>
      <x:c r="I45" s="9" t="str">
        <x:v>Un hangar fermé ne reçoit pas une frappe aérienne arbitraire; un appui perdu ou privé de munitions cesse d’agir.</x:v>
      </x:c>
      <x:c r="J45" s="9" t="str">
        <x:v>AUD-023
AUD-033</x:v>
      </x:c>
      <x:c r="K45" s="9" t="str">
        <x:v>Adaptation de conception; aucun nouvel élément déclaré canon par cet audit.</x:v>
      </x:c>
      <x:c r="L45" s="9" t="str">
        <x:v>0f37cc52f9d8 : js/main.js : lignes 3699-3769
1d52d9ff91db : js/engine/BattlefieldMission.js : lignes 71-120
1d52d9ff91db : js/engine/BattlefieldProgression.js : lignes 202-219</x:v>
      </x:c>
      <x:c r="M4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5" s="24" t="str">
        <x:v>En cours</x:v>
      </x:c>
    </x:row>
    <x:row r="46" ht="90" customHeight="1">
      <x:c r="A46" s="10" t="str">
        <x:v>AUD-040</x:v>
      </x:c>
      <x:c r="B46" s="10" t="str">
        <x:v>Alliés et commandement</x:v>
      </x:c>
      <x:c r="C46" s="10" t="str">
        <x:v>Distinguer montée de puissance et rang social</x:v>
      </x:c>
      <x:c r="D46" s="10" t="str">
        <x:v>P2</x:v>
      </x:c>
      <x:c r="E46" s="10" t="str">
        <x:v>À créer</x:v>
      </x:c>
      <x:c r="F46" s="10" t="str">
        <x:v>Paliers 50/100/250/500/1000 KOs annoncent automatiquement des rangs Yautja.</x:v>
      </x:c>
      <x:c r="G46" s="10" t="str">
        <x:v>Un compteur de performance ne démontre pas une promotion narrative.</x:v>
      </x:c>
      <x:c r="H46" s="10" t="str">
        <x:v>Séparer grade de bataille, prestige gagné et rite de promotion propre au personnage.</x:v>
      </x:c>
      <x:c r="I46" s="10" t="str">
        <x:v>Le bilan peut féliciter une performance sans changer instantanément le statut canonique du chasseur.</x:v>
      </x:c>
      <x:c r="J46" s="10" t="str">
        <x:v>AUD-008</x:v>
      </x:c>
      <x:c r="K46" s="10" t="str">
        <x:v>Les grades et rites exigent une source; le compteur de morts est une mécanique de jeu.</x:v>
      </x:c>
      <x:c r="L46" s="10" t="str">
        <x:v>0f37cc52f9d8 : js/data/charactersData.js : lignes 3-162
0f37cc52f9d8 : js/ui/LoadoutScreen.js : lignes 1-64</x:v>
      </x:c>
      <x:c r="M46" s="23" t="str">
        <x:v>https://github.com/darknigthmare/Yautja-hive-warriors/blob/0f37cc52f9d83a4abecc17b80f7bfc67701677cf/js/data/charactersData.js#L3-L162
https://github.com/darknigthmare/Yautja-hive-warriors/blob/0f37cc52f9d83a4abecc17b80f7bfc67701677cf/js/ui/LoadoutScreen.js#L1-L64</x:v>
      </x:c>
      <x:c r="N46" s="24" t="str">
        <x:v>Terminé</x:v>
      </x:c>
    </x:row>
    <x:row r="47" ht="90" customHeight="1">
      <x:c r="A47" s="9" t="str">
        <x:v>AUD-041</x:v>
      </x:c>
      <x:c r="B47" s="9" t="str">
        <x:v>Fronts et objectifs</x:v>
      </x:c>
      <x:c r="C47" s="9" t="str">
        <x:v>Passer du parcours unique à un graphe de fronts</x:v>
      </x:c>
      <x:c r="D47" s="9" t="str">
        <x:v>P1</x:v>
      </x:c>
      <x:c r="E47" s="9" t="str">
        <x:v>À créer</x:v>
      </x:c>
      <x:c r="F47" s="9" t="str">
        <x:v>Aucune topologie d’objectifs, seulement une arène et des vagues.</x:v>
      </x:c>
      <x:c r="G47" s="9" t="str">
        <x:v>Six secteurs connectés en chaîne et progression courante unique.</x:v>
      </x:c>
      <x:c r="H47" s="9" t="str">
        <x:v>Créer une carte en graphe avec embranchements, routes alternatives, objectifs parallèles et accès conditionnels.</x:v>
      </x:c>
      <x:c r="I47" s="9" t="str">
        <x:v>Au moins deux chemins utiles relient les positions majeures; le joueur choisit réellement son intervention.</x:v>
      </x:c>
      <x:c r="J47" s="9" t="str">
        <x:v>AUD-001
AUD-032</x:v>
      </x:c>
      <x:c r="K47" s="9" t="str">
        <x:v>Adaptation de conception; aucun nouvel élément déclaré canon par cet audit.</x:v>
      </x:c>
      <x:c r="L47" s="9" t="str">
        <x:v>0f37cc52f9d8 : js/entities/Environment.js : lignes 947-1042
1d52d9ff91db : js/data/BattlefieldLayouts.js : lignes 1-61</x:v>
      </x:c>
      <x:c r="M47" s="22" t="str">
        <x:v>https://github.com/darknigthmare/Yautja-hive-warriors/blob/0f37cc52f9d83a4abecc17b80f7bfc67701677cf/js/entities/Environment.js#L947-L1042
https://github.com/darknigthmare/Yautja-hive-warriors/blob/1d52d9ff91dbe85c08256f44f8b72086ab65200a/js/data/BattlefieldLayouts.js#L1-L61</x:v>
      </x:c>
      <x:c r="N47" s="24" t="str">
        <x:v>Terminé</x:v>
      </x:c>
    </x:row>
    <x:row r="48" ht="117" customHeight="1">
      <x:c r="A48" s="10" t="str">
        <x:v>AUD-042</x:v>
      </x:c>
      <x:c r="B48" s="10" t="str">
        <x:v>Fronts et objectifs</x:v>
      </x:c>
      <x:c r="C48" s="10" t="str">
        <x:v>Simuler plusieurs combats simultanés</x:v>
      </x:c>
      <x:c r="D48" s="10" t="str">
        <x:v>P1</x:v>
      </x:c>
      <x:c r="E48" s="10" t="str">
        <x:v>À créer</x:v>
      </x:c>
      <x:c r="F48" s="10" t="str">
        <x:v>Tous les ennemis gravitent autour du joueur.</x:v>
      </x:c>
      <x:c r="G48" s="10" t="str">
        <x:v>Entrer dans le prochain secteur efface l’ancienne rencontre.</x:v>
      </x:c>
      <x:c r="H48" s="10" t="str">
        <x:v>Conserver 3 fronts actifs de conception au minimum pour la première grande bataille, dont un peut évoluer hors écran.</x:v>
      </x:c>
      <x:c r="I48" s="10" t="str">
        <x:v>Un enregistrement montre combat et décisions simultanés sur plusieurs fronts; éloigner le joueur ne fige pas le résultat.</x:v>
      </x:c>
      <x:c r="J48" s="10" t="str">
        <x:v>AUD-019
AUD-024
AUD-034
AUD-041</x:v>
      </x:c>
      <x:c r="K48" s="10" t="str">
        <x:v>Adaptation de conception; aucun nouvel élément déclaré canon par cet audit.</x:v>
      </x:c>
      <x:c r="L48" s="10" t="str">
        <x:v>0f37cc52f9d8 : js/main.js : lignes 3699-3769
1d52d9ff91db : js/engine/BattlefieldMission.js : lignes 71-120
1d52d9ff91db : js/engine/BattlefieldProgression.js : lignes 202-219</x:v>
      </x:c>
      <x:c r="M4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8" s="24" t="str">
        <x:v>À valider</x:v>
      </x:c>
    </x:row>
    <x:row r="49" ht="117" customHeight="1">
      <x:c r="A49" s="9" t="str">
        <x:v>AUD-043</x:v>
      </x:c>
      <x:c r="B49" s="9" t="str">
        <x:v>Fronts et objectifs</x:v>
      </x:c>
      <x:c r="C49" s="9" t="str">
        <x:v>Créer des bases et sources de renfort capturables</x:v>
      </x:c>
      <x:c r="D49" s="9" t="str">
        <x:v>P1</x:v>
      </x:c>
      <x:c r="E49" s="9" t="str">
        <x:v>À créer</x:v>
      </x:c>
      <x:c r="F49" s="9" t="str">
        <x:v>Les officiers influencent le moral, pas la propriété d’un lieu.</x:v>
      </x:c>
      <x:c r="G49" s="9" t="str">
        <x:v>Les secteurs passent en état completed et ouvrent le sas suivant.</x:v>
      </x:c>
      <x:c r="H49" s="9" t="str">
        <x:v>Donner aux positions propriétaire, contrôle, garnison, renforts, usage et conditions de reconquête.</x:v>
      </x:c>
      <x:c r="I49" s="9" t="str">
        <x:v>Une position capturée change les arrivées et les routes; elle peut être contestée ou perdue.</x:v>
      </x:c>
      <x:c r="J49" s="9" t="str">
        <x:v>AUD-012
AUD-041</x:v>
      </x:c>
      <x:c r="K49" s="9" t="str">
        <x:v>Adaptation de conception; aucun nouvel élément déclaré canon par cet audit.</x:v>
      </x:c>
      <x:c r="L49" s="9" t="str">
        <x:v>0f37cc52f9d8 : js/main.js : lignes 3699-3769
1d52d9ff91db : js/engine/BattlefieldMission.js : lignes 71-120
1d52d9ff91db : js/engine/BattlefieldProgression.js : lignes 202-219</x:v>
      </x:c>
      <x:c r="M49"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49" s="24" t="str">
        <x:v>Terminé</x:v>
      </x:c>
    </x:row>
    <x:row r="50" ht="103.5" customHeight="1">
      <x:c r="A50" s="10" t="str">
        <x:v>AUD-044</x:v>
      </x:c>
      <x:c r="B50" s="10" t="str">
        <x:v>Fronts et objectifs</x:v>
      </x:c>
      <x:c r="C50" s="10" t="str">
        <x:v>Rendre le moral local et causal</x:v>
      </x:c>
      <x:c r="D50" s="10" t="str">
        <x:v>P1</x:v>
      </x:c>
      <x:c r="E50" s="10" t="str">
        <x:v>Partiel</x:v>
      </x:c>
      <x:c r="F50" s="10" t="str">
        <x:v>Barre globale 50–100; kills/officiers et dérive temporelle modifient surtout buffs joueur.</x:v>
      </x:c>
      <x:c r="G50" s="10" t="str">
        <x:v>Le moral reste global malgré la progression sectorielle.</x:v>
      </x:c>
      <x:c r="H50" s="10" t="str">
        <x:v>Conserver un moral de camp et une cohésion de groupe, influencés par pertes, chefs, isolement et objectifs.</x:v>
      </x:c>
      <x:c r="I50" s="10" t="str">
        <x:v>Perdre un chef affecte ses unités proches et son front; la cause de variation est lisible.</x:v>
      </x:c>
      <x:c r="J50" s="10" t="str">
        <x:v>AUD-032
AUD-042</x:v>
      </x:c>
      <x:c r="K50" s="10" t="str">
        <x:v>Adaptation de conception; aucun nouvel élément déclaré canon par cet audit.</x:v>
      </x:c>
      <x:c r="L50" s="10" t="str">
        <x:v>0f37cc52f9d8 : js/main.js : lignes 2244-2303
0f37cc52f9d8 : js/main.js : lignes 3792-3796
1d52d9ff91db : js/engine/CombatDirector.js : lignes 3-17</x:v>
      </x:c>
      <x:c r="M50" s="23"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50" s="24" t="str">
        <x:v>Terminé</x:v>
      </x:c>
    </x:row>
    <x:row r="51" ht="103.5" customHeight="1">
      <x:c r="A51" s="9" t="str">
        <x:v>AUD-045</x:v>
      </x:c>
      <x:c r="B51" s="9" t="str">
        <x:v>Fronts et objectifs</x:v>
      </x:c>
      <x:c r="C51" s="9" t="str">
        <x:v>Adapter le moral des xénomorphes à leur comportement</x:v>
      </x:c>
      <x:c r="D51" s="9" t="str">
        <x:v>P1</x:v>
      </x:c>
      <x:c r="E51" s="9" t="str">
        <x:v>À créer</x:v>
      </x:c>
      <x:c r="F51" s="9" t="str">
        <x:v>Le moral de la ruche est simplement 100 moins celui du clan.</x:v>
      </x:c>
      <x:c r="G51" s="9" t="str">
        <x:v>Pas de modèle de contrôle biologique de ruche distinct.</x:v>
      </x:c>
      <x:c r="H51" s="9" t="str">
        <x:v>Employer pression, coordination et contrôle du couvoir pour les xénos; réserver peur/déroute aux unités appropriées.</x:v>
      </x:c>
      <x:c r="I51" s="9" t="str">
        <x:v>Détruire un nœud change comportement et réapprovisionnement sans attribuer aux xénos un moral humain générique.</x:v>
      </x:c>
      <x:c r="J51" s="9" t="str">
        <x:v>AUD-025
AUD-044</x:v>
      </x:c>
      <x:c r="K51" s="9" t="str">
        <x:v>La notion de nœud synaptique reste une adaptation à sourcer; ne pas importer une autre franchise comme fait Alien.</x:v>
      </x:c>
      <x:c r="L51" s="9" t="str">
        <x:v>0f37cc52f9d8 : js/main.js : lignes 2244-2303
0f37cc52f9d8 : js/main.js : lignes 3792-3796
1d52d9ff91db : js/engine/CombatDirector.js : lignes 3-17</x:v>
      </x:c>
      <x:c r="M51" s="22"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51" s="24" t="str">
        <x:v>Terminé</x:v>
      </x:c>
    </x:row>
    <x:row r="52" ht="117" customHeight="1">
      <x:c r="A52" s="10" t="str">
        <x:v>AUD-046</x:v>
      </x:c>
      <x:c r="B52" s="10" t="str">
        <x:v>Fronts et objectifs</x:v>
      </x:c>
      <x:c r="C52" s="10" t="str">
        <x:v>Ajouter retraite et regroupement</x:v>
      </x:c>
      <x:c r="D52" s="10" t="str">
        <x:v>P1</x:v>
      </x:c>
      <x:c r="E52" s="10" t="str">
        <x:v>À créer</x:v>
      </x:c>
      <x:c r="F52" s="10" t="str">
        <x:v>Unités poursuivent leurs cibles jusqu’au contact ou à la mort.</x:v>
      </x:c>
      <x:c r="G52" s="10" t="str">
        <x:v>Attaque limitée par le directeur, sans décision de retraite d’armée.</x:v>
      </x:c>
      <x:c r="H52" s="10" t="str">
        <x:v>Permettre repli vers une position amie, regroupement et retour selon faction et état.</x:v>
      </x:c>
      <x:c r="I52" s="10" t="str">
        <x:v>Une unité en difficulté quitte le front par un trajet réel, conserve ses pertes et revient seulement si renforcée.</x:v>
      </x:c>
      <x:c r="J52" s="10" t="str">
        <x:v>AUD-032
AUD-044</x:v>
      </x:c>
      <x:c r="K52" s="10" t="str">
        <x:v>Adaptation de conception; aucun nouvel élément déclaré canon par cet audit.</x:v>
      </x:c>
      <x:c r="L52" s="10" t="str">
        <x:v>0f37cc52f9d8 : js/entities/ColonialMarines.js : lignes 132-257
0f37cc52f9d8 : js/entities/Synthetics.js : lignes 285-357
1d52d9ff91db : js/main.js : lignes 921-945</x:v>
      </x:c>
      <x:c r="M52"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52" s="24" t="str">
        <x:v>En cours</x:v>
      </x:c>
    </x:row>
    <x:row r="53" ht="117" customHeight="1">
      <x:c r="A53" s="9" t="str">
        <x:v>AUD-047</x:v>
      </x:c>
      <x:c r="B53" s="9" t="str">
        <x:v>Fronts et objectifs</x:v>
      </x:c>
      <x:c r="C53" s="9" t="str">
        <x:v>Créer des conditions de défaite stratégiques</x:v>
      </x:c>
      <x:c r="D53" s="9" t="str">
        <x:v>P1</x:v>
      </x:c>
      <x:c r="E53" s="9" t="str">
        <x:v>À créer</x:v>
      </x:c>
      <x:c r="F53" s="9" t="str">
        <x:v>La boucle principale suit la mort du joueur et les vagues.</x:v>
      </x:c>
      <x:c r="G53" s="9" t="str">
        <x:v>La victoire finale est sécurisée, mais pas de défense de camp ou de commandant autonome.</x:v>
      </x:c>
      <x:c r="H53" s="9" t="str">
        <x:v>Ajouter perte du poste de commandement, destruction d’un objectif protégé et évacuation manquée avec préavis.</x:v>
      </x:c>
      <x:c r="I53" s="9" t="str">
        <x:v>La défaite affiche sa cause vérifiable et laisse un temps de réaction cohérent avec la distance.</x:v>
      </x:c>
      <x:c r="J53" s="9" t="str">
        <x:v>AUD-035
AUD-043</x:v>
      </x:c>
      <x:c r="K53" s="9" t="str">
        <x:v>Adaptation de conception; aucun nouvel élément déclaré canon par cet audit.</x:v>
      </x:c>
      <x:c r="L53" s="9" t="str">
        <x:v>0f37cc52f9d8 : js/main.js : lignes 3699-3769
1d52d9ff91db : js/engine/BattlefieldMission.js : lignes 71-120
1d52d9ff91db : js/engine/BattlefieldProgression.js : lignes 202-219</x:v>
      </x:c>
      <x:c r="M53"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3" s="24" t="str">
        <x:v>À valider</x:v>
      </x:c>
    </x:row>
    <x:row r="54" ht="117" customHeight="1">
      <x:c r="A54" s="10" t="str">
        <x:v>AUD-048</x:v>
      </x:c>
      <x:c r="B54" s="10" t="str">
        <x:v>Fronts et objectifs</x:v>
      </x:c>
      <x:c r="C54" s="10" t="str">
        <x:v>Rendre les missions secondaires réellement décisives</x:v>
      </x:c>
      <x:c r="D54" s="10" t="str">
        <x:v>P1</x:v>
      </x:c>
      <x:c r="E54" s="10" t="str">
        <x:v>À créer</x:v>
      </x:c>
      <x:c r="F54" s="10" t="str">
        <x:v>Beaucoup d’interactions donnent dégâts, soin ou bonus locaux.</x:v>
      </x:c>
      <x:c r="G54" s="10" t="str">
        <x:v>Relais et contre-attaque ouvrent une porte obligatoire.</x:v>
      </x:c>
      <x:c r="H54" s="10" t="str">
        <x:v>Prévoir missions optionnelles qui affaiblissent renforts, débloquent flanc ou sauvent une unité.</x:v>
      </x:c>
      <x:c r="I54" s="10" t="str">
        <x:v>Ignorer ou réussir une mission secondaire produit deux états de bataille distincts et traçables.</x:v>
      </x:c>
      <x:c r="J54" s="10" t="str">
        <x:v>AUD-041
AUD-043</x:v>
      </x:c>
      <x:c r="K54" s="10" t="str">
        <x:v>Adaptation de conception; aucun nouvel élément déclaré canon par cet audit.</x:v>
      </x:c>
      <x:c r="L54" s="10" t="str">
        <x:v>0f37cc52f9d8 : js/main.js : lignes 3699-3769
1d52d9ff91db : js/engine/BattlefieldMission.js : lignes 71-120
1d52d9ff91db : js/engine/BattlefieldProgression.js : lignes 202-219</x:v>
      </x:c>
      <x:c r="M54"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4" s="24" t="str">
        <x:v>Terminé</x:v>
      </x:c>
    </x:row>
    <x:row r="55" ht="117" customHeight="1">
      <x:c r="A55" s="9" t="str">
        <x:v>AUD-049</x:v>
      </x:c>
      <x:c r="B55" s="9" t="str">
        <x:v>Fronts et objectifs</x:v>
      </x:c>
      <x:c r="C55" s="9" t="str">
        <x:v>Planifier embuscades et contre-offensives</x:v>
      </x:c>
      <x:c r="D55" s="9" t="str">
        <x:v>P1</x:v>
      </x:c>
      <x:c r="E55" s="9" t="str">
        <x:v>Partiel</x:v>
      </x:c>
      <x:c r="F55" s="9" t="str">
        <x:v>Bad Blood apparaît systématiquement vague 3; des pièges locaux existent.</x:v>
      </x:c>
      <x:c r="G55" s="9" t="str">
        <x:v>Contre-attaque de relais annoncée puis renforcée par file bornée.</x:v>
      </x:c>
      <x:c r="H55" s="9" t="str">
        <x:v>Déclencher contre-offensive selon contrôle et renseignement, avec plusieurs points d’entrée cohérents.</x:v>
      </x:c>
      <x:c r="I55" s="9" t="str">
        <x:v>L’événement varie selon actions mais reste annoncé; aucune attaque n’apparaît déjà au contact du joueur.</x:v>
      </x:c>
      <x:c r="J55" s="9" t="str">
        <x:v>AUD-013
AUD-015
AUD-043</x:v>
      </x:c>
      <x:c r="K55" s="9" t="str">
        <x:v>Adaptation de conception; aucun nouvel élément déclaré canon par cet audit.</x:v>
      </x:c>
      <x:c r="L55" s="9" t="str">
        <x:v>0f37cc52f9d8 : js/main.js : lignes 3699-3769
1d52d9ff91db : js/engine/BattlefieldMission.js : lignes 71-120
1d52d9ff91db : js/engine/BattlefieldProgression.js : lignes 202-219</x:v>
      </x:c>
      <x:c r="M55"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5" s="24" t="str">
        <x:v>Terminé</x:v>
      </x:c>
    </x:row>
    <x:row r="56" ht="117" customHeight="1">
      <x:c r="A56" s="10" t="str">
        <x:v>AUD-050</x:v>
      </x:c>
      <x:c r="B56" s="10" t="str">
        <x:v>Fronts et objectifs</x:v>
      </x:c>
      <x:c r="C56" s="10" t="str">
        <x:v>Gérer lignes de ravitaillement et isolement</x:v>
      </x:c>
      <x:c r="D56" s="10" t="str">
        <x:v>P2</x:v>
      </x:c>
      <x:c r="E56" s="10" t="str">
        <x:v>À créer</x:v>
      </x:c>
      <x:c r="F56" s="10" t="str">
        <x:v>Caches et appuis existent sans réseau d’approvisionnement.</x:v>
      </x:c>
      <x:c r="G56" s="10" t="str">
        <x:v>APC et relais ne représentent pas une ligne logistique globale.</x:v>
      </x:c>
      <x:c r="H56" s="10" t="str">
        <x:v>Relier bases, routes, transporteurs et ressources; rendre l’interruption utile sans surcharger la microgestion.</x:v>
      </x:c>
      <x:c r="I56" s="10" t="str">
        <x:v>Couper une route réduit un type de renfort et le camp signale comment la rétablir.</x:v>
      </x:c>
      <x:c r="J56" s="10" t="str">
        <x:v>AUD-039
AUD-043</x:v>
      </x:c>
      <x:c r="K56" s="10" t="str">
        <x:v>Adaptation de conception; aucun nouvel élément déclaré canon par cet audit.</x:v>
      </x:c>
      <x:c r="L56" s="10" t="str">
        <x:v>0f37cc52f9d8 : js/main.js : lignes 3699-3769
1d52d9ff91db : js/engine/BattlefieldMission.js : lignes 71-120
1d52d9ff91db : js/engine/BattlefieldProgression.js : lignes 202-219</x:v>
      </x:c>
      <x:c r="M56"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6" s="24" t="str">
        <x:v>À valider</x:v>
      </x:c>
    </x:row>
    <x:row r="57" ht="117" customHeight="1">
      <x:c r="A57" s="9" t="str">
        <x:v>AUD-051</x:v>
      </x:c>
      <x:c r="B57" s="9" t="str">
        <x:v>Fronts et objectifs</x:v>
      </x:c>
      <x:c r="C57" s="9" t="str">
        <x:v>Permettre victoire par plusieurs stratégies</x:v>
      </x:c>
      <x:c r="D57" s="9" t="str">
        <x:v>P2</x:v>
      </x:c>
      <x:c r="E57" s="9" t="str">
        <x:v>À créer</x:v>
      </x:c>
      <x:c r="F57" s="9" t="str">
        <x:v>Élimination de vagues et boss domine la structure.</x:v>
      </x:c>
      <x:c r="G57" s="9" t="str">
        <x:v>Quotas, commandants, relais et boss donnent plusieurs actions mais ordre figé.</x:v>
      </x:c>
      <x:c r="H57" s="9" t="str">
        <x:v>Proposer assaut direct coûteux, sabotage, contournement ou coalition ponctuelle selon lieu.</x:v>
      </x:c>
      <x:c r="I57" s="9" t="str">
        <x:v>Deux parcours gagnants mobilisent des objectifs différents avec conséquences et durées comparables.</x:v>
      </x:c>
      <x:c r="J57" s="9" t="str">
        <x:v>AUD-041
AUD-048
AUD-050</x:v>
      </x:c>
      <x:c r="K57" s="9" t="str">
        <x:v>Adaptation de conception; aucun nouvel élément déclaré canon par cet audit.</x:v>
      </x:c>
      <x:c r="L57" s="9" t="str">
        <x:v>0f37cc52f9d8 : js/main.js : lignes 3699-3769
1d52d9ff91db : js/engine/BattlefieldMission.js : lignes 71-120
1d52d9ff91db : js/engine/BattlefieldProgression.js : lignes 202-219</x:v>
      </x:c>
      <x:c r="M57"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57" s="24" t="str">
        <x:v>À valider</x:v>
      </x:c>
    </x:row>
    <x:row r="58" ht="90" customHeight="1">
      <x:c r="A58" s="10" t="str">
        <x:v>AUD-052</x:v>
      </x:c>
      <x:c r="B58" s="10" t="str">
        <x:v>Fronts et objectifs</x:v>
      </x:c>
      <x:c r="C58" s="10" t="str">
        <x:v>Créer un briefing de bataille exploitable</x:v>
      </x:c>
      <x:c r="D58" s="10" t="str">
        <x:v>P1</x:v>
      </x:c>
      <x:c r="E58" s="10" t="str">
        <x:v>À créer</x:v>
      </x:c>
      <x:c r="F58" s="10" t="str">
        <x:v>Sélection du lieu et du chasseur sans carte de plans, forces ou objectifs concurrents.</x:v>
      </x:c>
      <x:c r="G58" s="10" t="str">
        <x:v>HUD de progression montre les étapes, sans répartition initiale des fronts.</x:v>
      </x:c>
      <x:c r="H58" s="10" t="str">
        <x:v>Afficher carte, forces connues, incertitudes, objectifs, réserves et conditions d’échec avant insertion.</x:v>
      </x:c>
      <x:c r="I58" s="10" t="str">
        <x:v>Le briefing permet de choisir équipement et première route; ses renseignements concordent avec le lancement.</x:v>
      </x:c>
      <x:c r="J58" s="10" t="str">
        <x:v>AUD-009
AUD-041</x:v>
      </x:c>
      <x:c r="K58" s="10" t="str">
        <x:v>Adaptation de conception; aucun nouvel élément déclaré canon par cet audit.</x:v>
      </x:c>
      <x:c r="L58" s="10" t="str">
        <x:v>0f37cc52f9d8 : js/ui/UIManager.js : lignes 341-411
1d52d9ff91db : js/ui/UIManager.js : lignes 302-338</x:v>
      </x:c>
      <x:c r="M58" s="23" t="str">
        <x:v>https://github.com/darknigthmare/Yautja-hive-warriors/blob/0f37cc52f9d83a4abecc17b80f7bfc67701677cf/js/ui/UIManager.js#L341-L411
https://github.com/darknigthmare/Yautja-hive-warriors/blob/1d52d9ff91dbe85c08256f44f8b72086ab65200a/js/ui/UIManager.js#L302-L338</x:v>
      </x:c>
      <x:c r="N58" s="24" t="str">
        <x:v>Terminé</x:v>
      </x:c>
    </x:row>
    <x:row r="59" ht="90" customHeight="1">
      <x:c r="A59" s="9" t="str">
        <x:v>AUD-053</x:v>
      </x:c>
      <x:c r="B59" s="9" t="str">
        <x:v>Fronts et objectifs</x:v>
      </x:c>
      <x:c r="C59" s="9" t="str">
        <x:v>Ajouter renseignement et brouillard tactique</x:v>
      </x:c>
      <x:c r="D59" s="9" t="str">
        <x:v>P2</x:v>
      </x:c>
      <x:c r="E59" s="9" t="str">
        <x:v>À créer</x:v>
      </x:c>
      <x:c r="F59" s="9" t="str">
        <x:v>Radar dessine les ennemis proches directement; plusieurs compétences révèlent des cibles.</x:v>
      </x:c>
      <x:c r="G59" s="9" t="str">
        <x:v>Carte des secteurs existe, sans connaissance progressive des groupes distants.</x:v>
      </x:c>
      <x:c r="H59" s="9" t="str">
        <x:v>Définir information vue, détectée, rapportée et obsolète; utiliser masque, drone et éclaireurs pour renseigner.</x:v>
      </x:c>
      <x:c r="I59" s="9" t="str">
        <x:v>Une unité hors contact n’est pas suivie avec précision absolue; le joueur connaît l’âge de son dernier rapport.</x:v>
      </x:c>
      <x:c r="J59" s="9" t="str">
        <x:v>AUD-032
AUD-041
AUD-052</x:v>
      </x:c>
      <x:c r="K59" s="9" t="str">
        <x:v>Adaptation de conception; aucun nouvel élément déclaré canon par cet audit.</x:v>
      </x:c>
      <x:c r="L59" s="9" t="str">
        <x:v>0f37cc52f9d8 : js/ui/UIManager.js : lignes 341-411
1d52d9ff91db : js/ui/UIManager.js : lignes 302-338</x:v>
      </x:c>
      <x:c r="M59" s="22" t="str">
        <x:v>https://github.com/darknigthmare/Yautja-hive-warriors/blob/0f37cc52f9d83a4abecc17b80f7bfc67701677cf/js/ui/UIManager.js#L341-L411
https://github.com/darknigthmare/Yautja-hive-warriors/blob/1d52d9ff91dbe85c08256f44f8b72086ab65200a/js/ui/UIManager.js#L302-L338</x:v>
      </x:c>
      <x:c r="N59" s="24" t="str">
        <x:v>À valider</x:v>
      </x:c>
    </x:row>
    <x:row r="60" ht="117" customHeight="1">
      <x:c r="A60" s="10" t="str">
        <x:v>AUD-054</x:v>
      </x:c>
      <x:c r="B60" s="10" t="str">
        <x:v>Fronts et objectifs</x:v>
      </x:c>
      <x:c r="C60" s="10" t="str">
        <x:v>Rendre les conséquences de bataille persistantes</x:v>
      </x:c>
      <x:c r="D60" s="10" t="str">
        <x:v>P2</x:v>
      </x:c>
      <x:c r="E60" s="10" t="str">
        <x:v>À créer</x:v>
      </x:c>
      <x:c r="F60" s="10" t="str">
        <x:v>Honneur, trophées et meilleurs scores sont conservés; pas d’état de fronts.</x:v>
      </x:c>
      <x:c r="G60" s="10" t="str">
        <x:v>Campagne avance mais la carte d’armée n’est pas persistée.</x:v>
      </x:c>
      <x:c r="H60" s="10" t="str">
        <x:v>Conserver pertes majeures, chefs sauvés, sites sécurisés et routes ouvertes dans la mission/campagne.</x:v>
      </x:c>
      <x:c r="I60" s="10" t="str">
        <x:v>Recharger ou passer à la mission suivante reflète les décisions antérieures sans recréer les chefs vaincus.</x:v>
      </x:c>
      <x:c r="J60" s="10" t="str">
        <x:v>AUD-032
AUD-043
AUD-047</x:v>
      </x:c>
      <x:c r="K60" s="10" t="str">
        <x:v>Adaptation de conception; aucun nouvel élément déclaré canon par cet audit.</x:v>
      </x:c>
      <x:c r="L60" s="10" t="str">
        <x:v>0f37cc52f9d8 : js/engine/StoryCampaign.js : lignes 3-71
0f37cc52f9d8 : js/main.js : lignes 137-145
1d52d9ff91db : js/engine/StoryCampaign.js : lignes 3-80</x:v>
      </x:c>
      <x:c r="M60"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60" s="24" t="str">
        <x:v>Terminé</x:v>
      </x:c>
    </x:row>
    <x:row r="61" ht="90" customHeight="1">
      <x:c r="A61" s="9" t="str">
        <x:v>AUD-055</x:v>
      </x:c>
      <x:c r="B61" s="9" t="str">
        <x:v>Level design</x:v>
      </x:c>
      <x:c r="C61" s="9" t="str">
        <x:v>Agrandir le terrain par des zones à fonctions distinctes</x:v>
      </x:c>
      <x:c r="D61" s="9" t="str">
        <x:v>P1</x:v>
      </x:c>
      <x:c r="E61" s="9" t="str">
        <x:v>À réconcilier</x:v>
      </x:c>
      <x:c r="F61" s="9" t="str">
        <x:v>Toutes les cartes partagent un sol 150 × 150 et une enceinte±70, malgré 10 habillages.</x:v>
      </x:c>
      <x:c r="G61" s="9" t="str">
        <x:v>Six secteurs 132 × 132 reliés; empreinte 302 × 642 ou inverse.</x:v>
      </x:c>
      <x:c r="H61" s="9" t="str">
        <x:v>Réutiliser le découpage validé et faire varier formes, surfaces et fonctions selon le lieu.</x:v>
      </x:c>
      <x:c r="I61" s="9" t="str">
        <x:v>Chaque zone a rôle, capacité, au moins deux repères et passages dimensionnés; les dimensions sont exprimées en unités tant que l’échelle n’est pas calibrée.</x:v>
      </x:c>
      <x:c r="J61" s="9" t="str">
        <x:v>AUD-001
AUD-041</x:v>
      </x:c>
      <x:c r="K61" s="9" t="str">
        <x:v>Adaptation de conception; aucun nouvel élément déclaré canon par cet audit.</x:v>
      </x:c>
      <x:c r="L61" s="9" t="str">
        <x:v>0f37cc52f9d8 : js/entities/Environment.js : lignes 947-1042
1d52d9ff91db : js/data/BattlefieldLayouts.js : lignes 1-61</x:v>
      </x:c>
      <x:c r="M61" s="22" t="str">
        <x:v>https://github.com/darknigthmare/Yautja-hive-warriors/blob/0f37cc52f9d83a4abecc17b80f7bfc67701677cf/js/entities/Environment.js#L947-L1042
https://github.com/darknigthmare/Yautja-hive-warriors/blob/1d52d9ff91dbe85c08256f44f8b72086ab65200a/js/data/BattlefieldLayouts.js#L1-L61</x:v>
      </x:c>
      <x:c r="N61" s="24" t="str">
        <x:v>À valider</x:v>
      </x:c>
    </x:row>
    <x:row r="62" ht="90" customHeight="1">
      <x:c r="A62" s="10" t="str">
        <x:v>AUD-056</x:v>
      </x:c>
      <x:c r="B62" s="10" t="str">
        <x:v>Level design</x:v>
      </x:c>
      <x:c r="C62" s="10" t="str">
        <x:v>Varier les topologies selon le biome</x:v>
      </x:c>
      <x:c r="D62" s="10" t="str">
        <x:v>P1</x:v>
      </x:c>
      <x:c r="E62" s="10" t="str">
        <x:v>À créer</x:v>
      </x:c>
      <x:c r="F62" s="10" t="str">
        <x:v>Les cartes ont la même enceinte carrée.</x:v>
      </x:c>
      <x:c r="G62" s="10" t="str">
        <x:v>Le même tracé de six cases est tourné ou réfléchi selon biome.</x:v>
      </x:c>
      <x:c r="H62" s="10" t="str">
        <x:v>Créer canyon ramifié, complexe à anneaux, ville verticale, jungle à vallées et ruche organique.</x:v>
      </x:c>
      <x:c r="I62" s="10" t="str">
        <x:v>Deux biomes n’ont pas simplement le même chemin tourné; leurs routes et objectifs changent l’approche tactique.</x:v>
      </x:c>
      <x:c r="J62" s="10" t="str">
        <x:v>AUD-055</x:v>
      </x:c>
      <x:c r="K62" s="10" t="str">
        <x:v>Adaptation de conception; aucun nouvel élément déclaré canon par cet audit.</x:v>
      </x:c>
      <x:c r="L62" s="10" t="str">
        <x:v>0f37cc52f9d8 : js/entities/Environment.js : lignes 947-1042
1d52d9ff91db : js/data/BattlefieldLayouts.js : lignes 1-61</x:v>
      </x:c>
      <x:c r="M62" s="23" t="str">
        <x:v>https://github.com/darknigthmare/Yautja-hive-warriors/blob/0f37cc52f9d83a4abecc17b80f7bfc67701677cf/js/entities/Environment.js#L947-L1042
https://github.com/darknigthmare/Yautja-hive-warriors/blob/1d52d9ff91dbe85c08256f44f8b72086ab65200a/js/data/BattlefieldLayouts.js#L1-L61</x:v>
      </x:c>
      <x:c r="N62" s="24" t="str">
        <x:v>Terminé</x:v>
      </x:c>
    </x:row>
    <x:row r="63" ht="90" customHeight="1">
      <x:c r="A63" s="9" t="str">
        <x:v>AUD-057</x:v>
      </x:c>
      <x:c r="B63" s="9" t="str">
        <x:v>Level design</x:v>
      </x:c>
      <x:c r="C63" s="9" t="str">
        <x:v>Définir des échelles de bataille compatibles avec le lieu</x:v>
      </x:c>
      <x:c r="D63" s="9" t="str">
        <x:v>P1</x:v>
      </x:c>
      <x:c r="E63" s="9" t="str">
        <x:v>À créer</x:v>
      </x:c>
      <x:c r="F63" s="9" t="str">
        <x:v>Même taille et même logique de vagues pour forêt, station et pyramide, avec de nombreuses installations communes.</x:v>
      </x:c>
      <x:c r="G63" s="9" t="str">
        <x:v>Dimensions identiques des secteurs dans tous les biomes.</x:v>
      </x:c>
      <x:c r="H63" s="9" t="str">
        <x:v>Créer formats escarmouche, opération, bataille et siège; préserver la compacité plausible des intérieurs.</x:v>
      </x:c>
      <x:c r="I63" s="9" t="str">
        <x:v>Les grandes cartes possèdent distance, densité et temps de déplacement justifiés; aucun couloir de station n’accueille une armée impossible.</x:v>
      </x:c>
      <x:c r="J63" s="9" t="str">
        <x:v>AUD-010
AUD-055</x:v>
      </x:c>
      <x:c r="K63" s="9" t="str">
        <x:v>Adaptation de conception; aucun nouvel élément déclaré canon par cet audit.</x:v>
      </x:c>
      <x:c r="L63" s="9" t="str">
        <x:v>0f37cc52f9d8 : js/data/levelsData.js : lignes 3-184
1d52d9ff91db : js/data/BattlefieldLayouts.js : lignes 4-19</x:v>
      </x:c>
      <x:c r="M63" s="22" t="str">
        <x:v>https://github.com/darknigthmare/Yautja-hive-warriors/blob/0f37cc52f9d83a4abecc17b80f7bfc67701677cf/js/data/levelsData.js#L3-L184
https://github.com/darknigthmare/Yautja-hive-warriors/blob/1d52d9ff91dbe85c08256f44f8b72086ab65200a/js/data/BattlefieldLayouts.js#L4-L19</x:v>
      </x:c>
      <x:c r="N63" s="24" t="str">
        <x:v>En cours</x:v>
      </x:c>
    </x:row>
    <x:row r="64" ht="90" customHeight="1">
      <x:c r="A64" s="10" t="str">
        <x:v>AUD-058</x:v>
      </x:c>
      <x:c r="B64" s="10" t="str">
        <x:v>Level design</x:v>
      </x:c>
      <x:c r="C64" s="10" t="str">
        <x:v>Établir une grammaire d’assemblage modulaire</x:v>
      </x:c>
      <x:c r="D64" s="10" t="str">
        <x:v>P2</x:v>
      </x:c>
      <x:c r="E64" s="10" t="str">
        <x:v>À créer</x:v>
      </x:c>
      <x:c r="F64" s="10" t="str">
        <x:v>Props et positions sont codés dans EnvironmentManager; nombreuses constructions communes.</x:v>
      </x:c>
      <x:c r="G64" s="10" t="str">
        <x:v>Les secteurs sont déterministes et les modèles réutilisés, mais pas de générateur de topologies variables.</x:v>
      </x:c>
      <x:c r="H64" s="10" t="str">
        <x:v>Définir modules, connecteurs, biomes autorisés, gabarits, réseaux et contraintes de raccordement.</x:v>
      </x:c>
      <x:c r="I64" s="10" t="str">
        <x:v>Des graines différentes produisent des cartes jouables différentes, avec chemins complets et décors compatibles.</x:v>
      </x:c>
      <x:c r="J64" s="10" t="str">
        <x:v>AUD-055
AUD-056</x:v>
      </x:c>
      <x:c r="K64" s="10" t="str">
        <x:v>Adaptation de conception; aucun nouvel élément déclaré canon par cet audit.</x:v>
      </x:c>
      <x:c r="L64" s="10" t="str">
        <x:v>0f37cc52f9d8 : js/entities/Environment.js : lignes 947-1042
1d52d9ff91db : js/data/BattlefieldLayouts.js : lignes 1-61</x:v>
      </x:c>
      <x:c r="M64" s="23" t="str">
        <x:v>https://github.com/darknigthmare/Yautja-hive-warriors/blob/0f37cc52f9d83a4abecc17b80f7bfc67701677cf/js/entities/Environment.js#L947-L1042
https://github.com/darknigthmare/Yautja-hive-warriors/blob/1d52d9ff91dbe85c08256f44f8b72086ab65200a/js/data/BattlefieldLayouts.js#L1-L61</x:v>
      </x:c>
      <x:c r="N64" s="24" t="str">
        <x:v>En cours</x:v>
      </x:c>
    </x:row>
    <x:row r="65" ht="90" customHeight="1">
      <x:c r="A65" s="9" t="str">
        <x:v>AUD-059</x:v>
      </x:c>
      <x:c r="B65" s="9" t="str">
        <x:v>Level design</x:v>
      </x:c>
      <x:c r="C65" s="9" t="str">
        <x:v>Conserver des ancrages fixes pour les lieux iconiques</x:v>
      </x:c>
      <x:c r="D65" s="9" t="str">
        <x:v>P1</x:v>
      </x:c>
      <x:c r="E65" s="9" t="str">
        <x:v>Partiel</x:v>
      </x:c>
      <x:c r="F65" s="9" t="str">
        <x:v>Des accessoires et lieux nommés sont présents dans les dix cartes.</x:v>
      </x:c>
      <x:c r="G65" s="9" t="str">
        <x:v>Les secteurs additionnels utilisent une conception locale documentée.</x:v>
      </x:c>
      <x:c r="H65" s="9" t="str">
        <x:v>Fixer volumes et relations spatiales prouvés pour les lieux iconiques; varier seulement les extensions compatibles.</x:v>
      </x:c>
      <x:c r="I65" s="9" t="str">
        <x:v>Chaque zone distingue reproduction documentée et extension originale; une variation ne déplace pas arbitrairement un repère essentiel.</x:v>
      </x:c>
      <x:c r="J65" s="9" t="str">
        <x:v>AUD-008
AUD-058</x:v>
      </x:c>
      <x:c r="K65" s="9" t="str">
        <x:v>Fidélité quasi 1:1 impose une carte de référence et une vérification visuelle, pas seulement un nom de lieu.</x:v>
      </x:c>
      <x:c r="L65" s="9" t="str">
        <x:v>0f37cc52f9d8 : js/data/levelsData.js : lignes 3-184
1d52d9ff91db : js/data/BattlefieldLayouts.js : lignes 4-19</x:v>
      </x:c>
      <x:c r="M65" s="22" t="str">
        <x:v>https://github.com/darknigthmare/Yautja-hive-warriors/blob/0f37cc52f9d83a4abecc17b80f7bfc67701677cf/js/data/levelsData.js#L3-L184
https://github.com/darknigthmare/Yautja-hive-warriors/blob/1d52d9ff91dbe85c08256f44f8b72086ab65200a/js/data/BattlefieldLayouts.js#L4-L19</x:v>
      </x:c>
      <x:c r="N65" s="24" t="str">
        <x:v>En cours</x:v>
      </x:c>
    </x:row>
    <x:row r="66" ht="90" customHeight="1">
      <x:c r="A66" s="10" t="str">
        <x:v>AUD-060</x:v>
      </x:c>
      <x:c r="B66" s="10" t="str">
        <x:v>Level design</x:v>
      </x:c>
      <x:c r="C66" s="10" t="str">
        <x:v>Filtrer les installations par cohérence de lieu</x:v>
      </x:c>
      <x:c r="D66" s="10" t="str">
        <x:v>P1</x:v>
      </x:c>
      <x:c r="E66" s="10" t="str">
        <x:v>À corriger</x:v>
      </x:c>
      <x:c r="F66" s="10" t="str">
        <x:v>Dans main, de nombreux objets sont construits sur tous les biomes: Space Jockey, couvoir, APC, réacteur et laboratoires.</x:v>
      </x:c>
      <x:c r="G66" s="10" t="str">
        <x:v>La branche validée réduit la surface et dispose de variantes de décor mais reste à rapprocher des ajouts v65.</x:v>
      </x:c>
      <x:c r="H66" s="10" t="str">
        <x:v>Définir listes de props et systèmes autorisés par carte; justifier toute présence extraterrestre ou industrielle.</x:v>
      </x:c>
      <x:c r="I66" s="10" t="str">
        <x:v>La jungle 1987 ne reçoit pas automatiquement un laboratoire spatial ou une matriarche; les exceptions sont des missions alternatives identifiées.</x:v>
      </x:c>
      <x:c r="J66" s="10" t="str">
        <x:v>AUD-001
AUD-029
AUD-059</x:v>
      </x:c>
      <x:c r="K66" s="10" t="str">
        <x:v>Adaptation de conception; aucun nouvel élément déclaré canon par cet audit.</x:v>
      </x:c>
      <x:c r="L66" s="10" t="str">
        <x:v>0f37cc52f9d8 : js/entities/Environment.js : lignes 1047-1311
1d52d9ff91db : docs/SECTOR-ARCHITECTURE.md : lignes 1-60</x:v>
      </x:c>
      <x:c r="M66" s="23" t="str">
        <x:v>https://github.com/darknigthmare/Yautja-hive-warriors/blob/0f37cc52f9d83a4abecc17b80f7bfc67701677cf/js/entities/Environment.js#L1047-L1311
https://github.com/darknigthmare/Yautja-hive-warriors/blob/1d52d9ff91dbe85c08256f44f8b72086ab65200a/docs/SECTOR-ARCHITECTURE.md#L1-L60</x:v>
      </x:c>
      <x:c r="N66" s="24" t="str">
        <x:v>À valider</x:v>
      </x:c>
    </x:row>
    <x:row r="67" ht="211.5" customHeight="1">
      <x:c r="A67" s="9" t="str">
        <x:v>AUD-061</x:v>
      </x:c>
      <x:c r="B67" s="9" t="str">
        <x:v>Level design</x:v>
      </x:c>
      <x:c r="C67" s="9" t="str">
        <x:v>Rendre solides les volumes de décor pertinents</x:v>
      </x:c>
      <x:c r="D67" s="9" t="str">
        <x:v>P0</x:v>
      </x:c>
      <x:c r="E67" s="9" t="str">
        <x:v>À réconcilier</x:v>
      </x:c>
      <x:c r="F67" s="9" t="str">
        <x:v>Player.move ajoute la position directement; murs visuels et nombreux props n’ont pas une résolution générale. La branche nommée cougarPineBough est un tronc et une plateforme à y=5,2 ; elle ne crée pas de puma et n’est pas reliée explicitement à getElevationAt.</x:v>
      </x:c>
      <x:c r="G67" s="9" t="str">
        <x:v>Colliders tournés, ellipses, résolution des mouvements et portes sont implémentés.</x:v>
      </x:c>
      <x:c r="H67" s="9" t="str">
        <x:v>Conserver cette physique et étendre les proxies aux ajouts v65 selon leur géométrie réelle.</x:v>
      </x:c>
      <x:c r="I67" s="9" t="str">
        <x:v>Joueurs, alliés et ennemis heurtent les mêmes volumes; les espaces sous les abris restent franchissables.</x:v>
      </x:c>
      <x:c r="J67" s="9" t="str">
        <x:v>AUD-001
AUD-060</x:v>
      </x:c>
      <x:c r="K67" s="9" t="str">
        <x:v>Adaptation de conception; aucun nouvel élément déclaré canon par cet audit.</x:v>
      </x:c>
      <x:c r="L67" s="9" t="str">
        <x:v>0f37cc52f9d8 : js/entities/Player.js : lignes 1527-1563
0f37cc52f9d8 : js/entities/YautjaAllies.js : lignes 116-173
1d52d9ff91db : docs/BATTLEFIELDS.md : lignes 21-34
0f37cc52f9d8 : js/entities/Environment.js : lignes 15421-15439
0f37cc52f9d8 : js/entities/Environment.js : lignes 2123-2602</x:v>
      </x:c>
      <x:c r="M67" s="22"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
https://github.com/darknigthmare/Yautja-hive-warriors/blob/0f37cc52f9d83a4abecc17b80f7bfc67701677cf/js/entities/Environment.js#L15421-L15439
https://github.com/darknigthmare/Yautja-hive-warriors/blob/0f37cc52f9d83a4abecc17b80f7bfc67701677cf/js/entities/Environment.js#L2123-L2602</x:v>
      </x:c>
      <x:c r="N67" s="24" t="str">
        <x:v>Terminé</x:v>
      </x:c>
    </x:row>
    <x:row r="68" ht="130.5" customHeight="1">
      <x:c r="A68" s="10" t="str">
        <x:v>AUD-062</x:v>
      </x:c>
      <x:c r="B68" s="10" t="str">
        <x:v>Level design</x:v>
      </x:c>
      <x:c r="C68" s="10" t="str">
        <x:v>Ajouter une navigation des groupes à grande échelle</x:v>
      </x:c>
      <x:c r="D68" s="10" t="str">
        <x:v>P1</x:v>
      </x:c>
      <x:c r="E68" s="10" t="str">
        <x:v>À créer</x:v>
      </x:c>
      <x:c r="F68" s="10" t="str">
        <x:v>Poursuite en ligne droite; aucune recherche de route commune.</x:v>
      </x:c>
      <x:c r="G68" s="10" t="str">
        <x:v>Résolution locale des agents et obstacles existe pour le réseau de secteurs.</x:v>
      </x:c>
      <x:c r="H68" s="10" t="str">
        <x:v>Ajouter navigation hiérarchique entre zones, corridors et position locale, recalculée lors des destructions.</x:v>
      </x:c>
      <x:c r="I68" s="10" t="str">
        <x:v>Un groupe contourne un obstacle, choisit un autre passage et atteint un objectif distant sans traverser les murs.</x:v>
      </x:c>
      <x:c r="J68" s="10" t="str">
        <x:v>AUD-041
AUD-061</x:v>
      </x:c>
      <x:c r="K68" s="10" t="str">
        <x:v>Adaptation de conception; aucun nouvel élément déclaré canon par cet audit.</x:v>
      </x:c>
      <x:c r="L68" s="10" t="str">
        <x:v>0f37cc52f9d8 : js/entities/Player.js : lignes 1527-1563
0f37cc52f9d8 : js/entities/YautjaAllies.js : lignes 116-173
1d52d9ff91db : docs/BATTLEFIELDS.md : lignes 21-34</x:v>
      </x:c>
      <x:c r="M68"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68" s="24" t="str">
        <x:v>Terminé</x:v>
      </x:c>
    </x:row>
    <x:row r="69" ht="130.5" customHeight="1">
      <x:c r="A69" s="9" t="str">
        <x:v>AUD-063</x:v>
      </x:c>
      <x:c r="B69" s="9" t="str">
        <x:v>Level design</x:v>
      </x:c>
      <x:c r="C69" s="9" t="str">
        <x:v>Gérer l’encombrement aux portes et ponts</x:v>
      </x:c>
      <x:c r="D69" s="9" t="str">
        <x:v>P1</x:v>
      </x:c>
      <x:c r="E69" s="9" t="str">
        <x:v>À créer</x:v>
      </x:c>
      <x:c r="F69" s="9" t="str">
        <x:v>Les ennemis convergent sans files ni notion de largeur exploitable.</x:v>
      </x:c>
      <x:c r="G69" s="9" t="str">
        <x:v>Les couloirs ont largeur 18 et des tests de franchissement, pas une capacité de flux de centaines d’agents.</x:v>
      </x:c>
      <x:c r="H69" s="9" t="str">
        <x:v>Gérer évitement, files, densité et unités larges sans bloquer les acteurs prioritaires.</x:v>
      </x:c>
      <x:c r="I69" s="9" t="str">
        <x:v>Un flot d’assaut traverse un goulet et une évacuation inverse reste possible; aucun blocage prolongé.</x:v>
      </x:c>
      <x:c r="J69" s="9" t="str">
        <x:v>AUD-010
AUD-062</x:v>
      </x:c>
      <x:c r="K69" s="9" t="str">
        <x:v>Adaptation de conception; aucun nouvel élément déclaré canon par cet audit.</x:v>
      </x:c>
      <x:c r="L69" s="9" t="str">
        <x:v>0f37cc52f9d8 : js/entities/Player.js : lignes 1527-1563
0f37cc52f9d8 : js/entities/YautjaAllies.js : lignes 116-173
1d52d9ff91db : docs/BATTLEFIELDS.md : lignes 21-34</x:v>
      </x:c>
      <x:c r="M69" s="22"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69" s="24" t="str">
        <x:v>À valider</x:v>
      </x:c>
    </x:row>
    <x:row r="70" ht="130.5" customHeight="1">
      <x:c r="A70" s="10" t="str">
        <x:v>AUD-064</x:v>
      </x:c>
      <x:c r="B70" s="10" t="str">
        <x:v>Level design</x:v>
      </x:c>
      <x:c r="C70" s="10" t="str">
        <x:v>Rendre la verticalité tactiquement utilisable</x:v>
      </x:c>
      <x:c r="D70" s="10" t="str">
        <x:v>P1</x:v>
      </x:c>
      <x:c r="E70" s="10" t="str">
        <x:v>Partiel</x:v>
      </x:c>
      <x:c r="F70" s="10" t="str">
        <x:v>Passerelles et rampes avec getElevationAt existent; hostiles majoritairement au sol.</x:v>
      </x:c>
      <x:c r="G70" s="10" t="str">
        <x:v>La branche validée privilégie le planY0; les docs excluent un système d’étages complet.</x:v>
      </x:c>
      <x:c r="H70" s="10" t="str">
        <x:v>Prévoir étages reliés, postes d’appui, contournements et règles d’accès spécifiques xénos/Yautja/humains.</x:v>
      </x:c>
      <x:c r="I70" s="10" t="str">
        <x:v>Les IA utilisent les bons accès; les tirs et sauts respectent hauteur, plafonds et visibilité.</x:v>
      </x:c>
      <x:c r="J70" s="10" t="str">
        <x:v>AUD-061
AUD-062</x:v>
      </x:c>
      <x:c r="K70" s="10" t="str">
        <x:v>Adaptation de conception; aucun nouvel élément déclaré canon par cet audit.</x:v>
      </x:c>
      <x:c r="L70" s="10" t="str">
        <x:v>0f37cc52f9d8 : js/entities/Player.js : lignes 1527-1563
0f37cc52f9d8 : js/entities/YautjaAllies.js : lignes 116-173
1d52d9ff91db : docs/BATTLEFIELDS.md : lignes 21-34</x:v>
      </x:c>
      <x:c r="M70"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70" s="24" t="str">
        <x:v>En cours</x:v>
      </x:c>
    </x:row>
    <x:row r="71" ht="90" customHeight="1">
      <x:c r="A71" s="9" t="str">
        <x:v>AUD-065</x:v>
      </x:c>
      <x:c r="B71" s="9" t="str">
        <x:v>Level design</x:v>
      </x:c>
      <x:c r="C71" s="9" t="str">
        <x:v>Lier destruction et contrôle du terrain</x:v>
      </x:c>
      <x:c r="D71" s="9" t="str">
        <x:v>P1</x:v>
      </x:c>
      <x:c r="E71" s="9" t="str">
        <x:v>Partiel</x:v>
      </x:c>
      <x:c r="F71" s="9" t="str">
        <x:v>Portes, passerelles, explosifs et mécanismes de dégâts existent dans main.</x:v>
      </x:c>
      <x:c r="G71" s="9" t="str">
        <x:v>Les sas contrôlent effectivement progression et collisions.</x:v>
      </x:c>
      <x:c r="H71" s="9" t="str">
        <x:v>Faire des destructions des ouvertures ou fermetures d’itinéraires avec conséquence sur groupes et objectifs.</x:v>
      </x:c>
      <x:c r="I71" s="9" t="str">
        <x:v>Détruire un pont modifie les trajets des deux camps et ne laisse ni collision fantôme ni chemin invalide.</x:v>
      </x:c>
      <x:c r="J71" s="9" t="str">
        <x:v>AUD-043
AUD-062</x:v>
      </x:c>
      <x:c r="K71" s="9" t="str">
        <x:v>Adaptation de conception; aucun nouvel élément déclaré canon par cet audit.</x:v>
      </x:c>
      <x:c r="L71" s="9" t="str">
        <x:v>0f37cc52f9d8 : js/entities/Environment.js : lignes 1047-1311
1d52d9ff91db : docs/SECTOR-ARCHITECTURE.md : lignes 1-60</x:v>
      </x:c>
      <x:c r="M71" s="22" t="str">
        <x:v>https://github.com/darknigthmare/Yautja-hive-warriors/blob/0f37cc52f9d83a4abecc17b80f7bfc67701677cf/js/entities/Environment.js#L1047-L1311
https://github.com/darknigthmare/Yautja-hive-warriors/blob/1d52d9ff91dbe85c08256f44f8b72086ab65200a/docs/SECTOR-ARCHITECTURE.md#L1-L60</x:v>
      </x:c>
      <x:c r="N71" s="24" t="str">
        <x:v>Terminé</x:v>
      </x:c>
    </x:row>
    <x:row r="72" ht="117" customHeight="1">
      <x:c r="A72" s="10" t="str">
        <x:v>AUD-066</x:v>
      </x:c>
      <x:c r="B72" s="10" t="str">
        <x:v>Level design</x:v>
      </x:c>
      <x:c r="C72" s="10" t="str">
        <x:v>Dimensionner des espaces spécifiques aux boss</x:v>
      </x:c>
      <x:c r="D72" s="10" t="str">
        <x:v>P1</x:v>
      </x:c>
      <x:c r="E72" s="10" t="str">
        <x:v>À créer</x:v>
      </x:c>
      <x:c r="F72" s="10" t="str">
        <x:v>Boss naît à 25 unités du joueur quelle que soit sa taille ou le décor.</x:v>
      </x:c>
      <x:c r="G72" s="10" t="str">
        <x:v>Un point final défini par secteur existe, sans gabarit propre à chaque boss v65.</x:v>
      </x:c>
      <x:c r="H72" s="10" t="str">
        <x:v>Associer chaque boss à une emprise, une hauteur libre, des refuges et des voies de renfort mesurées.</x:v>
      </x:c>
      <x:c r="I72" s="10" t="str">
        <x:v>Aucune attaque ou caméra traverse un volume majeur; le joueur peut lire le boss et se déplacer durant toutes ses phases.</x:v>
      </x:c>
      <x:c r="J72" s="10" t="str">
        <x:v>AUD-055
AUD-061</x:v>
      </x:c>
      <x:c r="K72" s="10" t="str">
        <x:v>Adaptation de conception; aucun nouvel élément déclaré canon par cet audit.</x:v>
      </x:c>
      <x:c r="L72" s="10" t="str">
        <x:v>0f37cc52f9d8 : js/entities/Bosses.js : lignes 5-82
0f37cc52f9d8 : js/main.js : lignes 3737-3769
1d52d9ff91db : js/engine/BattlefieldMission.js : lignes 102-118</x:v>
      </x:c>
      <x:c r="M72"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2" s="24" t="str">
        <x:v>À valider</x:v>
      </x:c>
    </x:row>
    <x:row r="73" ht="90" customHeight="1">
      <x:c r="A73" s="9" t="str">
        <x:v>AUD-067</x:v>
      </x:c>
      <x:c r="B73" s="9" t="str">
        <x:v>Level design</x:v>
      </x:c>
      <x:c r="C73" s="9" t="str">
        <x:v>Guider par le décor et les lignes de vue</x:v>
      </x:c>
      <x:c r="D73" s="9" t="str">
        <x:v>P2</x:v>
      </x:c>
      <x:c r="E73" s="9" t="str">
        <x:v>Partiel</x:v>
      </x:c>
      <x:c r="F73" s="9" t="str">
        <x:v>Nombreux accessoires et effets se partagent la petite arène.</x:v>
      </x:c>
      <x:c r="G73" s="9" t="str">
        <x:v>Architecture sectorielle crée repères centraux et voies dégagées.</x:v>
      </x:c>
      <x:c r="H73" s="9" t="str">
        <x:v>Organiser silhouettes, lumière et volumes autour des routes, points hauts et objectifs; contrôler occultations.</x:v>
      </x:c>
      <x:c r="I73" s="9" t="str">
        <x:v>Un joueur peut repérer la route principale et un contournement sans suivre uniquement un marqueur HUD.</x:v>
      </x:c>
      <x:c r="J73" s="9" t="str">
        <x:v>AUD-055
AUD-056</x:v>
      </x:c>
      <x:c r="K73" s="9" t="str">
        <x:v>Adaptation de conception; aucun nouvel élément déclaré canon par cet audit.</x:v>
      </x:c>
      <x:c r="L73" s="9" t="str">
        <x:v>0f37cc52f9d8 : js/entities/Environment.js : lignes 1047-1311
1d52d9ff91db : docs/SECTOR-ARCHITECTURE.md : lignes 1-60</x:v>
      </x:c>
      <x:c r="M73" s="22" t="str">
        <x:v>https://github.com/darknigthmare/Yautja-hive-warriors/blob/0f37cc52f9d83a4abecc17b80f7bfc67701677cf/js/entities/Environment.js#L1047-L1311
https://github.com/darknigthmare/Yautja-hive-warriors/blob/1d52d9ff91dbe85c08256f44f8b72086ab65200a/docs/SECTOR-ARCHITECTURE.md#L1-L60</x:v>
      </x:c>
      <x:c r="N73" s="24" t="str">
        <x:v>À valider</x:v>
      </x:c>
    </x:row>
    <x:row r="74" ht="130.5" customHeight="1">
      <x:c r="A74" s="10" t="str">
        <x:v>AUD-068</x:v>
      </x:c>
      <x:c r="B74" s="10" t="str">
        <x:v>Level design</x:v>
      </x:c>
      <x:c r="C74" s="10" t="str">
        <x:v>Adapter transports et déplacements aux grandes distances</x:v>
      </x:c>
      <x:c r="D74" s="10" t="str">
        <x:v>P2</x:v>
      </x:c>
      <x:c r="E74" s="10" t="str">
        <x:v>Partiel</x:v>
      </x:c>
      <x:c r="F74" s="10" t="str">
        <x:v>Skimmer, sauts et APC existent dans une arène compacte.</x:v>
      </x:c>
      <x:c r="G74" s="10" t="str">
        <x:v>Skimmer et soutien APC suivent la progression des secteurs.</x:v>
      </x:c>
      <x:c r="H74" s="10" t="str">
        <x:v>Définir pistes praticables, points d’embarquement et vitesse utile; garder les déplacements tactiques intéressants.</x:v>
      </x:c>
      <x:c r="I74" s="10" t="str">
        <x:v>Traverser une grande carte n’est ni une longue course vide ni une téléportation qui annule la menace d’un front.</x:v>
      </x:c>
      <x:c r="J74" s="10" t="str">
        <x:v>AUD-039
AUD-057
AUD-062</x:v>
      </x:c>
      <x:c r="K74" s="10" t="str">
        <x:v>Adaptation de conception; aucun nouvel élément déclaré canon par cet audit.</x:v>
      </x:c>
      <x:c r="L74" s="10" t="str">
        <x:v>0f37cc52f9d8 : js/entities/Player.js : lignes 1527-1563
0f37cc52f9d8 : js/entities/YautjaAllies.js : lignes 116-173
1d52d9ff91db : docs/BATTLEFIELDS.md : lignes 21-34</x:v>
      </x:c>
      <x:c r="M74" s="23" t="str">
        <x:v>https://github.com/darknigthmare/Yautja-hive-warriors/blob/0f37cc52f9d83a4abecc17b80f7bfc67701677cf/js/entities/Player.js#L1527-L1563
https://github.com/darknigthmare/Yautja-hive-warriors/blob/0f37cc52f9d83a4abecc17b80f7bfc67701677cf/js/entities/YautjaAllies.js#L116-L173
https://github.com/darknigthmare/Yautja-hive-warriors/blob/1d52d9ff91dbe85c08256f44f8b72086ab65200a/docs/BATTLEFIELDS.md#L21-L34</x:v>
      </x:c>
      <x:c r="N74" s="24" t="str">
        <x:v>Terminé</x:v>
      </x:c>
    </x:row>
    <x:row r="75" ht="90" customHeight="1">
      <x:c r="A75" s="9" t="str">
        <x:v>AUD-069</x:v>
      </x:c>
      <x:c r="B75" s="9" t="str">
        <x:v>Level design</x:v>
      </x:c>
      <x:c r="C75" s="9" t="str">
        <x:v>Calibrer les dimensions des acteurs et des lieux</x:v>
      </x:c>
      <x:c r="D75" s="9" t="str">
        <x:v>P1</x:v>
      </x:c>
      <x:c r="E75" s="9" t="str">
        <x:v>À valider</x:v>
      </x:c>
      <x:c r="F75" s="9" t="str">
        <x:v>Commentaires parlent de mètres, tandis que sol et personnages utilisent des tailles arbitraires.</x:v>
      </x:c>
      <x:c r="G75" s="9" t="str">
        <x:v>Les docs précisent que les coordonnées sont des unités du jeu, sans preuve de dimensions réelles.</x:v>
      </x:c>
      <x:c r="H75" s="9" t="str">
        <x:v>Fixer convention d’unité et mesurer références humaines, Yautja, xéno, portes et véhicules avant promesse quasi 1:1.</x:v>
      </x:c>
      <x:c r="I75" s="9" t="str">
        <x:v>Un tableau de mesures prouve les rapports d’échelle; chaque exception artistique est documentée.</x:v>
      </x:c>
      <x:c r="J75" s="9" t="str">
        <x:v>AUD-008
AUD-059</x:v>
      </x:c>
      <x:c r="K75" s="9" t="str">
        <x:v>Adaptation de conception; aucun nouvel élément déclaré canon par cet audit.</x:v>
      </x:c>
      <x:c r="L75" s="9" t="str">
        <x:v>0f37cc52f9d8 : js/entities/Environment.js : lignes 947-1042
1d52d9ff91db : js/data/BattlefieldLayouts.js : lignes 1-61</x:v>
      </x:c>
      <x:c r="M75" s="22" t="str">
        <x:v>https://github.com/darknigthmare/Yautja-hive-warriors/blob/0f37cc52f9d83a4abecc17b80f7bfc67701677cf/js/entities/Environment.js#L947-L1042
https://github.com/darknigthmare/Yautja-hive-warriors/blob/1d52d9ff91dbe85c08256f44f8b72086ab65200a/js/data/BattlefieldLayouts.js#L1-L61</x:v>
      </x:c>
      <x:c r="N75" s="24" t="str">
        <x:v>En cours</x:v>
      </x:c>
    </x:row>
    <x:row r="76" ht="90" customHeight="1">
      <x:c r="A76" s="10" t="str">
        <x:v>AUD-070</x:v>
      </x:c>
      <x:c r="B76" s="10" t="str">
        <x:v>Level design</x:v>
      </x:c>
      <x:c r="C76" s="10" t="str">
        <x:v>Valider la densité utile de chaque grande zone</x:v>
      </x:c>
      <x:c r="D76" s="10" t="str">
        <x:v>P2</x:v>
      </x:c>
      <x:c r="E76" s="10" t="str">
        <x:v>À créer</x:v>
      </x:c>
      <x:c r="F76" s="10" t="str">
        <x:v>Aucun indicateur ne relie surface, durée de parcours et nombre de groupes.</x:v>
      </x:c>
      <x:c r="G76" s="10" t="str">
        <x:v>Les secteurs partagent une taille fixe et des quotas 18–38.</x:v>
      </x:c>
      <x:c r="H76" s="10" t="str">
        <x:v>Associer à chaque zone surface jouable, capacité de groupes, couverture, routes et temps de traversée.</x:v>
      </x:c>
      <x:c r="I76" s="10" t="str">
        <x:v>La mesure distingue zones calmes, fronts denses et points de décision; aucune grande extension ne reste vide sans fonction.</x:v>
      </x:c>
      <x:c r="J76" s="10" t="str">
        <x:v>AUD-009
AUD-055
AUD-057</x:v>
      </x:c>
      <x:c r="K76" s="10" t="str">
        <x:v>Adaptation de conception; aucun nouvel élément déclaré canon par cet audit.</x:v>
      </x:c>
      <x:c r="L76" s="10" t="str">
        <x:v>0f37cc52f9d8 : js/entities/Environment.js : lignes 947-1042
1d52d9ff91db : js/data/BattlefieldLayouts.js : lignes 1-61</x:v>
      </x:c>
      <x:c r="M76" s="23" t="str">
        <x:v>https://github.com/darknigthmare/Yautja-hive-warriors/blob/0f37cc52f9d83a4abecc17b80f7bfc67701677cf/js/entities/Environment.js#L947-L1042
https://github.com/darknigthmare/Yautja-hive-warriors/blob/1d52d9ff91dbe85c08256f44f8b72086ab65200a/js/data/BattlefieldLayouts.js#L1-L61</x:v>
      </x:c>
      <x:c r="N76" s="24" t="str">
        <x:v>En cours</x:v>
      </x:c>
    </x:row>
    <x:row r="77" ht="117" customHeight="1">
      <x:c r="A77" s="9" t="str">
        <x:v>AUD-071</x:v>
      </x:c>
      <x:c r="B77" s="9" t="str">
        <x:v>Boss et mini-boss</x:v>
      </x:c>
      <x:c r="C77" s="9" t="str">
        <x:v>Corriger les modèles des boss sélectionnés</x:v>
      </x:c>
      <x:c r="D77" s="9" t="str">
        <x:v>P0</x:v>
      </x:c>
      <x:c r="E77" s="9" t="str">
        <x:v>À réconcilier</x:v>
      </x:c>
      <x:c r="F77" s="9" t="str">
        <x:v>predalien (LA) et praetorian (ValVerde) ne sont pas distingués dans createBossMesh; ils tombent sur la base générique de reine.</x:v>
      </x:c>
      <x:c r="G77" s="9" t="str">
        <x:v>Le mapping explicite de ces deux IDs vers leurs créatures existe dans Bosses.js.</x:v>
      </x:c>
      <x:c r="H77" s="9" t="str">
        <x:v>Unifier registre ID, modèle, animation, capacités, taille et lieu; refuser un ID inconnu.</x:v>
      </x:c>
      <x:c r="I77" s="9" t="str">
        <x:v>Les 10 cartes génèrent leur boss annoncé et une erreur de configuration est détectée avant la partie.</x:v>
      </x:c>
      <x:c r="J77" s="9" t="str">
        <x:v>AUD-001</x:v>
      </x:c>
      <x:c r="K77" s="9" t="str">
        <x:v>Adaptation de conception; aucun nouvel élément déclaré canon par cet audit.</x:v>
      </x:c>
      <x:c r="L77" s="9" t="str">
        <x:v>0f37cc52f9d8 : js/entities/Bosses.js : lignes 5-82
0f37cc52f9d8 : js/main.js : lignes 3737-3769
1d52d9ff91db : js/engine/BattlefieldMission.js : lignes 102-118</x:v>
      </x:c>
      <x:c r="M77"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7" s="24" t="str">
        <x:v>À valider</x:v>
      </x:c>
    </x:row>
    <x:row r="78" ht="117" customHeight="1">
      <x:c r="A78" s="10" t="str">
        <x:v>AUD-072</x:v>
      </x:c>
      <x:c r="B78" s="10" t="str">
        <x:v>Boss et mini-boss</x:v>
      </x:c>
      <x:c r="C78" s="10" t="str">
        <x:v>Respecter le boss propre à la mission</x:v>
      </x:c>
      <x:c r="D78" s="10" t="str">
        <x:v>P1</x:v>
      </x:c>
      <x:c r="E78" s="10" t="str">
        <x:v>À corriger</x:v>
      </x:c>
      <x:c r="F78" s="10" t="str">
        <x:v>La cinquième vague force predalien_matriarch_titan même dans un niveau doté d’un autre bossType.</x:v>
      </x:c>
      <x:c r="G78" s="10" t="str">
        <x:v>La mission finale lit le bossType de son niveau.</x:v>
      </x:c>
      <x:c r="H78" s="10" t="str">
        <x:v>Retirer le remplacement global et réserver chaque boss à son scénario.</x:v>
      </x:c>
      <x:c r="I78" s="10" t="str">
        <x:v>Gunnison, pyramide, Stargazer et Renaissance finissent avec leur rencontre définie; aucune substitution silencieuse.</x:v>
      </x:c>
      <x:c r="J78" s="10" t="str">
        <x:v>AUD-006
AUD-071</x:v>
      </x:c>
      <x:c r="K78" s="10" t="str">
        <x:v>Adaptation de conception; aucun nouvel élément déclaré canon par cet audit.</x:v>
      </x:c>
      <x:c r="L78" s="10" t="str">
        <x:v>0f37cc52f9d8 : js/entities/Bosses.js : lignes 5-82
0f37cc52f9d8 : js/main.js : lignes 3737-3769
1d52d9ff91db : js/engine/BattlefieldMission.js : lignes 102-118</x:v>
      </x:c>
      <x:c r="M78"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8" s="24" t="str">
        <x:v>Terminé</x:v>
      </x:c>
    </x:row>
    <x:row r="79" ht="117" customHeight="1">
      <x:c r="A79" s="9" t="str">
        <x:v>AUD-073</x:v>
      </x:c>
      <x:c r="B79" s="9" t="str">
        <x:v>Boss et mini-boss</x:v>
      </x:c>
      <x:c r="C79" s="9" t="str">
        <x:v>Permettre plusieurs officiers et mini-boss simultanés</x:v>
      </x:c>
      <x:c r="D79" s="9" t="str">
        <x:v>P1</x:v>
      </x:c>
      <x:c r="E79" s="9" t="str">
        <x:v>Partiel</x:v>
      </x:c>
      <x:c r="F79" s="9" t="str">
        <x:v>La horde contient des spéciaux simultanés, mais BossManager n’accepte qu’un activeBoss et remplace le précédent.</x:v>
      </x:c>
      <x:c r="G79" s="9" t="str">
        <x:v>Même unicité du boss principal; deux secteurs commandants restent séquentiels.</x:v>
      </x:c>
      <x:c r="H79" s="9" t="str">
        <x:v>Séparer registre de commandants/mini-boss par front et boss majeur de mission.</x:v>
      </x:c>
      <x:c r="I79" s="9" t="str">
        <x:v>Deux mini-boss sur deux fronts gardent chacun état et cible; faire apparaître le boss majeur n’en efface aucun.</x:v>
      </x:c>
      <x:c r="J79" s="9" t="str">
        <x:v>AUD-032
AUD-042</x:v>
      </x:c>
      <x:c r="K79" s="9" t="str">
        <x:v>Adaptation de conception; aucun nouvel élément déclaré canon par cet audit.</x:v>
      </x:c>
      <x:c r="L79" s="9" t="str">
        <x:v>0f37cc52f9d8 : js/entities/Bosses.js : lignes 5-82
0f37cc52f9d8 : js/main.js : lignes 3737-3769
1d52d9ff91db : js/engine/BattlefieldMission.js : lignes 102-118</x:v>
      </x:c>
      <x:c r="M79"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79" s="24" t="str">
        <x:v>À valider</x:v>
      </x:c>
    </x:row>
    <x:row r="80" ht="117" customHeight="1">
      <x:c r="A80" s="10" t="str">
        <x:v>AUD-074</x:v>
      </x:c>
      <x:c r="B80" s="10" t="str">
        <x:v>Boss et mini-boss</x:v>
      </x:c>
      <x:c r="C80" s="10" t="str">
        <x:v>Donner une fonction stratégique à chaque officier</x:v>
      </x:c>
      <x:c r="D80" s="10" t="str">
        <x:v>P1</x:v>
      </x:c>
      <x:c r="E80" s="10" t="str">
        <x:v>Partiel</x:v>
      </x:c>
      <x:c r="F80" s="10" t="str">
        <x:v>isOfficer procure un bonus de moral et une annonce.</x:v>
      </x:c>
      <x:c r="G80" s="10" t="str">
        <x:v>Un commandant ouvre la porte de son secteur lorsqu’il meurt.</x:v>
      </x:c>
      <x:c r="H80" s="10" t="str">
        <x:v>Associer officiers à renfort, coordination, artillerie, défense ou route précise.</x:v>
      </x:c>
      <x:c r="I80" s="10" t="str">
        <x:v>Vaincre l’officier change immédiatement une capacité de son groupe ou de son front, annoncée au joueur.</x:v>
      </x:c>
      <x:c r="J80" s="10" t="str">
        <x:v>AUD-043
AUD-044
AUD-073</x:v>
      </x:c>
      <x:c r="K80" s="10" t="str">
        <x:v>Adaptation de conception; aucun nouvel élément déclaré canon par cet audit.</x:v>
      </x:c>
      <x:c r="L80" s="10" t="str">
        <x:v>0f37cc52f9d8 : js/entities/Bosses.js : lignes 5-82
0f37cc52f9d8 : js/main.js : lignes 3737-3769
1d52d9ff91db : js/engine/BattlefieldMission.js : lignes 102-118</x:v>
      </x:c>
      <x:c r="M80"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0" s="24" t="str">
        <x:v>En cours</x:v>
      </x:c>
    </x:row>
    <x:row r="81" ht="117" customHeight="1">
      <x:c r="A81" s="9" t="str">
        <x:v>AUD-075</x:v>
      </x:c>
      <x:c r="B81" s="9" t="str">
        <x:v>Boss et mini-boss</x:v>
      </x:c>
      <x:c r="C81" s="9" t="str">
        <x:v>Distinguer élite, mini-boss et boss</x:v>
      </x:c>
      <x:c r="D81" s="9" t="str">
        <x:v>P1</x:v>
      </x:c>
      <x:c r="E81" s="9" t="str">
        <x:v>À créer</x:v>
      </x:c>
      <x:c r="F81" s="9" t="str">
        <x:v>Beaucoup de créatures rares sont injectées ensemble dès chaque vague, sans échelon clair.</x:v>
      </x:c>
      <x:c r="G81" s="9" t="str">
        <x:v>Les types sont réduits, avec commandants et boss de secteurs.</x:v>
      </x:c>
      <x:c r="H81" s="9" t="str">
        <x:v>Établir rareté, annonce, durée et rôle pour chaque échelon; répartir leur apparition dans le scénario.</x:v>
      </x:c>
      <x:c r="I81" s="9" t="str">
        <x:v>Le joueur reconnaît une escalade et bénéficie de respiration; les élites ne remplacent pas la majorité de l’armée.</x:v>
      </x:c>
      <x:c r="J81" s="9" t="str">
        <x:v>AUD-021
AUD-073</x:v>
      </x:c>
      <x:c r="K81" s="9" t="str">
        <x:v>Adaptation de conception; aucun nouvel élément déclaré canon par cet audit.</x:v>
      </x:c>
      <x:c r="L81" s="9" t="str">
        <x:v>0f37cc52f9d8 : js/entities/XenomorphHorde.js : lignes 81-188
0f37cc52f9d8 : js/main.js : lignes 1240-1243
1d52d9ff91db : js/entities/XenomorphHorde.js : lignes 74-181</x:v>
      </x:c>
      <x:c r="M81"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81" s="24" t="str">
        <x:v>À valider</x:v>
      </x:c>
    </x:row>
    <x:row r="82" ht="117" customHeight="1">
      <x:c r="A82" s="10" t="str">
        <x:v>AUD-076</x:v>
      </x:c>
      <x:c r="B82" s="10" t="str">
        <x:v>Boss et mini-boss</x:v>
      </x:c>
      <x:c r="C82" s="10" t="str">
        <x:v>Rendre chaque affrontement mécaniquement distinct</x:v>
      </x:c>
      <x:c r="D82" s="10" t="str">
        <x:v>P1</x:v>
      </x:c>
      <x:c r="E82" s="10" t="str">
        <x:v>Partiel</x:v>
      </x:c>
      <x:c r="F82" s="10" t="str">
        <x:v>Des attaques spécifiques et phases sont présentes, avec nombreuses créatures partageant la même base de comportement.</x:v>
      </x:c>
      <x:c r="G82" s="10" t="str">
        <x:v>Le timing et la lisibilité sont mieux régulés, mais registre de movesets incomplet.</x:v>
      </x:c>
      <x:c r="H82" s="10" t="str">
        <x:v>Définir attaques, fenêtres de punition, défenses, déplacements et interactions propres à chaque boss retenu.</x:v>
      </x:c>
      <x:c r="I82" s="10" t="str">
        <x:v>Chaque boss exige au moins une lecture et une réponse distinctes; aucune différence limitée aux PV et à la couleur.</x:v>
      </x:c>
      <x:c r="J82" s="10" t="str">
        <x:v>AUD-011
AUD-071</x:v>
      </x:c>
      <x:c r="K82" s="10" t="str">
        <x:v>Adaptation de conception; aucun nouvel élément déclaré canon par cet audit.</x:v>
      </x:c>
      <x:c r="L82" s="10" t="str">
        <x:v>0f37cc52f9d8 : js/entities/Bosses.js : lignes 5-82
0f37cc52f9d8 : js/main.js : lignes 3737-3769
1d52d9ff91db : js/engine/BattlefieldMission.js : lignes 102-118</x:v>
      </x:c>
      <x:c r="M82"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2" s="24" t="str">
        <x:v>À valider</x:v>
      </x:c>
    </x:row>
    <x:row r="83" ht="90" customHeight="1">
      <x:c r="A83" s="9" t="str">
        <x:v>AUD-077</x:v>
      </x:c>
      <x:c r="B83" s="9" t="str">
        <x:v>Boss et mini-boss</x:v>
      </x:c>
      <x:c r="C83" s="9" t="str">
        <x:v>Adapter parades et ruptures à l’anatomie</x:v>
      </x:c>
      <x:c r="D83" s="9" t="str">
        <x:v>P1</x:v>
      </x:c>
      <x:c r="E83" s="9" t="str">
        <x:v>Partiel</x:v>
      </x:c>
      <x:c r="F83" s="9" t="str">
        <x:v>Stun, boucliers, exécutions et parades existent de façon dispersée.</x:v>
      </x:c>
      <x:c r="G83" s="9" t="str">
        <x:v>Le directeur fournit préparation et récupération communes.</x:v>
      </x:c>
      <x:c r="H83" s="9" t="str">
        <x:v>Définir attaques parables, esquivables, interruptibles et zones faibles selon créature/équipement.</x:v>
      </x:c>
      <x:c r="I83" s="9" t="str">
        <x:v>La même signalétique conserve sa signification; les attaques d’une créature géante ne se parent pas arbitrairement comme une lame humaine.</x:v>
      </x:c>
      <x:c r="J83" s="9" t="str">
        <x:v>AUD-069
AUD-076</x:v>
      </x:c>
      <x:c r="K83" s="9" t="str">
        <x:v>Adaptation de conception; aucun nouvel élément déclaré canon par cet audit.</x:v>
      </x:c>
      <x:c r="L83" s="9" t="str">
        <x:v>0f37cc52f9d8 : js/entities/Player.js : lignes 1565-1655
1d52d9ff91db : js/engine/CombatDirector.js : lignes 45-101</x:v>
      </x:c>
      <x:c r="M83" s="22" t="str">
        <x:v>https://github.com/darknigthmare/Yautja-hive-warriors/blob/0f37cc52f9d83a4abecc17b80f7bfc67701677cf/js/entities/Player.js#L1565-L1655
https://github.com/darknigthmare/Yautja-hive-warriors/blob/1d52d9ff91dbe85c08256f44f8b72086ab65200a/js/engine/CombatDirector.js#L45-L101</x:v>
      </x:c>
      <x:c r="N83" s="24" t="str">
        <x:v>Terminé</x:v>
      </x:c>
    </x:row>
    <x:row r="84" ht="117" customHeight="1">
      <x:c r="A84" s="10" t="str">
        <x:v>AUD-078</x:v>
      </x:c>
      <x:c r="B84" s="10" t="str">
        <x:v>Boss et mini-boss</x:v>
      </x:c>
      <x:c r="C84" s="10" t="str">
        <x:v>Rééquilibrer les phases avec la bataille environnante</x:v>
      </x:c>
      <x:c r="D84" s="10" t="str">
        <x:v>P2</x:v>
      </x:c>
      <x:c r="E84" s="10" t="str">
        <x:v>À créer</x:v>
      </x:c>
      <x:c r="F84" s="10" t="str">
        <x:v>Des phases infligent zones et invocations sans relation au front global.</x:v>
      </x:c>
      <x:c r="G84" s="10" t="str">
        <x:v>Le boss final remplace l’objectif du dernier secteur.</x:v>
      </x:c>
      <x:c r="H84" s="10" t="str">
        <x:v>Prévoir phases qui modifient lignes d’assaut, refuges et renforts tout en laissant des contre-actions.</x:v>
      </x:c>
      <x:c r="I84" s="10" t="str">
        <x:v>Une phase peut menacer un objectif secondaire, mais conserve des issues et ne remet pas gratuitement à zéro les victoires antérieures.</x:v>
      </x:c>
      <x:c r="J84" s="10" t="str">
        <x:v>AUD-042
AUD-066
AUD-076</x:v>
      </x:c>
      <x:c r="K84" s="10" t="str">
        <x:v>Adaptation de conception; aucun nouvel élément déclaré canon par cet audit.</x:v>
      </x:c>
      <x:c r="L84" s="10" t="str">
        <x:v>0f37cc52f9d8 : js/entities/Bosses.js : lignes 5-82
0f37cc52f9d8 : js/main.js : lignes 3737-3769
1d52d9ff91db : js/engine/BattlefieldMission.js : lignes 102-118</x:v>
      </x:c>
      <x:c r="M84"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4" s="24" t="str">
        <x:v>En cours</x:v>
      </x:c>
    </x:row>
    <x:row r="85" ht="117" customHeight="1">
      <x:c r="A85" s="9" t="str">
        <x:v>AUD-079</x:v>
      </x:c>
      <x:c r="B85" s="9" t="str">
        <x:v>Boss et mini-boss</x:v>
      </x:c>
      <x:c r="C85" s="9" t="str">
        <x:v>Vérifier les boss hybrides et titres revendiqués canon</x:v>
      </x:c>
      <x:c r="D85" s="9" t="str">
        <x:v>P1</x:v>
      </x:c>
      <x:c r="E85" s="9" t="str">
        <x:v>À valider</x:v>
      </x:c>
      <x:c r="F85" s="9" t="str">
        <x:v>Matriarche Titan prédalienne, impératrice volante et plusieurs attributions sont affirmées 1:1 dans les commentaires.</x:v>
      </x:c>
      <x:c r="G85" s="9" t="str">
        <x:v>Une partie du bestiaire est renommée ou réduite; cela ne valide pas ses sources.</x:v>
      </x:c>
      <x:c r="H85" s="9" t="str">
        <x:v>Documenter source exacte, apparence et pouvoirs; marquer les fusions ou extrapolations comme créations adaptées.</x:v>
      </x:c>
      <x:c r="I85" s="9" t="str">
        <x:v>Chaque fiche distingue confirmé, interprétation et invention; aucun commentaire source n’est utilisé comme preuve externe.</x:v>
      </x:c>
      <x:c r="J85" s="9" t="str">
        <x:v>AUD-008
AUD-029</x:v>
      </x:c>
      <x:c r="K85" s="9" t="str">
        <x:v>Priorité aux films/jeux/comics identifiés; des noms similaires ne suffisent pas à prouver une même créature.</x:v>
      </x:c>
      <x:c r="L85" s="9" t="str">
        <x:v>0f37cc52f9d8 : js/entities/Bosses.js : lignes 5-82
0f37cc52f9d8 : js/main.js : lignes 3737-3769
1d52d9ff91db : js/engine/BattlefieldMission.js : lignes 102-118</x:v>
      </x:c>
      <x:c r="M85" s="22"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5" s="24" t="str">
        <x:v>À valider</x:v>
      </x:c>
    </x:row>
    <x:row r="86" ht="117" customHeight="1">
      <x:c r="A86" s="10" t="str">
        <x:v>AUD-080</x:v>
      </x:c>
      <x:c r="B86" s="10" t="str">
        <x:v>Boss et mini-boss</x:v>
      </x:c>
      <x:c r="C86" s="10" t="str">
        <x:v>Intégrer les exécutions sans bloquer la bataille</x:v>
      </x:c>
      <x:c r="D86" s="10" t="str">
        <x:v>P1</x:v>
      </x:c>
      <x:c r="E86" s="10" t="str">
        <x:v>Partiel</x:v>
      </x:c>
      <x:c r="F86" s="10" t="str">
        <x:v>Des exécutions et états de stun existent avec nombreux déclencheurs.</x:v>
      </x:c>
      <x:c r="G86" s="10" t="str">
        <x:v>La branche validée protège certains traitements de dégâts et fin d’objectif.</x:v>
      </x:c>
      <x:c r="H86" s="10" t="str">
        <x:v>Définir invulnérabilité, caméra, récupération, spectateurs et comportement des fronts durant chaque exécution.</x:v>
      </x:c>
      <x:c r="I86" s="10" t="str">
        <x:v>Une exécution ne tue pas le joueur hors champ, n’efface pas le boss d’un autre front et ne répète pas son trophée.</x:v>
      </x:c>
      <x:c r="J86" s="10" t="str">
        <x:v>AUD-018
AUD-073
AUD-076</x:v>
      </x:c>
      <x:c r="K86" s="10" t="str">
        <x:v>Adaptation de conception; aucun nouvel élément déclaré canon par cet audit.</x:v>
      </x:c>
      <x:c r="L86" s="10" t="str">
        <x:v>0f37cc52f9d8 : js/entities/Bosses.js : lignes 5-82
0f37cc52f9d8 : js/main.js : lignes 3737-3769
1d52d9ff91db : js/engine/BattlefieldMission.js : lignes 102-118</x:v>
      </x:c>
      <x:c r="M86"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c r="N86" s="24" t="str">
        <x:v>À valider</x:v>
      </x:c>
    </x:row>
    <x:row r="87" ht="117" customHeight="1">
      <x:c r="A87" s="9" t="str">
        <x:v>AUD-081</x:v>
      </x:c>
      <x:c r="B87" s="9" t="str">
        <x:v>Boss et mini-boss</x:v>
      </x:c>
      <x:c r="C87" s="9" t="str">
        <x:v>Créer des rencontres de commandants humains et Bad Blood</x:v>
      </x:c>
      <x:c r="D87" s="9" t="str">
        <x:v>P2</x:v>
      </x:c>
      <x:c r="E87" s="9" t="str">
        <x:v>Partiel</x:v>
      </x:c>
      <x:c r="F87" s="9" t="str">
        <x:v>Un Bad Blood récurrent et quelques adversaires Yautja existent; les Marines sont des soldats anonymes.</x:v>
      </x:c>
      <x:c r="G87" s="9" t="str">
        <x:v>Le support conserve le Bad Blood mais n’ajoute pas une hiérarchie de chefs de factions.</x:v>
      </x:c>
      <x:c r="H87" s="9" t="str">
        <x:v>Décliner chefs avec équipement, tactique et objectif documentés, sans transformer chaque humain en sac de PV.</x:v>
      </x:c>
      <x:c r="I87" s="9" t="str">
        <x:v>Les commandants gagnent leur importance par position et groupe; leurs forces restent cohérentes avec leur équipement.</x:v>
      </x:c>
      <x:c r="J87" s="9" t="str">
        <x:v>AUD-027
AUD-073
AUD-074</x:v>
      </x:c>
      <x:c r="K87" s="9" t="str">
        <x:v>Adaptation de conception; aucun nouvel élément déclaré canon par cet audit.</x:v>
      </x:c>
      <x:c r="L87" s="9" t="str">
        <x:v>0f37cc52f9d8 : js/entities/ColonialMarines.js : lignes 132-257
0f37cc52f9d8 : js/entities/Synthetics.js : lignes 285-357
1d52d9ff91db : js/main.js : lignes 921-945</x:v>
      </x:c>
      <x:c r="M87"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87" s="24" t="str">
        <x:v>Terminé</x:v>
      </x:c>
    </x:row>
    <x:row r="88" ht="90" customHeight="1">
      <x:c r="A88" s="10" t="str">
        <x:v>AUD-082</x:v>
      </x:c>
      <x:c r="B88" s="10" t="str">
        <x:v>Combat et rôles</x:v>
      </x:c>
      <x:c r="C88" s="10" t="str">
        <x:v>Différencier réellement les styles des sept chasseurs</x:v>
      </x:c>
      <x:c r="D88" s="10" t="str">
        <x:v>P1</x:v>
      </x:c>
      <x:c r="E88" s="10" t="str">
        <x:v>Partiel</x:v>
      </x:c>
      <x:c r="F88" s="10" t="str">
        <x:v>Sept profils ont statistiques et noms d’armes distincts, mais partagent une vaste classe Player commune.</x:v>
      </x:c>
      <x:c r="G88" s="10" t="str">
        <x:v>Les modèles sont affinés sans prouver que toutes les différences de moveset sont testées.</x:v>
      </x:c>
      <x:c r="H88" s="10" t="str">
        <x:v>Définir portée, mobilité, chaîne légère/lourde, finisher et limite propre à chaque style.</x:v>
      </x:c>
      <x:c r="I88" s="10" t="str">
        <x:v>Chaque chasseur possède une boucle identifiable et des faiblesses; les libellés d’armure ne remplacent pas les différences jouables.</x:v>
      </x:c>
      <x:c r="J88" s="10" t="str">
        <x:v>AUD-008
AUD-011</x:v>
      </x:c>
      <x:c r="K88" s="10" t="str">
        <x:v>Adaptation de conception; aucun nouvel élément déclaré canon par cet audit.</x:v>
      </x:c>
      <x:c r="L88" s="10" t="str">
        <x:v>0f37cc52f9d8 : js/data/charactersData.js : lignes 3-162
0f37cc52f9d8 : js/ui/LoadoutScreen.js : lignes 1-64</x:v>
      </x:c>
      <x:c r="M88" s="23" t="str">
        <x:v>https://github.com/darknigthmare/Yautja-hive-warriors/blob/0f37cc52f9d83a4abecc17b80f7bfc67701677cf/js/data/charactersData.js#L3-L162
https://github.com/darknigthmare/Yautja-hive-warriors/blob/0f37cc52f9d83a4abecc17b80f7bfc67701677cf/js/ui/LoadoutScreen.js#L1-L64</x:v>
      </x:c>
      <x:c r="N88" s="24" t="str">
        <x:v>Terminé</x:v>
      </x:c>
    </x:row>
    <x:row r="89" ht="90" customHeight="1">
      <x:c r="A89" s="9" t="str">
        <x:v>AUD-083</x:v>
      </x:c>
      <x:c r="B89" s="9" t="str">
        <x:v>Combat et rôles</x:v>
      </x:c>
      <x:c r="C89" s="9" t="str">
        <x:v>Contrôler les équipements autorisés par personnage</x:v>
      </x:c>
      <x:c r="D89" s="9" t="str">
        <x:v>P1</x:v>
      </x:c>
      <x:c r="E89" s="9" t="str">
        <x:v>À valider</x:v>
      </x:c>
      <x:c r="F89" s="9" t="str">
        <x:v>Jungle Hunter affiche une hache secondaire; City Hunter un pistolet plasma; plusieurs attributions nécessitent revue.</x:v>
      </x:c>
      <x:c r="G89" s="9" t="str">
        <x:v>La branche validée possède des modèles plus fidèles mais pas une preuve exhaustive de tous les loadouts.</x:v>
      </x:c>
      <x:c r="H89" s="9" t="str">
        <x:v>Construire listes documentées d’armes d’origine et variantes de jeu autorisées; proposer mode fidèle et personnalisation explicite.</x:v>
      </x:c>
      <x:c r="I89" s="9" t="str">
        <x:v>Le mode fidèle ne donne pas une arme non attestée au personnage sans la signaler; les variantes restent utilisables en mode adapté.</x:v>
      </x:c>
      <x:c r="J89" s="9" t="str">
        <x:v>AUD-008</x:v>
      </x:c>
      <x:c r="K89" s="9" t="str">
        <x:v>Vérifier chaque attribution visuellement dans son œuvre plutôt que conclure d’après le commentaire origin.</x:v>
      </x:c>
      <x:c r="L89" s="9" t="str">
        <x:v>0f37cc52f9d8 : js/data/charactersData.js : lignes 3-162
0f37cc52f9d8 : js/ui/LoadoutScreen.js : lignes 1-64</x:v>
      </x:c>
      <x:c r="M89" s="22" t="str">
        <x:v>https://github.com/darknigthmare/Yautja-hive-warriors/blob/0f37cc52f9d83a4abecc17b80f7bfc67701677cf/js/data/charactersData.js#L3-L162
https://github.com/darknigthmare/Yautja-hive-warriors/blob/0f37cc52f9d83a4abecc17b80f7bfc67701677cf/js/ui/LoadoutScreen.js#L1-L64</x:v>
      </x:c>
      <x:c r="N89" s="24" t="str">
        <x:v>Terminé</x:v>
      </x:c>
    </x:row>
    <x:row r="90" ht="90" customHeight="1">
      <x:c r="A90" s="10" t="str">
        <x:v>AUD-084</x:v>
      </x:c>
      <x:c r="B90" s="10" t="str">
        <x:v>Combat et rôles</x:v>
      </x:c>
      <x:c r="C90" s="10" t="str">
        <x:v>Lier la roue d’armes aux actions effectives</x:v>
      </x:c>
      <x:c r="D90" s="10" t="str">
        <x:v>P1</x:v>
      </x:c>
      <x:c r="E90" s="10" t="str">
        <x:v>Partiel</x:v>
      </x:c>
      <x:c r="F90" s="10" t="str">
        <x:v>Le callback WeaponWheel annonce l’ID; beaucoup de capacités restent pilotées par raccourcis directs.</x:v>
      </x:c>
      <x:c r="G90" s="10" t="str">
        <x:v>La branche validée refond une partie de l’équipement et des interfaces.</x:v>
      </x:c>
      <x:c r="H90" s="10" t="str">
        <x:v>Faire de la sélection d’arme un état unique utilisé par animation, coût, hitbox et HUD.</x:v>
      </x:c>
      <x:c r="I90" s="10" t="str">
        <x:v>Changer d’arme change la prochaine action, affiche la bonne ressource et respecte le profil du chasseur.</x:v>
      </x:c>
      <x:c r="J90" s="10" t="str">
        <x:v>AUD-082
AUD-083</x:v>
      </x:c>
      <x:c r="K90" s="10" t="str">
        <x:v>Adaptation de conception; aucun nouvel élément déclaré canon par cet audit.</x:v>
      </x:c>
      <x:c r="L90" s="10" t="str">
        <x:v>0f37cc52f9d8 : js/data/charactersData.js : lignes 3-162
0f37cc52f9d8 : js/ui/LoadoutScreen.js : lignes 1-64</x:v>
      </x:c>
      <x:c r="M90" s="23" t="str">
        <x:v>https://github.com/darknigthmare/Yautja-hive-warriors/blob/0f37cc52f9d83a4abecc17b80f7bfc67701677cf/js/data/charactersData.js#L3-L162
https://github.com/darknigthmare/Yautja-hive-warriors/blob/0f37cc52f9d83a4abecc17b80f7bfc67701677cf/js/ui/LoadoutScreen.js#L1-L64</x:v>
      </x:c>
      <x:c r="N90" s="24" t="str">
        <x:v>Terminé</x:v>
      </x:c>
    </x:row>
    <x:row r="91" ht="90" customHeight="1">
      <x:c r="A91" s="9" t="str">
        <x:v>AUD-085</x:v>
      </x:c>
      <x:c r="B91" s="9" t="str">
        <x:v>Combat et rôles</x:v>
      </x:c>
      <x:c r="C91" s="9" t="str">
        <x:v>Décrire précisément chaînes légères et lourdes</x:v>
      </x:c>
      <x:c r="D91" s="9" t="str">
        <x:v>P1</x:v>
      </x:c>
      <x:c r="E91" s="9" t="str">
        <x:v>Partiel</x:v>
      </x:c>
      <x:c r="F91" s="9" t="str">
        <x:v>Une chaîne de cinq attaques légères et des variantes lourdes sont codées.</x:v>
      </x:c>
      <x:c r="G91" s="9" t="str">
        <x:v>Le directeur d’attaque ne constitue pas un registre de frames et de transitions du joueur.</x:v>
      </x:c>
      <x:c r="H91" s="9" t="str">
        <x:v>Documenter démarrage, impact, récupération, annulations, portée, projection et coût de chaque action.</x:v>
      </x:c>
      <x:c r="I91" s="9" t="str">
        <x:v>Toutes les transitions attendues se produisent au bon timing à 30/60/120 fps et n’ajoutent pas d’impacts invisibles.</x:v>
      </x:c>
      <x:c r="J91" s="9" t="str">
        <x:v>AUD-082
AUD-084</x:v>
      </x:c>
      <x:c r="K91" s="9" t="str">
        <x:v>Adaptation de conception; aucun nouvel élément déclaré canon par cet audit.</x:v>
      </x:c>
      <x:c r="L91" s="9" t="str">
        <x:v>0f37cc52f9d8 : js/entities/Player.js : lignes 1565-1655
1d52d9ff91db : js/engine/CombatDirector.js : lignes 45-101</x:v>
      </x:c>
      <x:c r="M91" s="22" t="str">
        <x:v>https://github.com/darknigthmare/Yautja-hive-warriors/blob/0f37cc52f9d83a4abecc17b80f7bfc67701677cf/js/entities/Player.js#L1565-L1655
https://github.com/darknigthmare/Yautja-hive-warriors/blob/1d52d9ff91dbe85c08256f44f8b72086ab65200a/js/engine/CombatDirector.js#L45-L101</x:v>
      </x:c>
      <x:c r="N91" s="24" t="str">
        <x:v>Terminé</x:v>
      </x:c>
    </x:row>
    <x:row r="92" ht="90" customHeight="1">
      <x:c r="A92" s="10" t="str">
        <x:v>AUD-086</x:v>
      </x:c>
      <x:c r="B92" s="10" t="str">
        <x:v>Combat et rôles</x:v>
      </x:c>
      <x:c r="C92" s="10" t="str">
        <x:v>Gérer ressources et fenêtres des attaques de masse</x:v>
      </x:c>
      <x:c r="D92" s="10" t="str">
        <x:v>P1</x:v>
      </x:c>
      <x:c r="E92" s="10" t="str">
        <x:v>Partiel</x:v>
      </x:c>
      <x:c r="F92" s="10" t="str">
        <x:v>Musou, plasma, buffs et nombreuses attaques de zone existent; leur interaction globale reste à vérifier.</x:v>
      </x:c>
      <x:c r="G92" s="10" t="str">
        <x:v>La pression ennemie est régulée, mais pas un équilibrage complet de chaque capacité v65.</x:v>
      </x:c>
      <x:c r="H92" s="10" t="str">
        <x:v>Définir gain de ressources, coût, temps de recharge, durée et contrepartie des attaques de foule.</x:v>
      </x:c>
      <x:c r="I92" s="10" t="str">
        <x:v>Un enchaînement dominant ne rend pas tous les groupes inoffensifs en permanence; les coûts sont visibles avant l’action.</x:v>
      </x:c>
      <x:c r="J92" s="10" t="str">
        <x:v>AUD-011
AUD-085</x:v>
      </x:c>
      <x:c r="K92" s="10" t="str">
        <x:v>Adaptation de conception; aucun nouvel élément déclaré canon par cet audit.</x:v>
      </x:c>
      <x:c r="L92" s="10" t="str">
        <x:v>0f37cc52f9d8 : js/entities/Player.js : lignes 1565-1655
1d52d9ff91db : js/engine/CombatDirector.js : lignes 45-101</x:v>
      </x:c>
      <x:c r="M92" s="23" t="str">
        <x:v>https://github.com/darknigthmare/Yautja-hive-warriors/blob/0f37cc52f9d83a4abecc17b80f7bfc67701677cf/js/entities/Player.js#L1565-L1655
https://github.com/darknigthmare/Yautja-hive-warriors/blob/1d52d9ff91dbe85c08256f44f8b72086ab65200a/js/engine/CombatDirector.js#L45-L101</x:v>
      </x:c>
      <x:c r="N92" s="24" t="str">
        <x:v>À valider</x:v>
      </x:c>
    </x:row>
    <x:row r="93" ht="90" customHeight="1">
      <x:c r="A93" s="9" t="str">
        <x:v>AUD-087</x:v>
      </x:c>
      <x:c r="B93" s="9" t="str">
        <x:v>Combat et rôles</x:v>
      </x:c>
      <x:c r="C93" s="9" t="str">
        <x:v>Créer des réponses adaptées aux formations</x:v>
      </x:c>
      <x:c r="D93" s="9" t="str">
        <x:v>P2</x:v>
      </x:c>
      <x:c r="E93" s="9" t="str">
        <x:v>À créer</x:v>
      </x:c>
      <x:c r="F93" s="9" t="str">
        <x:v>Les groupes n’ont pas de formation réelle; les attaques frappent des rayons proches.</x:v>
      </x:c>
      <x:c r="G93" s="9" t="str">
        <x:v>Les ennemis attendent leur engagement autour du joueur.</x:v>
      </x:c>
      <x:c r="H93" s="9" t="str">
        <x:v>Faire interagir percée, balayage, tir de soutien et contournement avec la forme des groupes.</x:v>
      </x:c>
      <x:c r="I93" s="9" t="str">
        <x:v>Une même compétence est efficace contre une ligne mais moins contre un groupe dispersé; l’IA réagit de manière lisible.</x:v>
      </x:c>
      <x:c r="J93" s="9" t="str">
        <x:v>AUD-021
AUD-036
AUD-085</x:v>
      </x:c>
      <x:c r="K93" s="9" t="str">
        <x:v>Adaptation de conception; aucun nouvel élément déclaré canon par cet audit.</x:v>
      </x:c>
      <x:c r="L93" s="9" t="str">
        <x:v>0f37cc52f9d8 : js/entities/Player.js : lignes 1565-1655
1d52d9ff91db : js/engine/CombatDirector.js : lignes 45-101</x:v>
      </x:c>
      <x:c r="M93" s="22" t="str">
        <x:v>https://github.com/darknigthmare/Yautja-hive-warriors/blob/0f37cc52f9d83a4abecc17b80f7bfc67701677cf/js/entities/Player.js#L1565-L1655
https://github.com/darknigthmare/Yautja-hive-warriors/blob/1d52d9ff91dbe85c08256f44f8b72086ab65200a/js/engine/CombatDirector.js#L45-L101</x:v>
      </x:c>
      <x:c r="N93" s="24" t="str">
        <x:v>À valider</x:v>
      </x:c>
    </x:row>
    <x:row r="94" ht="90" customHeight="1">
      <x:c r="A94" s="10" t="str">
        <x:v>AUD-088</x:v>
      </x:c>
      <x:c r="B94" s="10" t="str">
        <x:v>Combat et rôles</x:v>
      </x:c>
      <x:c r="C94" s="10" t="str">
        <x:v>Conserver la spécificité de la chasse dans les batailles</x:v>
      </x:c>
      <x:c r="D94" s="10" t="str">
        <x:v>P1</x:v>
      </x:c>
      <x:c r="E94" s="10" t="str">
        <x:v>Partiel</x:v>
      </x:c>
      <x:c r="F94" s="10" t="str">
        <x:v>Camouflage, visions, pièges et trophées sont présents au milieu des vagues.</x:v>
      </x:c>
      <x:c r="G94" s="10" t="str">
        <x:v>Une base de chasse et de mission existe, mais pas d’impact stratégique de l’infiltration.</x:v>
      </x:c>
      <x:c r="H94" s="10" t="str">
        <x:v>Laisser reconnaissance, sabotage et élimination d’un chef influencer une bataille plus large.</x:v>
      </x:c>
      <x:c r="I94" s="10" t="str">
        <x:v>Une approche furtive ouvre un avantage concret sans rendre obligatoire le combat frontal de toutes les unités.</x:v>
      </x:c>
      <x:c r="J94" s="10" t="str">
        <x:v>AUD-048
AUD-053
AUD-083</x:v>
      </x:c>
      <x:c r="K94" s="10" t="str">
        <x:v>Adaptation de conception; aucun nouvel élément déclaré canon par cet audit.</x:v>
      </x:c>
      <x:c r="L94" s="10" t="str">
        <x:v>0f37cc52f9d8 : js/entities/Player.js : lignes 1565-1655
1d52d9ff91db : js/engine/CombatDirector.js : lignes 45-101</x:v>
      </x:c>
      <x:c r="M94" s="23" t="str">
        <x:v>https://github.com/darknigthmare/Yautja-hive-warriors/blob/0f37cc52f9d83a4abecc17b80f7bfc67701677cf/js/entities/Player.js#L1565-L1655
https://github.com/darknigthmare/Yautja-hive-warriors/blob/1d52d9ff91dbe85c08256f44f8b72086ab65200a/js/engine/CombatDirector.js#L45-L101</x:v>
      </x:c>
      <x:c r="N94" s="24" t="str">
        <x:v>En cours</x:v>
      </x:c>
    </x:row>
    <x:row r="95" ht="90" customHeight="1">
      <x:c r="A95" s="9" t="str">
        <x:v>AUD-089</x:v>
      </x:c>
      <x:c r="B95" s="9" t="str">
        <x:v>Combat et rôles</x:v>
      </x:c>
      <x:c r="C95" s="9" t="str">
        <x:v>Réviser pouvoirs et gadgets extrapolés</x:v>
      </x:c>
      <x:c r="D95" s="9" t="str">
        <x:v>P2</x:v>
      </x:c>
      <x:c r="E95" s="9" t="str">
        <x:v>À valider</x:v>
      </x:c>
      <x:c r="F95" s="9" t="str">
        <x:v>Player rassemble nombreux effets énergétiques et noms revendiqués canon.</x:v>
      </x:c>
      <x:c r="G95" s="9" t="str">
        <x:v>La branche validée n’a pas repris tous les ajouts récents.</x:v>
      </x:c>
      <x:c r="H95" s="9" t="str">
        <x:v>Vérifier portée, source et comportement de chaque gadget; garder les nouveautés comme capacités adaptées identifiées.</x:v>
      </x:c>
      <x:c r="I95" s="9" t="str">
        <x:v>Aucune capacité originale ne porte une certification 1:1 sans référence et comparaison; les collisions et contre-effets sont testés.</x:v>
      </x:c>
      <x:c r="J95" s="9" t="str">
        <x:v>AUD-008
AUD-083</x:v>
      </x:c>
      <x:c r="K95" s="9" t="str">
        <x:v>Adaptation de conception; aucun nouvel élément déclaré canon par cet audit.</x:v>
      </x:c>
      <x:c r="L95" s="9" t="str">
        <x:v>0f37cc52f9d8 : js/data/charactersData.js : lignes 3-162
0f37cc52f9d8 : js/ui/LoadoutScreen.js : lignes 1-64</x:v>
      </x:c>
      <x:c r="M95" s="22" t="str">
        <x:v>https://github.com/darknigthmare/Yautja-hive-warriors/blob/0f37cc52f9d83a4abecc17b80f7bfc67701677cf/js/data/charactersData.js#L3-L162
https://github.com/darknigthmare/Yautja-hive-warriors/blob/0f37cc52f9d83a4abecc17b80f7bfc67701677cf/js/ui/LoadoutScreen.js#L1-L64</x:v>
      </x:c>
      <x:c r="N95" s="24" t="str">
        <x:v>À valider</x:v>
      </x:c>
    </x:row>
    <x:row r="96" ht="90" customHeight="1">
      <x:c r="A96" s="10" t="str">
        <x:v>AUD-090</x:v>
      </x:c>
      <x:c r="B96" s="10" t="str">
        <x:v>Combat et rôles</x:v>
      </x:c>
      <x:c r="C96" s="10" t="str">
        <x:v>Rendre coups et tirs respectueux du décor</x:v>
      </x:c>
      <x:c r="D96" s="10" t="str">
        <x:v>P1</x:v>
      </x:c>
      <x:c r="E96" s="10" t="str">
        <x:v>À réconcilier</x:v>
      </x:c>
      <x:c r="F96" s="10" t="str">
        <x:v>Nombreux dégâts sont appliqués par distance sans ligne de vue ni interception d’obstacle.</x:v>
      </x:c>
      <x:c r="G96" s="10" t="str">
        <x:v>Les collisions de déplacement ne prouvent pas toutes les occlusions de tir.</x:v>
      </x:c>
      <x:c r="H96" s="10" t="str">
        <x:v>Employer les mêmes volumes pour trajectoires, visées, explosions et couvertures, selon les règles de l’arme.</x:v>
      </x:c>
      <x:c r="I96" s="10" t="str">
        <x:v>Un tir ordinaire ne traverse pas une paroi; une arme perforante le fait seulement dans ses limites annoncées.</x:v>
      </x:c>
      <x:c r="J96" s="10" t="str">
        <x:v>AUD-061
AUD-085</x:v>
      </x:c>
      <x:c r="K96" s="10" t="str">
        <x:v>Adaptation de conception; aucun nouvel élément déclaré canon par cet audit.</x:v>
      </x:c>
      <x:c r="L96" s="10" t="str">
        <x:v>0f37cc52f9d8 : js/entities/Player.js : lignes 1565-1655
1d52d9ff91db : js/engine/CombatDirector.js : lignes 45-101</x:v>
      </x:c>
      <x:c r="M96" s="23" t="str">
        <x:v>https://github.com/darknigthmare/Yautja-hive-warriors/blob/0f37cc52f9d83a4abecc17b80f7bfc67701677cf/js/entities/Player.js#L1565-L1655
https://github.com/darknigthmare/Yautja-hive-warriors/blob/1d52d9ff91dbe85c08256f44f8b72086ab65200a/js/engine/CombatDirector.js#L45-L101</x:v>
      </x:c>
      <x:c r="N96" s="24" t="str">
        <x:v>À valider</x:v>
      </x:c>
    </x:row>
    <x:row r="97" ht="90" customHeight="1">
      <x:c r="A97" s="9" t="str">
        <x:v>AUD-091</x:v>
      </x:c>
      <x:c r="B97" s="9" t="str">
        <x:v>Combat et rôles</x:v>
      </x:c>
      <x:c r="C97" s="9" t="str">
        <x:v>Éviter les effets superposés incontrôlables</x:v>
      </x:c>
      <x:c r="D97" s="9" t="str">
        <x:v>P1</x:v>
      </x:c>
      <x:c r="E97" s="9" t="str">
        <x:v>À créer</x:v>
      </x:c>
      <x:c r="F97" s="9" t="str">
        <x:v>Acide, glace, entraves, projections, parasites et autres états s’empilent dans la classe Player/horde.</x:v>
      </x:c>
      <x:c r="G97" s="9" t="str">
        <x:v>Le directeur plafonne certains dégâts de danger à 12/s, sans matrice complète de statuts v65.</x:v>
      </x:c>
      <x:c r="H97" s="9" t="str">
        <x:v>Définir priorités, résistances, immunités temporaires et conditions de sortie des états.</x:v>
      </x:c>
      <x:c r="I97" s="9" t="str">
        <x:v>Aucune combinaison ne laisse le personnage bloqué indéfiniment; chaque état possède une indication et une issue.</x:v>
      </x:c>
      <x:c r="J97" s="9" t="str">
        <x:v>AUD-011
AUD-086</x:v>
      </x:c>
      <x:c r="K97" s="9" t="str">
        <x:v>Adaptation de conception; aucun nouvel élément déclaré canon par cet audit.</x:v>
      </x:c>
      <x:c r="L97" s="9" t="str">
        <x:v>0f37cc52f9d8 : js/entities/Player.js : lignes 1565-1655
1d52d9ff91db : js/engine/CombatDirector.js : lignes 45-101</x:v>
      </x:c>
      <x:c r="M97" s="22" t="str">
        <x:v>https://github.com/darknigthmare/Yautja-hive-warriors/blob/0f37cc52f9d83a4abecc17b80f7bfc67701677cf/js/entities/Player.js#L1565-L1655
https://github.com/darknigthmare/Yautja-hive-warriors/blob/1d52d9ff91dbe85c08256f44f8b72086ab65200a/js/engine/CombatDirector.js#L45-L101</x:v>
      </x:c>
      <x:c r="N97" s="24" t="str">
        <x:v>À valider</x:v>
      </x:c>
    </x:row>
    <x:row r="98" ht="117" customHeight="1">
      <x:c r="A98" s="10" t="str">
        <x:v>AUD-092</x:v>
      </x:c>
      <x:c r="B98" s="10" t="str">
        <x:v>Campagne et progression</x:v>
      </x:c>
      <x:c r="C98" s="10" t="str">
        <x:v>Séparer campagnes fidèles et batailles alternatives</x:v>
      </x:c>
      <x:c r="D98" s="10" t="str">
        <x:v>P1</x:v>
      </x:c>
      <x:c r="E98" s="10" t="str">
        <x:v>À créer</x:v>
      </x:c>
      <x:c r="F98" s="10" t="str">
        <x:v>Cartes et ennemis de films/jeux/époques multiples sont mélangés dans une campagne courte.</x:v>
      </x:c>
      <x:c r="G98" s="10" t="str">
        <x:v>La campagne est fonctionnelle mais traverse toujours des continuïtés différentes.</x:v>
      </x:c>
      <x:c r="H98" s="10" t="str">
        <x:v>Identifier adaptation, crossover, reconstitution et scénario original dans le choix de mission.</x:v>
      </x:c>
      <x:c r="I98" s="10" t="str">
        <x:v>Un joueur sait si la bataille reproduit un événement ou réutilise un lieu pour une guerre alternative.</x:v>
      </x:c>
      <x:c r="J98" s="10" t="str">
        <x:v>AUD-007
AUD-029
AUD-059</x:v>
      </x:c>
      <x:c r="K98" s="10" t="str">
        <x:v>Adaptation de conception; aucun nouvel élément déclaré canon par cet audit.</x:v>
      </x:c>
      <x:c r="L98" s="10" t="str">
        <x:v>0f37cc52f9d8 : js/engine/StoryCampaign.js : lignes 3-71
0f37cc52f9d8 : js/main.js : lignes 137-145
1d52d9ff91db : js/engine/StoryCampaign.js : lignes 3-80</x:v>
      </x:c>
      <x:c r="M98"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98" s="24" t="str">
        <x:v>Terminé</x:v>
      </x:c>
    </x:row>
    <x:row r="99" ht="117" customHeight="1">
      <x:c r="A99" s="9" t="str">
        <x:v>AUD-093</x:v>
      </x:c>
      <x:c r="B99" s="9" t="str">
        <x:v>Campagne et progression</x:v>
      </x:c>
      <x:c r="C99" s="9" t="str">
        <x:v>Créer des arcs de bataille et changements d’objectif</x:v>
      </x:c>
      <x:c r="D99" s="9" t="str">
        <x:v>P1</x:v>
      </x:c>
      <x:c r="E99" s="9" t="str">
        <x:v>À créer</x:v>
      </x:c>
      <x:c r="F99" s="9" t="str">
        <x:v>La progression principale est le numéro de vague.</x:v>
      </x:c>
      <x:c r="G99" s="9" t="str">
        <x:v>Six rôles de secteurs fixes donnent un début de mission structurée.</x:v>
      </x:c>
      <x:c r="H99" s="9" t="str">
        <x:v>Écrire insertion, percée, retournement, décision et résolution avec déclencheurs et sorties alternatives.</x:v>
      </x:c>
      <x:c r="I99" s="9" t="str">
        <x:v>Chaque mission possède au moins un changement de situation causal, annoncé sans interrompre le contrôle inutilement.</x:v>
      </x:c>
      <x:c r="J99" s="9" t="str">
        <x:v>AUD-042
AUD-048
AUD-092</x:v>
      </x:c>
      <x:c r="K99" s="9" t="str">
        <x:v>Adaptation de conception; aucun nouvel élément déclaré canon par cet audit.</x:v>
      </x:c>
      <x:c r="L99" s="9" t="str">
        <x:v>0f37cc52f9d8 : js/engine/StoryCampaign.js : lignes 3-71
0f37cc52f9d8 : js/main.js : lignes 137-145
1d52d9ff91db : js/engine/StoryCampaign.js : lignes 3-80</x:v>
      </x:c>
      <x:c r="M99"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99" s="24" t="str">
        <x:v>Terminé</x:v>
      </x:c>
    </x:row>
    <x:row r="100" ht="117" customHeight="1">
      <x:c r="A100" s="10" t="str">
        <x:v>AUD-094</x:v>
      </x:c>
      <x:c r="B100" s="10" t="str">
        <x:v>Campagne et progression</x:v>
      </x:c>
      <x:c r="C100" s="10" t="str">
        <x:v>Donner aux personnages des enjeux et conséquences</x:v>
      </x:c>
      <x:c r="D100" s="10" t="str">
        <x:v>P2</x:v>
      </x:c>
      <x:c r="E100" s="10" t="str">
        <x:v>Partiel</x:v>
      </x:c>
      <x:c r="F100" s="10" t="str">
        <x:v>Noms, codex et trophées existent; pas d’arc distinct de commandement pour chacun.</x:v>
      </x:c>
      <x:c r="G100" s="10" t="str">
        <x:v>Campagne partagée et modèles personnalisés n’impliquent pas de narration individuelle complète.</x:v>
      </x:c>
      <x:c r="H100" s="10" t="str">
        <x:v>Relier motivation, clan, alliés et objectifs optionnels au personnage ou rôle choisi.</x:v>
      </x:c>
      <x:c r="I100" s="10" t="str">
        <x:v>Le briefing et le débrief réagissent au personnage et aux événements réellement accomplis.</x:v>
      </x:c>
      <x:c r="J100" s="10" t="str">
        <x:v>AUD-054
AUD-082
AUD-093</x:v>
      </x:c>
      <x:c r="K100" s="10" t="str">
        <x:v>Adaptation de conception; aucun nouvel élément déclaré canon par cet audit.</x:v>
      </x:c>
      <x:c r="L100" s="10" t="str">
        <x:v>0f37cc52f9d8 : js/engine/StoryCampaign.js : lignes 3-71
0f37cc52f9d8 : js/main.js : lignes 137-145
1d52d9ff91db : js/engine/StoryCampaign.js : lignes 3-80</x:v>
      </x:c>
      <x:c r="M100"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00" s="24" t="str">
        <x:v>À valider</x:v>
      </x:c>
    </x:row>
    <x:row r="101" ht="63" customHeight="1">
      <x:c r="A101" s="9" t="str">
        <x:v>AUD-095</x:v>
      </x:c>
      <x:c r="B101" s="9" t="str">
        <x:v>Campagne et progression</x:v>
      </x:c>
      <x:c r="C101" s="9" t="str">
        <x:v>Corriger le débit d’honneur de la forge</x:v>
      </x:c>
      <x:c r="D101" s="9" t="str">
        <x:v>P0</x:v>
      </x:c>
      <x:c r="E101" s="9" t="str">
        <x:v>À réconcilier</x:v>
      </x:c>
      <x:c r="F101" s="9" t="str">
        <x:v>buyUpgrade compare le revenu total et augmente un niveau sans conserver la somme dépensée.</x:v>
      </x:c>
      <x:c r="G101" s="9" t="str">
        <x:v>spentHonor et getBalance sont implémentés avec validation des valeurs.</x:v>
      </x:c>
      <x:c r="H101" s="9" t="str">
        <x:v>Préserver la correction et clarifier les récompenses de bataille/objectifs.</x:v>
      </x:c>
      <x:c r="I101" s="9" t="str">
        <x:v>Deux achats successifs débitent le solde réel; recharger n’autorise pas à dépenser plusieurs fois les mêmes points.</x:v>
      </x:c>
      <x:c r="J101" s="9" t="str">
        <x:v>AUD-001
AUD-018</x:v>
      </x:c>
      <x:c r="K101" s="9" t="str">
        <x:v>Adaptation de conception; aucun nouvel élément déclaré canon par cet audit.</x:v>
      </x:c>
      <x:c r="L101" s="9" t="str">
        <x:v>0f37cc52f9d8 : js/ui/ForgeShop.js : lignes 7-54
1d52d9ff91db : js/ui/ForgeShop.js : lignes 25-45</x:v>
      </x:c>
      <x:c r="M101" s="22" t="str">
        <x:v>https://github.com/darknigthmare/Yautja-hive-warriors/blob/0f37cc52f9d83a4abecc17b80f7bfc67701677cf/js/ui/ForgeShop.js#L7-L54
https://github.com/darknigthmare/Yautja-hive-warriors/blob/1d52d9ff91dbe85c08256f44f8b72086ab65200a/js/ui/ForgeShop.js#L25-L45</x:v>
      </x:c>
      <x:c r="N101" s="24" t="str">
        <x:v>Terminé</x:v>
      </x:c>
    </x:row>
    <x:row r="102" ht="117" customHeight="1">
      <x:c r="A102" s="10" t="str">
        <x:v>AUD-096</x:v>
      </x:c>
      <x:c r="B102" s="10" t="str">
        <x:v>Campagne et progression</x:v>
      </x:c>
      <x:c r="C102" s="10" t="str">
        <x:v>Sauvegarder et reprendre une opération longue</x:v>
      </x:c>
      <x:c r="D102" s="10" t="str">
        <x:v>P1</x:v>
      </x:c>
      <x:c r="E102" s="10" t="str">
        <x:v>À créer</x:v>
      </x:c>
      <x:c r="F102" s="10" t="str">
        <x:v>Sauvegardes locales d’honneur et trophées, sans état complet des fronts.</x:v>
      </x:c>
      <x:c r="G102" s="10" t="str">
        <x:v>Progression de campagne mieux structurée, mais reprise persistante d’une bataille non démontrée.</x:v>
      </x:c>
      <x:c r="H102" s="10" t="str">
        <x:v>Conserver mission, graine, groupes, portes, objectifs, pertes et ressources via checkpoints versionnés.</x:v>
      </x:c>
      <x:c r="I102" s="10" t="str">
        <x:v>Reprendre restitue l’état sans doublon de récompense et sans réinitialiser un front perdu.</x:v>
      </x:c>
      <x:c r="J102" s="10" t="str">
        <x:v>AUD-032
AUD-054
AUD-095</x:v>
      </x:c>
      <x:c r="K102" s="10" t="str">
        <x:v>Adaptation de conception; aucun nouvel élément déclaré canon par cet audit.</x:v>
      </x:c>
      <x:c r="L102" s="10" t="str">
        <x:v>0f37cc52f9d8 : js/engine/StoryCampaign.js : lignes 3-71
0f37cc52f9d8 : js/main.js : lignes 137-145
1d52d9ff91db : js/engine/StoryCampaign.js : lignes 3-80</x:v>
      </x:c>
      <x:c r="M102" s="23"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c r="N102" s="24" t="str">
        <x:v>Terminé</x:v>
      </x:c>
    </x:row>
    <x:row r="103" ht="90" customHeight="1">
      <x:c r="A103" s="9" t="str">
        <x:v>AUD-097</x:v>
      </x:c>
      <x:c r="B103" s="9" t="str">
        <x:v>Campagne et progression</x:v>
      </x:c>
      <x:c r="C103" s="9" t="str">
        <x:v>Faire varier la rejouabilité par conditions</x:v>
      </x:c>
      <x:c r="D103" s="9" t="str">
        <x:v>P2</x:v>
      </x:c>
      <x:c r="E103" s="9" t="str">
        <x:v>À créer</x:v>
      </x:c>
      <x:c r="F103" s="9" t="str">
        <x:v>Survie et sandbox varient surtout le nombre d’ennemis; scénario de base identique.</x:v>
      </x:c>
      <x:c r="G103" s="9" t="str">
        <x:v>Les six objectifs et leur ordre sont fixes par biome.</x:v>
      </x:c>
      <x:c r="H103" s="9" t="str">
        <x:v>Ajouter configurations cohérentes de routes, forces, alliances, météo et objectifs avec graine reproductible.</x:v>
      </x:c>
      <x:c r="I103" s="9" t="str">
        <x:v>Deux variantes d’une même carte demandent des décisions différentes tout en respectant la table de cohérence.</x:v>
      </x:c>
      <x:c r="J103" s="9" t="str">
        <x:v>AUD-021
AUD-058
AUD-093</x:v>
      </x:c>
      <x:c r="K103" s="9" t="str">
        <x:v>Adaptation de conception; aucun nouvel élément déclaré canon par cet audit.</x:v>
      </x:c>
      <x:c r="L103" s="9" t="str">
        <x:v>0f37cc52f9d8 : js/data/levelsData.js : lignes 3-184
1d52d9ff91db : js/data/BattlefieldLayouts.js : lignes 4-19</x:v>
      </x:c>
      <x:c r="M103" s="22" t="str">
        <x:v>https://github.com/darknigthmare/Yautja-hive-warriors/blob/0f37cc52f9d83a4abecc17b80f7bfc67701677cf/js/data/levelsData.js#L3-L184
https://github.com/darknigthmare/Yautja-hive-warriors/blob/1d52d9ff91dbe85c08256f44f8b72086ab65200a/js/data/BattlefieldLayouts.js#L4-L19</x:v>
      </x:c>
      <x:c r="N103" s="24" t="str">
        <x:v>À valider</x:v>
      </x:c>
    </x:row>
    <x:row r="104" ht="90" customHeight="1">
      <x:c r="A104" s="10" t="str">
        <x:v>AUD-098</x:v>
      </x:c>
      <x:c r="B104" s="10" t="str">
        <x:v>HUD et lisibilité</x:v>
      </x:c>
      <x:c r="C104" s="10" t="str">
        <x:v>Corriger les tableaux du radar de factions</x:v>
      </x:c>
      <x:c r="D104" s="10" t="str">
        <x:v>P1</x:v>
      </x:c>
      <x:c r="E104" s="10" t="str">
        <x:v>À corriger</x:v>
      </x:c>
      <x:c r="F104" s="10" t="str">
        <x:v>UIManager lit marines.squad, allies.squad et synthetics.synthetics; les gestionnaires exposent marines, allies et androids.</x:v>
      </x:c>
      <x:c r="G104" s="10" t="str">
        <x:v>Le radar est refondu pour la bataille, sans preuve d’un affichage complet de toutes les factions.</x:v>
      </x:c>
      <x:c r="H104" s="10" t="str">
        <x:v>Brancher le HUD sur un registre d’acteurs commun avec relation, visibilité et rôle.</x:v>
      </x:c>
      <x:c r="I104" s="10" t="str">
        <x:v>Chaque acteur visible apparaît dans la bonne catégorie; un symbole ne devient pas allié seulement par sa couleur.</x:v>
      </x:c>
      <x:c r="J104" s="10" t="str">
        <x:v>AUD-018
AUD-023</x:v>
      </x:c>
      <x:c r="K104" s="10" t="str">
        <x:v>Adaptation de conception; aucun nouvel élément déclaré canon par cet audit.</x:v>
      </x:c>
      <x:c r="L104" s="10" t="str">
        <x:v>0f37cc52f9d8 : js/ui/UIManager.js : lignes 341-411
1d52d9ff91db : js/ui/UIManager.js : lignes 302-338</x:v>
      </x:c>
      <x:c r="M104" s="23" t="str">
        <x:v>https://github.com/darknigthmare/Yautja-hive-warriors/blob/0f37cc52f9d83a4abecc17b80f7bfc67701677cf/js/ui/UIManager.js#L341-L411
https://github.com/darknigthmare/Yautja-hive-warriors/blob/1d52d9ff91dbe85c08256f44f8b72086ab65200a/js/ui/UIManager.js#L302-L338</x:v>
      </x:c>
      <x:c r="N104" s="24" t="str">
        <x:v>Terminé</x:v>
      </x:c>
    </x:row>
    <x:row r="105" ht="90" customHeight="1">
      <x:c r="A105" s="9" t="str">
        <x:v>AUD-099</x:v>
      </x:c>
      <x:c r="B105" s="9" t="str">
        <x:v>HUD et lisibilité</x:v>
      </x:c>
      <x:c r="C105" s="9" t="str">
        <x:v>Créer une carte de commandement complète</x:v>
      </x:c>
      <x:c r="D105" s="9" t="str">
        <x:v>P1</x:v>
      </x:c>
      <x:c r="E105" s="9" t="str">
        <x:v>À créer</x:v>
      </x:c>
      <x:c r="F105" s="9" t="str">
        <x:v>Minimap 160 × 160 centrée joueur avec points et échelle fixe.</x:v>
      </x:c>
      <x:c r="G105" s="9" t="str">
        <x:v>Vue des secteurs et objectifs présente, sans ordres de groupes ou fronts simultanés.</x:v>
      </x:c>
      <x:c r="H105" s="9" t="str">
        <x:v>Proposer carte de bataille zoomable avec routes, positions, pression, renforts et sélection d’ordres.</x:v>
      </x:c>
      <x:c r="I105" s="9" t="str">
        <x:v>Le joueur peut comparer les fronts et envoyer une unité depuis la carte sans perdre la compréhension de la situation.</x:v>
      </x:c>
      <x:c r="J105" s="9" t="str">
        <x:v>AUD-033
AUD-041
AUD-098</x:v>
      </x:c>
      <x:c r="K105" s="9" t="str">
        <x:v>Adaptation de conception; aucun nouvel élément déclaré canon par cet audit.</x:v>
      </x:c>
      <x:c r="L105" s="9" t="str">
        <x:v>0f37cc52f9d8 : js/ui/UIManager.js : lignes 341-411
1d52d9ff91db : js/ui/UIManager.js : lignes 302-338</x:v>
      </x:c>
      <x:c r="M105" s="22" t="str">
        <x:v>https://github.com/darknigthmare/Yautja-hive-warriors/blob/0f37cc52f9d83a4abecc17b80f7bfc67701677cf/js/ui/UIManager.js#L341-L411
https://github.com/darknigthmare/Yautja-hive-warriors/blob/1d52d9ff91dbe85c08256f44f8b72086ab65200a/js/ui/UIManager.js#L302-L338</x:v>
      </x:c>
      <x:c r="N105" s="24" t="str">
        <x:v>À valider</x:v>
      </x:c>
    </x:row>
    <x:row r="106" ht="90" customHeight="1">
      <x:c r="A106" s="10" t="str">
        <x:v>AUD-100</x:v>
      </x:c>
      <x:c r="B106" s="10" t="str">
        <x:v>HUD et lisibilité</x:v>
      </x:c>
      <x:c r="C106" s="10" t="str">
        <x:v>Prioriser alertes et rapports des fronts</x:v>
      </x:c>
      <x:c r="D106" s="10" t="str">
        <x:v>P1</x:v>
      </x:c>
      <x:c r="E106" s="10" t="str">
        <x:v>À créer</x:v>
      </x:c>
      <x:c r="F106" s="10" t="str">
        <x:v>Nombreux showAnnouncement sont déclenchés par attaques, interactions et effets.</x:v>
      </x:c>
      <x:c r="G106" s="10" t="str">
        <x:v>Les annonces sectorielles ajoutent des objectifs mais pas une priorité d’urgence globale.</x:v>
      </x:c>
      <x:c r="H106" s="10" t="str">
        <x:v>Créer file d’alertes classée: défaite imminente, chef en danger, objectif, renfort, information locale.</x:v>
      </x:c>
      <x:c r="I106" s="10" t="str">
        <x:v>Une attaque ordinaire ne masque pas un avertissement stratégique; chaque alerte urgente pointe le lieu et le délai.</x:v>
      </x:c>
      <x:c r="J106" s="10" t="str">
        <x:v>AUD-042
AUD-047
AUD-099</x:v>
      </x:c>
      <x:c r="K106" s="10" t="str">
        <x:v>Adaptation de conception; aucun nouvel élément déclaré canon par cet audit.</x:v>
      </x:c>
      <x:c r="L106" s="10" t="str">
        <x:v>0f37cc52f9d8 : js/ui/UIManager.js : lignes 341-411
1d52d9ff91db : js/ui/UIManager.js : lignes 302-338</x:v>
      </x:c>
      <x:c r="M106" s="23" t="str">
        <x:v>https://github.com/darknigthmare/Yautja-hive-warriors/blob/0f37cc52f9d83a4abecc17b80f7bfc67701677cf/js/ui/UIManager.js#L341-L411
https://github.com/darknigthmare/Yautja-hive-warriors/blob/1d52d9ff91dbe85c08256f44f8b72086ab65200a/js/ui/UIManager.js#L302-L338</x:v>
      </x:c>
      <x:c r="N106" s="24" t="str">
        <x:v>Terminé</x:v>
      </x:c>
    </x:row>
    <x:row r="107" ht="103.5" customHeight="1">
      <x:c r="A107" s="9" t="str">
        <x:v>AUD-101</x:v>
      </x:c>
      <x:c r="B107" s="9" t="str">
        <x:v>HUD et lisibilité</x:v>
      </x:c>
      <x:c r="C107" s="9" t="str">
        <x:v>Afficher l’origine des gains et pertes de contrôle</x:v>
      </x:c>
      <x:c r="D107" s="9" t="str">
        <x:v>P2</x:v>
      </x:c>
      <x:c r="E107" s="9" t="str">
        <x:v>Partiel</x:v>
      </x:c>
      <x:c r="F107" s="9" t="str">
        <x:v>La barre de moral affiche une valeur globale et des buffs.</x:v>
      </x:c>
      <x:c r="G107" s="9" t="str">
        <x:v>Objectifs de secteurs affichés avec quotas et contre-attaque.</x:v>
      </x:c>
      <x:c r="H107" s="9" t="str">
        <x:v>Ajouter rapports brefs des pertes, prises, renforts et changements de pression par front.</x:v>
      </x:c>
      <x:c r="I107" s="9" t="str">
        <x:v>Une variation importante de contrôle est explicable par un événement enregistré et accessible au journal.</x:v>
      </x:c>
      <x:c r="J107" s="9" t="str">
        <x:v>AUD-018
AUD-044
AUD-100</x:v>
      </x:c>
      <x:c r="K107" s="9" t="str">
        <x:v>Adaptation de conception; aucun nouvel élément déclaré canon par cet audit.</x:v>
      </x:c>
      <x:c r="L107" s="9" t="str">
        <x:v>0f37cc52f9d8 : js/main.js : lignes 2244-2303
0f37cc52f9d8 : js/main.js : lignes 3792-3796
1d52d9ff91db : js/engine/CombatDirector.js : lignes 3-17</x:v>
      </x:c>
      <x:c r="M107" s="22" t="str">
        <x:v>https://github.com/darknigthmare/Yautja-hive-warriors/blob/0f37cc52f9d83a4abecc17b80f7bfc67701677cf/js/main.js#L2244-L2303
https://github.com/darknigthmare/Yautja-hive-warriors/blob/0f37cc52f9d83a4abecc17b80f7bfc67701677cf/js/main.js#L3792-L3796
https://github.com/darknigthmare/Yautja-hive-warriors/blob/1d52d9ff91dbe85c08256f44f8b72086ab65200a/js/engine/CombatDirector.js#L3-L17</x:v>
      </x:c>
      <x:c r="N107" s="24" t="str">
        <x:v>Terminé</x:v>
      </x:c>
    </x:row>
    <x:row r="108" ht="90" customHeight="1">
      <x:c r="A108" s="10" t="str">
        <x:v>AUD-102</x:v>
      </x:c>
      <x:c r="B108" s="10" t="str">
        <x:v>HUD et lisibilité</x:v>
      </x:c>
      <x:c r="C108" s="10" t="str">
        <x:v>Rendre le HUD de masse utilisable à la manette</x:v>
      </x:c>
      <x:c r="D108" s="10" t="str">
        <x:v>P1</x:v>
      </x:c>
      <x:c r="E108" s="10" t="str">
        <x:v>À créer</x:v>
      </x:c>
      <x:c r="F108" s="10" t="str">
        <x:v>Nombreux raccourcis clavier et raccourcis combinés; pas de mapping manette complet dans les fichiers examinés.</x:v>
      </x:c>
      <x:c r="G108" s="10" t="str">
        <x:v>La branche validée améliore interfaces mais ne constitue pas un mapping testé de toutes les fonctions v65.</x:v>
      </x:c>
      <x:c r="H108" s="10" t="str">
        <x:v>Regrouper armes, ordres, carte et gadgets dans actions principales et roues contextuelles reconfigurables.</x:v>
      </x:c>
      <x:c r="I108" s="10" t="str">
        <x:v>Toutes les actions nécessaires à une bataille sont réalisables avec une manette sans clavier ni perte de mouvement.</x:v>
      </x:c>
      <x:c r="J108" s="10" t="str">
        <x:v>AUD-033
AUD-084
AUD-099</x:v>
      </x:c>
      <x:c r="K108" s="10" t="str">
        <x:v>Adaptation de conception; aucun nouvel élément déclaré canon par cet audit.</x:v>
      </x:c>
      <x:c r="L108" s="10" t="str">
        <x:v>0f37cc52f9d8 : js/ui/UIManager.js : lignes 341-411
1d52d9ff91db : js/ui/UIManager.js : lignes 302-338</x:v>
      </x:c>
      <x:c r="M108" s="23" t="str">
        <x:v>https://github.com/darknigthmare/Yautja-hive-warriors/blob/0f37cc52f9d83a4abecc17b80f7bfc67701677cf/js/ui/UIManager.js#L341-L411
https://github.com/darknigthmare/Yautja-hive-warriors/blob/1d52d9ff91dbe85c08256f44f8b72086ab65200a/js/ui/UIManager.js#L302-L338</x:v>
      </x:c>
      <x:c r="N108" s="24" t="str">
        <x:v>Terminé</x:v>
      </x:c>
    </x:row>
    <x:row r="109" ht="90" customHeight="1">
      <x:c r="A109" s="9" t="str">
        <x:v>AUD-103</x:v>
      </x:c>
      <x:c r="B109" s="9" t="str">
        <x:v>HUD et lisibilité</x:v>
      </x:c>
      <x:c r="C109" s="9" t="str">
        <x:v>Préserver la lisibilité pour tous les profils visuels</x:v>
      </x:c>
      <x:c r="D109" s="9" t="str">
        <x:v>P2</x:v>
      </x:c>
      <x:c r="E109" s="9" t="str">
        <x:v>À créer</x:v>
      </x:c>
      <x:c r="F109" s="9" t="str">
        <x:v>Identification dépend fortement de couleurs, éclairs et texte dense.</x:v>
      </x:c>
      <x:c r="G109" s="9" t="str">
        <x:v>Les modèles sont plus détaillés, sans preuve de modes de lisibilité complets.</x:v>
      </x:c>
      <x:c r="H109" s="9" t="str">
        <x:v>Associer couleur à forme et pictogramme; régler taille texte, tremblement, flash et sous-titres des alertes.</x:v>
      </x:c>
      <x:c r="I109" s="9" t="str">
        <x:v>Les objectifs et dangers restent distinguables avec couleurs simulées et effets réduits.</x:v>
      </x:c>
      <x:c r="J109" s="9" t="str">
        <x:v>AUD-031
AUD-100</x:v>
      </x:c>
      <x:c r="K109" s="9" t="str">
        <x:v>Adaptation de conception; aucun nouvel élément déclaré canon par cet audit.</x:v>
      </x:c>
      <x:c r="L109" s="9" t="str">
        <x:v>0f37cc52f9d8 : js/ui/UIManager.js : lignes 341-411
1d52d9ff91db : js/ui/UIManager.js : lignes 302-338</x:v>
      </x:c>
      <x:c r="M109" s="22" t="str">
        <x:v>https://github.com/darknigthmare/Yautja-hive-warriors/blob/0f37cc52f9d83a4abecc17b80f7bfc67701677cf/js/ui/UIManager.js#L341-L411
https://github.com/darknigthmare/Yautja-hive-warriors/blob/1d52d9ff91dbe85c08256f44f8b72086ab65200a/js/ui/UIManager.js#L302-L338</x:v>
      </x:c>
      <x:c r="N109" s="24" t="str">
        <x:v>À valider</x:v>
      </x:c>
    </x:row>
    <x:row r="110" ht="117" customHeight="1">
      <x:c r="A110" s="10" t="str">
        <x:v>AUD-104</x:v>
      </x:c>
      <x:c r="B110" s="10" t="str">
        <x:v>HUD et lisibilité</x:v>
      </x:c>
      <x:c r="C110" s="10" t="str">
        <x:v>Adapter la caméra aux combats et au commandement</x:v>
      </x:c>
      <x:c r="D110" s="10" t="str">
        <x:v>P1</x:v>
      </x:c>
      <x:c r="E110" s="10" t="str">
        <x:v>Partiel</x:v>
      </x:c>
      <x:c r="F110" s="10" t="str">
        <x:v>Caméras fixe/split et vue masque sont présentes avec effets de FOV.</x:v>
      </x:c>
      <x:c r="G110" s="10" t="str">
        <x:v>La branche validée possède une présentation revue, sans couverture des futurs fronts/boss géants.</x:v>
      </x:c>
      <x:c r="H110" s="10" t="str">
        <x:v>Définir distances, limites, occlusion et transitions pour foule, duel, verticalité et carte tactique.</x:v>
      </x:c>
      <x:c r="I110" s="10" t="str">
        <x:v>Le joueur et le danger principal restent visibles dans chaque scénario; la caméra ne traverse pas les parois.</x:v>
      </x:c>
      <x:c r="J110" s="10" t="str">
        <x:v>AUD-064
AUD-066
AUD-099</x:v>
      </x:c>
      <x:c r="K110" s="10" t="str">
        <x:v>Adaptation de conception; aucun nouvel élément déclaré canon par cet audit.</x:v>
      </x:c>
      <x:c r="L110" s="10" t="str">
        <x:v>0f37cc52f9d8 : js/main.js : lignes 2957-2961
0f37cc52f9d8 : js/engine/Renderer.js : lignes 130-150
1d52d9ff91db : js/engine/CombatDirector.js : lignes 38-42</x:v>
      </x:c>
      <x:c r="M110"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x:v>
      </x:c>
      <x:c r="N110" s="24" t="str">
        <x:v>À valider</x:v>
      </x:c>
    </x:row>
    <x:row r="111" ht="130.5" customHeight="1">
      <x:c r="A111" s="9" t="str">
        <x:v>AUD-105</x:v>
      </x:c>
      <x:c r="B111" s="9" t="str">
        <x:v>Performance et QA</x:v>
      </x:c>
      <x:c r="C111" s="9" t="str">
        <x:v>Réutiliser la gestion correcte des ressources</x:v>
      </x:c>
      <x:c r="D111" s="9" t="str">
        <x:v>P0</x:v>
      </x:c>
      <x:c r="E111" s="9" t="str">
        <x:v>À réconcilier</x:v>
      </x:c>
      <x:c r="F111" s="9" t="str">
        <x:v>clearWave retire les objets de scène sans disposer systématiquement géométries et matériaux.</x:v>
      </x:c>
      <x:c r="G111" s="9" t="str">
        <x:v>SceneResources et registres de ressources partagées sont déjà présents.</x:v>
      </x:c>
      <x:c r="H111" s="9" t="str">
        <x:v>Étendre ces propriétaires et libérations aux ajouts main, sans détruire les ressources encore utilisées.</x:v>
      </x:c>
      <x:c r="I111" s="9" t="str">
        <x:v>Dix relances d’une mission ne font pas croître les compteurs de ressources; aucune texture partagée ne disparaît.</x:v>
      </x:c>
      <x:c r="J111" s="9" t="str">
        <x:v>AUD-001</x:v>
      </x:c>
      <x:c r="K111" s="9" t="str">
        <x:v>Adaptation de conception; aucun nouvel élément déclaré canon par cet audit.</x:v>
      </x:c>
      <x:c r="L111" s="9" t="str">
        <x:v>0f37cc52f9d8 : js/entities/XenomorphHorde.js : lignes 2914-2941
0f37cc52f9d8 : js/engine/Renderer.js : lignes 24-31
1d52d9ff91db : docs/SECTOR-ARCHITECTURE.md : lignes 31-60</x:v>
      </x:c>
      <x:c r="M111"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1" s="24" t="str">
        <x:v>À valider</x:v>
      </x:c>
    </x:row>
    <x:row r="112" ht="130.5" customHeight="1">
      <x:c r="A112" s="10" t="str">
        <x:v>AUD-106</x:v>
      </x:c>
      <x:c r="B112" s="10" t="str">
        <x:v>Performance et QA</x:v>
      </x:c>
      <x:c r="C112" s="10" t="str">
        <x:v>Établir un budget de rendu des armées</x:v>
      </x:c>
      <x:c r="D112" s="10" t="str">
        <x:v>P1</x:v>
      </x:c>
      <x:c r="E112" s="10" t="str">
        <x:v>À créer</x:v>
      </x:c>
      <x:c r="F112" s="10" t="str">
        <x:v>Chaque créature est un groupe de meshes; beaucoup de géométries sont créées à l’unité.</x:v>
      </x:c>
      <x:c r="G112" s="10" t="str">
        <x:v>Décor partagé, regroupements et instanciation existent, sans preuve de foule musou complète.</x:v>
      </x:c>
      <x:c r="H112" s="10" t="str">
        <x:v>Définir triangles, matériaux, soumissions et coûts d’animation par niveau de distance.</x:v>
      </x:c>
      <x:c r="I112" s="10" t="str">
        <x:v>L’augmentation du nombre d’unités suit les budgets mesurés et conserve la silhouette de chaque rôle.</x:v>
      </x:c>
      <x:c r="J112" s="10" t="str">
        <x:v>AUD-010
AUD-031
AUD-105</x:v>
      </x:c>
      <x:c r="K112" s="10" t="str">
        <x:v>Adaptation de conception; aucun nouvel élément déclaré canon par cet audit.</x:v>
      </x:c>
      <x:c r="L112" s="10" t="str">
        <x:v>0f37cc52f9d8 : js/entities/XenomorphHorde.js : lignes 2914-2941
0f37cc52f9d8 : js/engine/Renderer.js : lignes 24-31
1d52d9ff91db : docs/SECTOR-ARCHITECTURE.md : lignes 31-60</x:v>
      </x:c>
      <x:c r="M112" s="23"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2" s="24" t="str">
        <x:v>En cours</x:v>
      </x:c>
    </x:row>
    <x:row r="113" ht="117" customHeight="1">
      <x:c r="A113" s="9" t="str">
        <x:v>AUD-107</x:v>
      </x:c>
      <x:c r="B113" s="9" t="str">
        <x:v>Performance et QA</x:v>
      </x:c>
      <x:c r="C113" s="9" t="str">
        <x:v>Échelonner les calculs IA et requêtes de proximité</x:v>
      </x:c>
      <x:c r="D113" s="9" t="str">
        <x:v>P1</x:v>
      </x:c>
      <x:c r="E113" s="9" t="str">
        <x:v>À créer</x:v>
      </x:c>
      <x:c r="F113" s="9" t="str">
        <x:v>Les gestionnaires parcourent fréquemment toutes les aliens pour choisir une cible ou appliquer dégâts.</x:v>
      </x:c>
      <x:c r="G113" s="9" t="str">
        <x:v>La pression est mieux organisée mais les cibles alliées utilisent encore des parcours linéaires.</x:v>
      </x:c>
      <x:c r="H113" s="9" t="str">
        <x:v>Ajouter index spatial et cadences adaptées à distance/rôle; garder impacts locaux précis.</x:v>
      </x:c>
      <x:c r="I113" s="9" t="str">
        <x:v>La recherche de cibles ne domine pas le temps CPU lorsque l’effectif double; les résultats restent déterministes pour le test.</x:v>
      </x:c>
      <x:c r="J113" s="9" t="str">
        <x:v>AUD-010
AUD-019
AUD-032</x:v>
      </x:c>
      <x:c r="K113" s="9" t="str">
        <x:v>Adaptation de conception; aucun nouvel élément déclaré canon par cet audit.</x:v>
      </x:c>
      <x:c r="L113" s="9" t="str">
        <x:v>0f37cc52f9d8 : js/entities/YautjaAllies.js : lignes 98-173
1d52d9ff91db : js/entities/YautjaAllies.js : lignes 14-87
1d52d9ff91db : js/main.js : lignes 921-949</x:v>
      </x:c>
      <x:c r="M113"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c r="N113" s="24" t="str">
        <x:v>En cours</x:v>
      </x:c>
    </x:row>
    <x:row r="114" ht="117" customHeight="1">
      <x:c r="A114" s="10" t="str">
        <x:v>AUD-108</x:v>
      </x:c>
      <x:c r="B114" s="10" t="str">
        <x:v>Performance et QA</x:v>
      </x:c>
      <x:c r="C114" s="10" t="str">
        <x:v>Gérer deux fronts visibles en coopération</x:v>
      </x:c>
      <x:c r="D114" s="10" t="str">
        <x:v>P1</x:v>
      </x:c>
      <x:c r="E114" s="10" t="str">
        <x:v>À réconcilier</x:v>
      </x:c>
      <x:c r="F114" s="10" t="str">
        <x:v>Deux vues rendent toute la scène; les hostiles ciblent P1 dans la boucle main.</x:v>
      </x:c>
      <x:c r="G114" s="10" t="str">
        <x:v>Visibilité prend déjà les deux joueurs en compte et CombatDirector sélectionne les vivants.</x:v>
      </x:c>
      <x:c r="H114" s="10" t="str">
        <x:v>Conserver la correction et définir budget des deux groupes de zones lorsque les joueurs s’éloignent.</x:v>
      </x:c>
      <x:c r="I114" s="10" t="str">
        <x:v>P1 etP2 peuvent combattre sur deux fronts avec menaces équitables, objectifs partagés et budget mesuré.</x:v>
      </x:c>
      <x:c r="J114" s="10" t="str">
        <x:v>AUD-001
AUD-019
AUD-042
AUD-106</x:v>
      </x:c>
      <x:c r="K114" s="10" t="str">
        <x:v>Adaptation de conception; aucun nouvel élément déclaré canon par cet audit.</x:v>
      </x:c>
      <x:c r="L114" s="10" t="str">
        <x:v>0f37cc52f9d8 : js/main.js : lignes 2957-2961
0f37cc52f9d8 : js/engine/Renderer.js : lignes 130-150
1d52d9ff91db : js/engine/CombatDirector.js : lignes 38-42</x:v>
      </x:c>
      <x:c r="M114" s="23" t="str">
        <x:v>https://github.com/darknigthmare/Yautja-hive-warriors/blob/0f37cc52f9d83a4abecc17b80f7bfc67701677cf/js/main.js#L2957-L2961
https://github.com/darknigthmare/Yautja-hive-warriors/blob/0f37cc52f9d83a4abecc17b80f7bfc67701677cf/js/engine/Renderer.js#L130-L150
https://github.com/darknigthmare/Yautja-hive-warriors/blob/1d52d9ff91dbe85c08256f44f8b72086ab65200a/js/engine/CombatDirector.js#L38-L42</x:v>
      </x:c>
      <x:c r="N114" s="24" t="str">
        <x:v>À valider</x:v>
      </x:c>
    </x:row>
    <x:row r="115" ht="130.5" customHeight="1">
      <x:c r="A115" s="9" t="str">
        <x:v>AUD-109</x:v>
      </x:c>
      <x:c r="B115" s="9" t="str">
        <x:v>Performance et QA</x:v>
      </x:c>
      <x:c r="C115" s="9" t="str">
        <x:v>Borner les effets secondaires et cadavres</x:v>
      </x:c>
      <x:c r="D115" s="9" t="str">
        <x:v>P1</x:v>
      </x:c>
      <x:c r="E115" s="9" t="str">
        <x:v>À créer</x:v>
      </x:c>
      <x:c r="F115" s="9" t="str">
        <x:v>Multiples tableaux d’acide, projectiles, parasites et effets se renouvellent pendant les vagues.</x:v>
      </x:c>
      <x:c r="G115" s="9" t="str">
        <x:v>Libération et ressources partagées sont améliorées; nouveaux effets v65 restent à intégrer.</x:v>
      </x:c>
      <x:c r="H115" s="9" t="str">
        <x:v>Définir plafonds, durée, pool et priorité visuelle des effets sans supprimer leurs conséquences de gameplay.</x:v>
      </x:c>
      <x:c r="I115" s="9" t="str">
        <x:v>Une bataille prolongée garde une mémoire stable et les effets obligatoires restent lisibles quand le budget est atteint.</x:v>
      </x:c>
      <x:c r="J115" s="9" t="str">
        <x:v>AUD-105
AUD-106</x:v>
      </x:c>
      <x:c r="K115" s="9" t="str">
        <x:v>Adaptation de conception; aucun nouvel élément déclaré canon par cet audit.</x:v>
      </x:c>
      <x:c r="L115" s="9" t="str">
        <x:v>0f37cc52f9d8 : js/entities/XenomorphHorde.js : lignes 2914-2941
0f37cc52f9d8 : js/engine/Renderer.js : lignes 24-31
1d52d9ff91db : docs/SECTOR-ARCHITECTURE.md : lignes 31-60</x:v>
      </x:c>
      <x:c r="M115"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5" s="24" t="str">
        <x:v>À valider</x:v>
      </x:c>
    </x:row>
    <x:row r="116" ht="117" customHeight="1">
      <x:c r="A116" s="10" t="str">
        <x:v>AUD-110</x:v>
      </x:c>
      <x:c r="B116" s="10" t="str">
        <x:v>Performance et QA</x:v>
      </x:c>
      <x:c r="C116" s="10" t="str">
        <x:v>Assurer une simulation indépendante de la fréquence d’images</x:v>
      </x:c>
      <x:c r="D116" s="10" t="str">
        <x:v>P0</x:v>
      </x:c>
      <x:c r="E116" s="10" t="str">
        <x:v>À réconcilier</x:v>
      </x:c>
      <x:c r="F116" s="10" t="str">
        <x:v>Certains tirs Marines appliquent Math.random()&lt;seuil à chaque update, donc cadence liée au nombre d’images.</x:v>
      </x:c>
      <x:c r="G116" s="10" t="str">
        <x:v>HostilePressure utilise préparation et récupération en temps de simulation.</x:v>
      </x:c>
      <x:c r="H116" s="10" t="str">
        <x:v>Récupérer le timing robuste pour chaque faction et convertir les autres chances par frame en cadence temporelle.</x:v>
      </x:c>
      <x:c r="I116" s="10" t="str">
        <x:v>Le même scénario à 30/60/120 fps produit des cadences et dégâts proches selon la tolérance documentée.</x:v>
      </x:c>
      <x:c r="J116" s="10" t="str">
        <x:v>AUD-001
AUD-011</x:v>
      </x:c>
      <x:c r="K116" s="10" t="str">
        <x:v>Adaptation de conception; aucun nouvel élément déclaré canon par cet audit.</x:v>
      </x:c>
      <x:c r="L116" s="10" t="str">
        <x:v>0f37cc52f9d8 : js/entities/ColonialMarines.js : lignes 132-257
0f37cc52f9d8 : js/entities/Synthetics.js : lignes 285-357
1d52d9ff91db : js/main.js : lignes 921-945</x:v>
      </x:c>
      <x:c r="M116"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c r="N116" s="24" t="str">
        <x:v>Terminé</x:v>
      </x:c>
    </x:row>
    <x:row r="117" ht="117" customHeight="1">
      <x:c r="A117" s="9" t="str">
        <x:v>AUD-111</x:v>
      </x:c>
      <x:c r="B117" s="9" t="str">
        <x:v>Performance et QA</x:v>
      </x:c>
      <x:c r="C117" s="9" t="str">
        <x:v>Suspendre tous les événements à la pause</x:v>
      </x:c>
      <x:c r="D117" s="9" t="str">
        <x:v>P1</x:v>
      </x:c>
      <x:c r="E117" s="9" t="str">
        <x:v>À réconcilier</x:v>
      </x:c>
      <x:c r="F117" s="9" t="str">
        <x:v>setTimeout est utilisé pour appuis et invocations; effets Date.now parsèment le code.</x:v>
      </x:c>
      <x:c r="G117" s="9" t="str">
        <x:v>Des tâches de mission et une horloge de simulation sont utilisées dans la branche validée.</x:v>
      </x:c>
      <x:c r="H117" s="9" t="str">
        <x:v>Conserver l’horloge de mission pour délais, boss, renforts et reprise.</x:v>
      </x:c>
      <x:c r="I117" s="9" t="str">
        <x:v>Une pause de 60 s ne déclenche ni frappe, ni invocation, ni perte de front; quitter annule les callbacks.</x:v>
      </x:c>
      <x:c r="J117" s="9" t="str">
        <x:v>AUD-001
AUD-110</x:v>
      </x:c>
      <x:c r="K117" s="9" t="str">
        <x:v>Adaptation de conception; aucun nouvel élément déclaré canon par cet audit.</x:v>
      </x:c>
      <x:c r="L117" s="9" t="str">
        <x:v>0f37cc52f9d8 : js/main.js : lignes 3699-3769
1d52d9ff91db : js/engine/BattlefieldMission.js : lignes 71-120
1d52d9ff91db : js/engine/BattlefieldProgression.js : lignes 202-219</x:v>
      </x:c>
      <x:c r="M117" s="22"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17" s="24" t="str">
        <x:v>Terminé</x:v>
      </x:c>
    </x:row>
    <x:row r="118" ht="130.5" customHeight="1">
      <x:c r="A118" s="10" t="str">
        <x:v>AUD-112</x:v>
      </x:c>
      <x:c r="B118" s="10" t="str">
        <x:v>Performance et QA</x:v>
      </x:c>
      <x:c r="C118" s="10" t="str">
        <x:v>Préparer un chargement par zones</x:v>
      </x:c>
      <x:c r="D118" s="10" t="str">
        <x:v>P2</x:v>
      </x:c>
      <x:c r="E118" s="10" t="str">
        <x:v>À créer</x:v>
      </x:c>
      <x:c r="F118" s="10" t="str">
        <x:v>EnvironmentManager construit beaucoup de contenu au lancement de chaque carte.</x:v>
      </x:c>
      <x:c r="G118" s="10" t="str">
        <x:v>Les zones ont activation du détail mais les ressources du réseau restent résidentes.</x:v>
      </x:c>
      <x:c r="H118" s="10" t="str">
        <x:v>Charger à l’avance les prochains secteurs et libérer les ensembles non nécessaires, avec progression fiable.</x:v>
      </x:c>
      <x:c r="I118" s="10" t="str">
        <x:v>Le franchissement ne provoque ni terrain absent ni arrêt prolongé; revenir conserve objectifs et destructions.</x:v>
      </x:c>
      <x:c r="J118" s="10" t="str">
        <x:v>AUD-019
AUD-055
AUD-105</x:v>
      </x:c>
      <x:c r="K118" s="10" t="str">
        <x:v>Adaptation de conception; aucun nouvel élément déclaré canon par cet audit.</x:v>
      </x:c>
      <x:c r="L118" s="10" t="str">
        <x:v>0f37cc52f9d8 : js/entities/XenomorphHorde.js : lignes 2914-2941
0f37cc52f9d8 : js/engine/Renderer.js : lignes 24-31
1d52d9ff91db : docs/SECTOR-ARCHITECTURE.md : lignes 31-60</x:v>
      </x:c>
      <x:c r="M118" s="23"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8" s="24" t="str">
        <x:v>À valider</x:v>
      </x:c>
    </x:row>
    <x:row r="119" ht="130.5" customHeight="1">
      <x:c r="A119" s="9" t="str">
        <x:v>AUD-113</x:v>
      </x:c>
      <x:c r="B119" s="9" t="str">
        <x:v>Performance et QA</x:v>
      </x:c>
      <x:c r="C119" s="9" t="str">
        <x:v>Créer une mesure réelle des performances</x:v>
      </x:c>
      <x:c r="D119" s="9" t="str">
        <x:v>P1</x:v>
      </x:c>
      <x:c r="E119" s="9" t="str">
        <x:v>À créer</x:v>
      </x:c>
      <x:c r="F119" s="9" t="str">
        <x:v>Pas de métriques de frame time, CPU/GPU ou mémoire exposées dans main.</x:v>
      </x:c>
      <x:c r="G119" s="9" t="str">
        <x:v>Les docs donnent des budgets CPU de géométrie, explicitement pas des mesures de FPS matériels.</x:v>
      </x:c>
      <x:c r="H119" s="9" t="str">
        <x:v>Mesurer scènes standardisées sur matériel identifié, résolutions et modes qualité, avec p50/p95/p99.</x:v>
      </x:c>
      <x:c r="I119" s="9" t="str">
        <x:v>Les promesses d’effectifs reposent sur une capture mesurée et reproductible, pas sur le seul nombre de triangles.</x:v>
      </x:c>
      <x:c r="J119" s="9" t="str">
        <x:v>AUD-010
AUD-106
AUD-107</x:v>
      </x:c>
      <x:c r="K119" s="9" t="str">
        <x:v>Adaptation de conception; aucun nouvel élément déclaré canon par cet audit.</x:v>
      </x:c>
      <x:c r="L119" s="9" t="str">
        <x:v>0f37cc52f9d8 : js/entities/XenomorphHorde.js : lignes 2914-2941
0f37cc52f9d8 : js/engine/Renderer.js : lignes 24-31
1d52d9ff91db : docs/SECTOR-ARCHITECTURE.md : lignes 31-60</x:v>
      </x:c>
      <x:c r="M119" s="22" t="str">
        <x:v>https://github.com/darknigthmare/Yautja-hive-warriors/blob/0f37cc52f9d83a4abecc17b80f7bfc67701677cf/js/entities/XenomorphHorde.js#L2914-L2941
https://github.com/darknigthmare/Yautja-hive-warriors/blob/0f37cc52f9d83a4abecc17b80f7bfc67701677cf/js/engine/Renderer.js#L24-L31
https://github.com/darknigthmare/Yautja-hive-warriors/blob/1d52d9ff91dbe85c08256f44f8b72086ab65200a/docs/SECTOR-ARCHITECTURE.md#L31-L60</x:v>
      </x:c>
      <x:c r="N119" s="24" t="str">
        <x:v>En cours</x:v>
      </x:c>
    </x:row>
    <x:row r="120" ht="90" customHeight="1">
      <x:c r="A120" s="10" t="str">
        <x:v>AUD-114</x:v>
      </x:c>
      <x:c r="B120" s="10" t="str">
        <x:v>Performance et QA</x:v>
      </x:c>
      <x:c r="C120" s="10" t="str">
        <x:v>Rétablir une construction et des dépendances reproductibles</x:v>
      </x:c>
      <x:c r="D120" s="10" t="str">
        <x:v>P0</x:v>
      </x:c>
      <x:c r="E120" s="10" t="str">
        <x:v>À réconcilier</x:v>
      </x:c>
      <x:c r="F120" s="10" t="str">
        <x:v>package.json utilise des plages de versions et n’expose pas de script test; aucun lockfile visible sur main.</x:v>
      </x:c>
      <x:c r="G120" s="10" t="str">
        <x:v>La branche validée contient moteurs et outillage de test explicités.</x:v>
      </x:c>
      <x:c r="H120" s="10" t="str">
        <x:v>Préserver versions et verrou de dépendances validés; documenter une commande de build et de contrôle cohérente.</x:v>
      </x:c>
      <x:c r="I120" s="10" t="str">
        <x:v>Deux installations propres produisent le même jeu fonctionnel et les erreurs bloquent la PR avant publication.</x:v>
      </x:c>
      <x:c r="J120" s="10" t="str">
        <x:v>AUD-001
AUD-002
AUD-003</x:v>
      </x:c>
      <x:c r="K120" s="10" t="str">
        <x:v>Adaptation de conception; aucun nouvel élément déclaré canon par cet audit.</x:v>
      </x:c>
      <x:c r="L120" s="10" t="str">
        <x:v>0f37cc52f9d8 : package.json : lignes 6-17
1d52d9ff91db : package.json : lignes 9-24
1d52d9ff91db : docs/BATTLEFIELDS.md : lignes 34</x:v>
      </x:c>
      <x:c r="M120" s="23"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0" s="24" t="str">
        <x:v>Terminé</x:v>
      </x:c>
    </x:row>
    <x:row r="121" ht="90" customHeight="1">
      <x:c r="A121" s="9" t="str">
        <x:v>AUD-115</x:v>
      </x:c>
      <x:c r="B121" s="9" t="str">
        <x:v>Performance et QA</x:v>
      </x:c>
      <x:c r="C121" s="9" t="str">
        <x:v>Vérifier les dix parcours complets</x:v>
      </x:c>
      <x:c r="D121" s="9" t="str">
        <x:v>P1</x:v>
      </x:c>
      <x:c r="E121" s="9" t="str">
        <x:v>À créer</x:v>
      </x:c>
      <x:c r="F121" s="9" t="str">
        <x:v>Les dix niveaux possèdent plusieurs interactions et un boss déclaré mais main ne passe pas la syntaxe.</x:v>
      </x:c>
      <x:c r="G121" s="9" t="str">
        <x:v>Les six parcours sectoriels disposent de tests historiques; ils ne couvrent pas les quatre ajouts v65.</x:v>
      </x:c>
      <x:c r="H121" s="9" t="str">
        <x:v>Rejouer insertion, objectifs, passages, boss et sortie pour toutes les cartes intégrées.</x:v>
      </x:c>
      <x:c r="I121" s="9" t="str">
        <x:v>Un rapport récent relie chaque carte au SHA et prouve au moins une victoire et une défaite cohérentes.</x:v>
      </x:c>
      <x:c r="J121" s="9" t="str">
        <x:v>AUD-071
AUD-114</x:v>
      </x:c>
      <x:c r="K121" s="9" t="str">
        <x:v>Adaptation de conception; aucun nouvel élément déclaré canon par cet audit.</x:v>
      </x:c>
      <x:c r="L121" s="9" t="str">
        <x:v>0f37cc52f9d8 : package.json : lignes 6-17
1d52d9ff91db : package.json : lignes 9-24
1d52d9ff91db : docs/BATTLEFIELDS.md : lignes 34</x:v>
      </x:c>
      <x:c r="M121"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1" s="24" t="str">
        <x:v>À valider</x:v>
      </x:c>
    </x:row>
    <x:row r="122" ht="117" customHeight="1">
      <x:c r="A122" s="10" t="str">
        <x:v>AUD-116</x:v>
      </x:c>
      <x:c r="B122" s="10" t="str">
        <x:v>Performance et QA</x:v>
      </x:c>
      <x:c r="C122" s="10" t="str">
        <x:v>Tester les vrais fronts simultanés</x:v>
      </x:c>
      <x:c r="D122" s="10" t="str">
        <x:v>P1</x:v>
      </x:c>
      <x:c r="E122" s="10" t="str">
        <x:v>À créer</x:v>
      </x:c>
      <x:c r="F122" s="10" t="str">
        <x:v>Aucun scénario de front persistant à tester actuellement.</x:v>
      </x:c>
      <x:c r="G122" s="10" t="str">
        <x:v>Les tests sectoriels valident une progression linéaire.</x:v>
      </x:c>
      <x:c r="H122" s="10" t="str">
        <x:v>Créer cas de front gagné/perdu hors écran, renfort intercepté, chef tué et joueur revenant dans la zone.</x:v>
      </x:c>
      <x:c r="I122" s="10" t="str">
        <x:v>Les bilans attendus concordent entre simulation distante et matérialisation; aucune perte n’est inventée lors du changement de détail.</x:v>
      </x:c>
      <x:c r="J122" s="10" t="str">
        <x:v>AUD-019
AUD-042
AUD-054</x:v>
      </x:c>
      <x:c r="K122" s="10" t="str">
        <x:v>Adaptation de conception; aucun nouvel élément déclaré canon par cet audit.</x:v>
      </x:c>
      <x:c r="L122" s="10" t="str">
        <x:v>0f37cc52f9d8 : js/main.js : lignes 3699-3769
1d52d9ff91db : js/engine/BattlefieldMission.js : lignes 71-120
1d52d9ff91db : js/engine/BattlefieldProgression.js : lignes 202-219</x:v>
      </x:c>
      <x:c r="M122"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2" s="24" t="str">
        <x:v>Terminé</x:v>
      </x:c>
    </x:row>
    <x:row r="123" ht="117" customHeight="1">
      <x:c r="A123" s="9" t="str">
        <x:v>AUD-117</x:v>
      </x:c>
      <x:c r="B123" s="9" t="str">
        <x:v>Performance et QA</x:v>
      </x:c>
      <x:c r="C123" s="9" t="str">
        <x:v>Tester la cohérence des compositions et du lore</x:v>
      </x:c>
      <x:c r="D123" s="9" t="str">
        <x:v>P1</x:v>
      </x:c>
      <x:c r="E123" s="9" t="str">
        <x:v>À créer</x:v>
      </x:c>
      <x:c r="F123" s="9" t="str">
        <x:v>Commentaires revendiquant 1:1 sans validation automatisée des lieux et casts.</x:v>
      </x:c>
      <x:c r="G123" s="9" t="str">
        <x:v>Les six biomes et modèles améliorés restent un sous-ensemble de la provenance à contrôler.</x:v>
      </x:c>
      <x:c r="H123" s="9" t="str">
        <x:v>Valider références, unicité, époque, faction et budgets de rareté de chaque rencontre.</x:v>
      </x:c>
      <x:c r="I123" s="9" t="str">
        <x:v>Une configuration introduisant un individu unique doublé ou un type interdit échoue avec un message précis.</x:v>
      </x:c>
      <x:c r="J123" s="9" t="str">
        <x:v>AUD-021
AUD-022
AUD-029
AUD-079</x:v>
      </x:c>
      <x:c r="K123" s="9" t="str">
        <x:v>Adaptation de conception; aucun nouvel élément déclaré canon par cet audit.</x:v>
      </x:c>
      <x:c r="L123" s="9" t="str">
        <x:v>0f37cc52f9d8 : js/entities/XenomorphHorde.js : lignes 81-188
0f37cc52f9d8 : js/main.js : lignes 1240-1243
1d52d9ff91db : js/entities/XenomorphHorde.js : lignes 74-181</x:v>
      </x:c>
      <x:c r="M12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c r="N123" s="24" t="str">
        <x:v>Terminé</x:v>
      </x:c>
    </x:row>
    <x:row r="124" ht="63" customHeight="1">
      <x:c r="A124" s="10" t="str">
        <x:v>AUD-118</x:v>
      </x:c>
      <x:c r="B124" s="10" t="str">
        <x:v>Performance et QA</x:v>
      </x:c>
      <x:c r="C124" s="10" t="str">
        <x:v>Vérifier les sauvegardes et migrations</x:v>
      </x:c>
      <x:c r="D124" s="10" t="str">
        <x:v>P1</x:v>
      </x:c>
      <x:c r="E124" s="10" t="str">
        <x:v>À réconcilier</x:v>
      </x:c>
      <x:c r="F124" s="10" t="str">
        <x:v>JSON.parse direct dans certains gestionnaires; coffre d’honneur possède un try/catch distinct.</x:v>
      </x:c>
      <x:c r="G124" s="10" t="str">
        <x:v>storage.js fournit une lecture robuste et la forge valide ses valeurs.</x:v>
      </x:c>
      <x:c r="H124" s="10" t="str">
        <x:v>Unifier versions et migrations des nouveaux états de bataille en préservant progression et options existantes.</x:v>
      </x:c>
      <x:c r="I124" s="10" t="str">
        <x:v>Une sauvegarde ancienne, partielle ou invalide ne bloque pas le lancement et n’efface pas silencieusement des trophées valides.</x:v>
      </x:c>
      <x:c r="J124" s="10" t="str">
        <x:v>AUD-001
AUD-096</x:v>
      </x:c>
      <x:c r="K124" s="10" t="str">
        <x:v>Adaptation de conception; aucun nouvel élément déclaré canon par cet audit.</x:v>
      </x:c>
      <x:c r="L124" s="10" t="str">
        <x:v>0f37cc52f9d8 : js/ui/ForgeShop.js : lignes 7-54
1d52d9ff91db : js/ui/ForgeShop.js : lignes 25-45</x:v>
      </x:c>
      <x:c r="M124" s="23" t="str">
        <x:v>https://github.com/darknigthmare/Yautja-hive-warriors/blob/0f37cc52f9d83a4abecc17b80f7bfc67701677cf/js/ui/ForgeShop.js#L7-L54
https://github.com/darknigthmare/Yautja-hive-warriors/blob/1d52d9ff91dbe85c08256f44f8b72086ab65200a/js/ui/ForgeShop.js#L25-L45</x:v>
      </x:c>
      <x:c r="N124" s="24" t="str">
        <x:v>À valider</x:v>
      </x:c>
    </x:row>
    <x:row r="125" ht="90" customHeight="1">
      <x:c r="A125" s="9" t="str">
        <x:v>AUD-119</x:v>
      </x:c>
      <x:c r="B125" s="9" t="str">
        <x:v>Performance et QA</x:v>
      </x:c>
      <x:c r="C125" s="9" t="str">
        <x:v>Mesurer lisibilité et difficulté lors de playtests</x:v>
      </x:c>
      <x:c r="D125" s="9" t="str">
        <x:v>P2</x:v>
      </x:c>
      <x:c r="E125" s="9" t="str">
        <x:v>À valider</x:v>
      </x:c>
      <x:c r="F125" s="9" t="str">
        <x:v>Les mentions QA dans les commentaires ne constituent pas des sessions jouées documentées.</x:v>
      </x:c>
      <x:c r="G125" s="9" t="str">
        <x:v>Les rapports CPU et navigateur ne prouvent pas une compréhension humaine des grandes batailles.</x:v>
      </x:c>
      <x:c r="H125" s="9" t="str">
        <x:v>Faire observer objectifs, lecture de menaces, déplacements et raisons de défaite auprès de profils variés.</x:v>
      </x:c>
      <x:c r="I125" s="9" t="str">
        <x:v>Le rapport cite version, durée et problèmes observés; les conclusions ne prétendent pas mesurer ce qui n’a pas été testé.</x:v>
      </x:c>
      <x:c r="J125" s="9" t="str">
        <x:v>AUD-100
AUD-113
AUD-115</x:v>
      </x:c>
      <x:c r="K125" s="9" t="str">
        <x:v>Adaptation de conception; aucun nouvel élément déclaré canon par cet audit.</x:v>
      </x:c>
      <x:c r="L125" s="9" t="str">
        <x:v>0f37cc52f9d8 : package.json : lignes 6-17
1d52d9ff91db : package.json : lignes 9-24
1d52d9ff91db : docs/BATTLEFIELDS.md : lignes 34</x:v>
      </x:c>
      <x:c r="M125"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5" s="24" t="str">
        <x:v>À valider</x:v>
      </x:c>
    </x:row>
    <x:row r="126" ht="90" customHeight="1">
      <x:c r="A126" s="10" t="str">
        <x:v>AUD-120</x:v>
      </x:c>
      <x:c r="B126" s="10" t="str">
        <x:v>Performance et QA</x:v>
      </x:c>
      <x:c r="C126" s="10" t="str">
        <x:v>Vérifier les modèles sans annoncer une fidélité non démontrée</x:v>
      </x:c>
      <x:c r="D126" s="10" t="str">
        <x:v>P1</x:v>
      </x:c>
      <x:c r="E126" s="10" t="str">
        <x:v>À valider</x:v>
      </x:c>
      <x:c r="F126" s="10" t="str">
        <x:v>Modèles procéduraux et commentaires 1:1 ne sont pas une comparaison visuelle documentée.</x:v>
      </x:c>
      <x:c r="G126" s="10" t="str">
        <x:v>La branche validée contient audits et calibrations de modèles qui doivent être réutilisés.</x:v>
      </x:c>
      <x:c r="H126" s="10" t="str">
        <x:v>Conserver références, vues comparées, mesures et limites pour chaque asset important; étendre aux ajouts v65.</x:v>
      </x:c>
      <x:c r="I126" s="10" t="str">
        <x:v>Une validation liste ce qui correspond et ce qui reste approximatif pour silhouette, anatomie, armure, arme et animation.</x:v>
      </x:c>
      <x:c r="J126" s="10" t="str">
        <x:v>AUD-001
AUD-031
AUD-069
AUD-083</x:v>
      </x:c>
      <x:c r="K126" s="10" t="str">
        <x:v>Adaptation de conception; aucun nouvel élément déclaré canon par cet audit.</x:v>
      </x:c>
      <x:c r="L126" s="10" t="str">
        <x:v>0f37cc52f9d8 : js/data/charactersData.js : lignes 3-162
0f37cc52f9d8 : js/ui/LoadoutScreen.js : lignes 1-64</x:v>
      </x:c>
      <x:c r="M126" s="23" t="str">
        <x:v>https://github.com/darknigthmare/Yautja-hive-warriors/blob/0f37cc52f9d83a4abecc17b80f7bfc67701677cf/js/data/charactersData.js#L3-L162
https://github.com/darknigthmare/Yautja-hive-warriors/blob/0f37cc52f9d83a4abecc17b80f7bfc67701677cf/js/ui/LoadoutScreen.js#L1-L64</x:v>
      </x:c>
      <x:c r="N126" s="24" t="str">
        <x:v>Terminé</x:v>
      </x:c>
    </x:row>
    <x:row r="127" ht="90" customHeight="1">
      <x:c r="A127" s="9" t="str">
        <x:v>AUD-121</x:v>
      </x:c>
      <x:c r="B127" s="9" t="str">
        <x:v>Performance et QA</x:v>
      </x:c>
      <x:c r="C127" s="9" t="str">
        <x:v>Stabiliser l’expérience de bataille longue</x:v>
      </x:c>
      <x:c r="D127" s="9" t="str">
        <x:v>P1</x:v>
      </x:c>
      <x:c r="E127" s="9" t="str">
        <x:v>À créer</x:v>
      </x:c>
      <x:c r="F127" s="9" t="str">
        <x:v>Survie croît sans borne et beaucoup de minuteries/effets s’accumulent.</x:v>
      </x:c>
      <x:c r="G127" s="9" t="str">
        <x:v>Les opérations courtes sont bornées mais pas le futur format multiaxes.</x:v>
      </x:c>
      <x:c r="H127" s="9" t="str">
        <x:v>Tester une bataille complète de durée cible avec déplacements, sauvegarde, coop, boss et nombreux renforts.</x:v>
      </x:c>
      <x:c r="I127" s="9" t="str">
        <x:v>Aucune croissance mémoire continue, objectif bloqué ou perte de commandes; les incidents sont liés à une chronologie reproductible.</x:v>
      </x:c>
      <x:c r="J127" s="9" t="str">
        <x:v>AUD-109
AUD-111
AUD-113
AUD-116</x:v>
      </x:c>
      <x:c r="K127" s="9" t="str">
        <x:v>Adaptation de conception; aucun nouvel élément déclaré canon par cet audit.</x:v>
      </x:c>
      <x:c r="L127" s="9" t="str">
        <x:v>0f37cc52f9d8 : package.json : lignes 6-17
1d52d9ff91db : package.json : lignes 9-24
1d52d9ff91db : docs/BATTLEFIELDS.md : lignes 34</x:v>
      </x:c>
      <x:c r="M127" s="22" t="str">
        <x:v>https://github.com/darknigthmare/Yautja-hive-warriors/blob/0f37cc52f9d83a4abecc17b80f7bfc67701677cf/package.json#L6-L17
https://github.com/darknigthmare/Yautja-hive-warriors/blob/1d52d9ff91dbe85c08256f44f8b72086ab65200a/package.json#L9-L24
https://github.com/darknigthmare/Yautja-hive-warriors/blob/1d52d9ff91dbe85c08256f44f8b72086ab65200a/docs/BATTLEFIELDS.md#L34</x:v>
      </x:c>
      <x:c r="N127" s="24" t="str">
        <x:v>À valider</x:v>
      </x:c>
    </x:row>
    <x:row r="128" ht="117" customHeight="1">
      <x:c r="A128" s="10" t="str">
        <x:v>AUD-122</x:v>
      </x:c>
      <x:c r="B128" s="10" t="str">
        <x:v>Performance et QA</x:v>
      </x:c>
      <x:c r="C128" s="10" t="str">
        <x:v>Faire du bilan une preuve des résultats de la bataille</x:v>
      </x:c>
      <x:c r="D128" s="10" t="str">
        <x:v>P2</x:v>
      </x:c>
      <x:c r="E128" s="10" t="str">
        <x:v>À créer</x:v>
      </x:c>
      <x:c r="F128" s="10" t="str">
        <x:v>Le bilan principal affiche victoire/défaite, score et trophées.</x:v>
      </x:c>
      <x:c r="G128" s="10" t="str">
        <x:v>La progression possède des événements exploitables mais pas un bilan d’armée complet.</x:v>
      </x:c>
      <x:c r="H128" s="10" t="str">
        <x:v>Afficher objectifs réussis/ignorés, pertes par camp, officiers, fronts, appuis consommés et conséquences.</x:v>
      </x:c>
      <x:c r="I128" s="10" t="str">
        <x:v>Le bilan se réconcilie avec le journal de simulation; il ne crédite pas une victoire pour des ennemis simplement effacés.</x:v>
      </x:c>
      <x:c r="J128" s="10" t="str">
        <x:v>AUD-009
AUD-018
AUD-054
AUD-101</x:v>
      </x:c>
      <x:c r="K128" s="10" t="str">
        <x:v>Adaptation de conception; aucun nouvel élément déclaré canon par cet audit.</x:v>
      </x:c>
      <x:c r="L128" s="10" t="str">
        <x:v>0f37cc52f9d8 : js/main.js : lignes 3699-3769
1d52d9ff91db : js/engine/BattlefieldMission.js : lignes 71-120
1d52d9ff91db : js/engine/BattlefieldProgression.js : lignes 202-219</x:v>
      </x:c>
      <x:c r="M128"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c r="N128" s="24" t="str">
        <x:v>Terminé</x:v>
      </x:c>
    </x:row>
    <x:row r="129" ht="198" customHeight="1">
      <x:c r="A129" s="9" t="str">
        <x:v>AUD-123</x:v>
      </x:c>
      <x:c r="B129" s="9" t="str">
        <x:v>Groupes et factions</x:v>
      </x:c>
      <x:c r="C129" s="9" t="str">
        <x:v>Définir le scénario Prey de 1719 et ses groupes autorisés</x:v>
      </x:c>
      <x:c r="D129" s="9" t="str">
        <x:v>P1</x:v>
      </x:c>
      <x:c r="E129" s="9" t="str">
        <x:v>À corriger</x:v>
      </x:c>
      <x:c r="F129" s="9" t="str">
        <x:v>v65 déclare prey_comanche_territory, mais conserve le spawn commun de xénomorphes, Marines et synthétiques ainsi que des installations globales USCM, réacteur et Space Jockey. En v65.5, le déclencheur de boue au centre de la carte n’exige pas la présence de preyMudSinkhole ni le thème Prey.</x:v>
      </x:c>
      <x:c r="G129" s="9" t="str">
        <x:v>Cette dixième carte est absente de la branche validée.</x:v>
      </x:c>
      <x:c r="H129" s="9" t="str">
        <x:v>Créer un profil de mission pour 1719 : acteurs, équipements, faune, groupes humains et accessoires autorisés ; identifier explicitement toute variante de guerre ou intrusion extraterrestre inventée.</x:v>
      </x:c>
      <x:c r="I129" s="9" t="str">
        <x:v>La version fidèle ne charge aucun groupe ou objet exclu par le profil 1719 ; les rencontres sont compatibles avec le lieu et leur source. Les variantes adaptées sont nommées dans la sélection.</x:v>
      </x:c>
      <x:c r="J129" s="9" t="str">
        <x:v>AUD-021
AUD-029
AUD-060</x:v>
      </x:c>
      <x:c r="K129" s="9" t="str">
        <x:v>Le code déclare 1719 et Prey ; les événements, peuples, équipements et effectifs proposés doivent être confrontés à une source externe. Une invasion de xénomorphes ne devient pas canon par présence dans le code.</x:v>
      </x:c>
      <x:c r="L129" s="9" t="str">
        <x:v>0f37cc52f9d8 : js/data/levelsData.js : lignes 166-184
0f37cc52f9d8 : js/main.js : lignes 1240-1243
0f37cc52f9d8 : js/entities/Environment.js : lignes 1004-1068
0f37cc52f9d8 : js/entities/XenomorphHorde.js : lignes 81-188
0f37cc52f9d8 : js/entities/Environment.js : lignes 14158-14173</x:v>
      </x:c>
      <x:c r="M129" s="22" t="str">
        <x:v>https://github.com/darknigthmare/Yautja-hive-warriors/blob/0f37cc52f9d83a4abecc17b80f7bfc67701677cf/js/data/levelsData.js#L166-L184
https://github.com/darknigthmare/Yautja-hive-warriors/blob/0f37cc52f9d83a4abecc17b80f7bfc67701677cf/js/main.js#L1240-L1243
https://github.com/darknigthmare/Yautja-hive-warriors/blob/0f37cc52f9d83a4abecc17b80f7bfc67701677cf/js/entities/Environment.js#L1004-L1068
https://github.com/darknigthmare/Yautja-hive-warriors/blob/0f37cc52f9d83a4abecc17b80f7bfc67701677cf/js/entities/XenomorphHorde.js#L81-L188
https://github.com/darknigthmare/Yautja-hive-warriors/blob/0f37cc52f9d83a4abecc17b80f7bfc67701677cf/js/entities/Environment.js#L14158-L14173</x:v>
      </x:c>
      <x:c r="N129" s="24" t="str">
        <x:v>En cours</x:v>
      </x:c>
    </x:row>
    <x:row r="130" ht="238.5" customHeight="1">
      <x:c r="A130" s="10" t="str">
        <x:v>AUD-124</x:v>
      </x:c>
      <x:c r="B130" s="10" t="str">
        <x:v>Boss et mini-boss</x:v>
      </x:c>
      <x:c r="C130" s="10" t="str">
        <x:v>Préserver la singularité du Feral entre personnage et boss</x:v>
      </x:c>
      <x:c r="D130" s="10" t="str">
        <x:v>P1</x:v>
      </x:c>
      <x:c r="E130" s="10" t="str">
        <x:v>Partiel</x:v>
      </x:c>
      <x:c r="F130" s="10" t="str">
        <x:v>Le registre propose feral_predator comme chasseur jouable et v65 ajoute feral_predator_boss, 8600 PV, un modèle dédié et le bossType de Prey. La boucle globale force toujours le Titan à la vague 5 ; le facteur de modèle 2,9 n’est pas une hauteur en mètres vérifiée.</x:v>
      </x:c>
      <x:c r="G130" s="10" t="str">
        <x:v>Le chasseur Feral est présent, mais ce boss et la carte Prey ne sont pas intégrés à la branche validée.</x:v>
      </x:c>
      <x:c r="H130" s="10" t="str">
        <x:v>Définir les règles de sélection et de continuité de la rencontre, calibrer silhouette et taille, puis raccorder le boss Feral à une mission finie sans duplication narrative involontaire.</x:v>
      </x:c>
      <x:c r="I130" s="10" t="str">
        <x:v>La mission Prey se conclut avec le boss prévu ; le choix du chasseur possède une justification cohérente ou une restriction explicite. Le modèle est mesuré par rapport au joueur et aux accès, sans déduire sa taille d’un commentaire.</x:v>
      </x:c>
      <x:c r="J130" s="10" t="str">
        <x:v>AUD-069
AUD-071
AUD-072
AUD-123</x:v>
      </x:c>
      <x:c r="K130" s="10" t="str">
        <x:v>L’existence simultanée du même individu comme joueur et adversaire est une décision de variante, pas une continuité prouvée. Vérifier les caractéristiques du Feral sur les références de Prey.</x:v>
      </x:c>
      <x:c r="L130" s="10" t="str">
        <x:v>0f37cc52f9d8 : js/data/charactersData.js : lignes 3-162
0f37cc52f9d8 : js/data/levelsData.js : lignes 166-184
0f37cc52f9d8 : js/entities/Bosses.js : lignes 23-57
0f37cc52f9d8 : js/entities/Bosses.js : lignes 447-551
0f37cc52f9d8 : js/entities/Bosses.js : lignes 786-791
0f37cc52f9d8 : js/main.js : lignes 3737-3769</x:v>
      </x:c>
      <x:c r="M130" s="23" t="str">
        <x:v>https://github.com/darknigthmare/Yautja-hive-warriors/blob/0f37cc52f9d83a4abecc17b80f7bfc67701677cf/js/data/charactersData.js#L3-L162
https://github.com/darknigthmare/Yautja-hive-warriors/blob/0f37cc52f9d83a4abecc17b80f7bfc67701677cf/js/data/levelsData.js#L166-L184
https://github.com/darknigthmare/Yautja-hive-warriors/blob/0f37cc52f9d83a4abecc17b80f7bfc67701677cf/js/entities/Bosses.js#L23-L57
https://github.com/darknigthmare/Yautja-hive-warriors/blob/0f37cc52f9d83a4abecc17b80f7bfc67701677cf/js/entities/Bosses.js#L447-L551
https://github.com/darknigthmare/Yautja-hive-warriors/blob/0f37cc52f9d83a4abecc17b80f7bfc67701677cf/js/entities/Bosses.js#L786-L791
https://github.com/darknigthmare/Yautja-hive-warriors/blob/0f37cc52f9d83a4abecc17b80f7bfc67701677cf/js/main.js#L3737-L3769</x:v>
      </x:c>
      <x:c r="N130" s="24" t="str">
        <x:v>En cours</x:v>
      </x:c>
    </x:row>
    <x:row r="131" ht="198" customHeight="1">
      <x:c r="A131" s="9" t="str">
        <x:v>AUD-125</x:v>
      </x:c>
      <x:c r="B131" s="9" t="str">
        <x:v>Boss et mini-boss</x:v>
      </x:c>
      <x:c r="C131" s="9" t="str">
        <x:v>Corriger le combat Feral et le piège du masque</x:v>
      </x:c>
      <x:c r="D131" s="9" t="str">
        <x:v>P0</x:v>
      </x:c>
      <x:c r="E131" s="9" t="str">
        <x:v>À corriger</x:v>
      </x:c>
      <x:c r="F131" s="9" t="str">
        <x:v>La salve Feral appelle spawnAcidSpit, sans définition trouvée dans js ; les branches Berserker et Upgrade ont aussi cet appel. Le traitement commun ajoute mortier acide et coup de queue au Feral. Le masque est armé dès sa création et E enlève directement 1500 PV au boss sans trajet de fléchette ni alignement.</x:v>
      </x:c>
      <x:c r="G131" s="9" t="str">
        <x:v>La branche validée ne possède pas ce boss ; sa régulation des attaques peut servir de base après intégration.</x:v>
      </x:c>
      <x:c r="H131" s="9" t="str">
        <x:v>Implémenter les fléchettes et leurs collisions, borner les attaques à chaque anatomie et rendre le leurre dépendant du placement et de la trajectoire. Relier la boue à son volume réel et vérifier les effets annoncés.</x:v>
      </x:c>
      <x:c r="I131" s="9" t="str">
        <x:v>Après correction de syntaxe, toutes les attaques Feral s’exécutent sans méthode absente. Aucun crachat acide ni coup de queue hérité ne s’active pour lui. Le piège ne blesse le boss que si la fléchette guidée le touche ; sortie, pause et fin de rencontre annulent les callbacks obsolètes.</x:v>
      </x:c>
      <x:c r="J131" s="9" t="str">
        <x:v>AUD-002
AUD-003
AUD-076
AUD-124</x:v>
      </x:c>
      <x:c r="K131" s="9" t="str">
        <x:v>Les appellations de lance, bouclier et fléchettes doivent être documentées ; une fonction nommée acide ne suffit pas à représenter une arme du Feral.</x:v>
      </x:c>
      <x:c r="L131" s="9" t="str">
        <x:v>0f37cc52f9d8 : js/entities/Bosses.js : lignes 1746-1822
0f37cc52f9d8 : js/entities/Bosses.js : lignes 1971-1989
0f37cc52f9d8 : js/entities/Environment.js : lignes 15122-15127
0f37cc52f9d8 : js/entities/Environment.js : lignes 15445-15469
0f37cc52f9d8 : js/ — recherche de définition spawnAcidSpit
Recherche statique rg : seulement trois appels dans Bosses.js, aucune définition dans js. Risque conditionnel ; partie non exécutée à cause des erreurs de syntaxe.</x:v>
      </x:c>
      <x:c r="M131" s="22" t="str">
        <x:v>https://github.com/darknigthmare/Yautja-hive-warriors/blob/0f37cc52f9d83a4abecc17b80f7bfc67701677cf/js/entities/Bosses.js#L1746-L1822
https://github.com/darknigthmare/Yautja-hive-warriors/blob/0f37cc52f9d83a4abecc17b80f7bfc67701677cf/js/entities/Bosses.js#L1971-L1989
https://github.com/darknigthmare/Yautja-hive-warriors/blob/0f37cc52f9d83a4abecc17b80f7bfc67701677cf/js/entities/Environment.js#L15122-L15127
https://github.com/darknigthmare/Yautja-hive-warriors/blob/0f37cc52f9d83a4abecc17b80f7bfc67701677cf/js/entities/Environment.js#L15445-L15469
https://github.com/darknigthmare/Yautja-hive-warriors/tree/0f37cc52f9d83a4abecc17b80f7bfc67701677cf/js</x:v>
      </x:c>
      <x:c r="N131" s="24" t="str">
        <x:v>Terminé</x:v>
      </x:c>
    </x:row>
    <x:row r="132" ht="373.5" customHeight="1">
      <x:c r="A132" s="10" t="str">
        <x:v>AUD-126</x:v>
      </x:c>
      <x:c r="B132" s="10" t="str">
        <x:v>Combat et rôles</x:v>
      </x:c>
      <x:c r="C132" s="10" t="str">
        <x:v>Rendre les dix interactions Prey et leurs effets conformes aux annonces et sources</x:v>
      </x:c>
      <x:c r="D132" s="10" t="str">
        <x:v>P1</x:v>
      </x:c>
      <x:c r="E132" s="10" t="str">
        <x:v>À corriger</x:v>
      </x:c>
      <x:c r="F132" s="10" t="str">
        <x:v>Dix interactions E existent après ajout de Sarii et des barils. Les écarts Taabe/arc, hache/grenades, pistolet sans portée et fleur/cloak persistent. La nouvelle applyMudCamouflage est écrasée par une méthode homonyme plus bas : l’appel active l’ancien isMudCamouflaged et son bonus de dégâts, pas isMudCoated ni la résistance acide annoncée. Les barils infligent 750 PV dans 16 unités aux aliens et 18 au boss ; le feu dure 18 s, rayon 8,5 et 110 PV/s aux aliens.</x:v>
      </x:c>
      <x:c r="G132" s="10" t="str">
        <x:v>Les interactions Prey v65 et v65.5 sont absentes de la branche validée.</x:v>
      </x:c>
      <x:c r="H132" s="10" t="str">
        <x:v>Spécifier les dix interactions et la boue automatique avec objet, source, effet, durée, cible et ressource propres. Unifier les méthodes de camouflage et nettoyer les états à expiration ; faire correspondre prompts, portée du souffle et portée du feu aux valeurs réelles.</x:v>
      </x:c>
      <x:c r="I132" s="10" t="str">
        <x:v>Les dix prompts correspondent aux effets observés. Taabe modifie réellement la mobilité ; arc et hache utilisent les ressources annoncées ; le pistolet respecte portée et obstacle. La boue ne se déclenche que dans un volume présent et applique le bonus annoncé une fois, avec expiration. Souffle et feu affichent leur rayon distinct. Sariska, 0 °C, matériaux et rôle de Sarii sont sourcés ou présentés comme adaptations.</x:v>
      </x:c>
      <x:c r="J132" s="10" t="str">
        <x:v>AUD-008
AUD-083
AUD-090
AUD-123
AUD-125</x:v>
      </x:c>
      <x:c r="K132" s="10" t="str">
        <x:v>Une mention dans le film, un nom de code et un bonus de jeu sont trois preuves différentes. Les valeurs de dégâts et durées restent des réglages de conception, sans prétention canonique.</x:v>
      </x:c>
      <x:c r="L132" s="10" t="str">
        <x:v>0f37cc52f9d8 : index.html : lignes 823-872
0f37cc52f9d8 : js/main.js : lignes 693-712
0f37cc52f9d8 : js/main.js : lignes 3628-3697
0f37cc52f9d8 : js/entities/Environment.js : lignes 15472-15680
0f37cc52f9d8 : js/entities/Environment.js : lignes 14138-14189
0f37cc52f9d8 : js/entities/Player.js : lignes 1772-1781
0f37cc52f9d8 : js/entities/Player.js : lignes 4275-4305
0f37cc52f9d8 : js/entities/Player.js : lignes 4390-4393
0f37cc52f9d8 : js/entities/Player.js : lignes 1590-1598
0f37cc52f9d8 : js/entities/Player.js : lignes 1705-1713</x:v>
      </x:c>
      <x:c r="M132" s="23" t="str">
        <x:v>https://github.com/darknigthmare/Yautja-hive-warriors/blob/0f37cc52f9d83a4abecc17b80f7bfc67701677cf/index.html#L823-L872
https://github.com/darknigthmare/Yautja-hive-warriors/blob/0f37cc52f9d83a4abecc17b80f7bfc67701677cf/js/main.js#L693-L712
https://github.com/darknigthmare/Yautja-hive-warriors/blob/0f37cc52f9d83a4abecc17b80f7bfc67701677cf/js/main.js#L3628-L3697
https://github.com/darknigthmare/Yautja-hive-warriors/blob/0f37cc52f9d83a4abecc17b80f7bfc67701677cf/js/entities/Environment.js#L15472-L15680
https://github.com/darknigthmare/Yautja-hive-warriors/blob/0f37cc52f9d83a4abecc17b80f7bfc67701677cf/js/entities/Environment.js#L14138-L14189
https://github.com/darknigthmare/Yautja-hive-warriors/blob/0f37cc52f9d83a4abecc17b80f7bfc67701677cf/js/entities/Player.js#L1772-L1781
https://github.com/darknigthmare/Yautja-hive-warriors/blob/0f37cc52f9d83a4abecc17b80f7bfc67701677cf/js/entities/Player.js#L4275-L4305
https://github.com/darknigthmare/Yautja-hive-warriors/blob/0f37cc52f9d83a4abecc17b80f7bfc67701677cf/js/entities/Player.js#L4390-L4393
https://github.com/darknigthmare/Yautja-hive-warriors/blob/0f37cc52f9d83a4abecc17b80f7bfc67701677cf/js/entities/Player.js#L1590-L1598
https://github.com/darknigthmare/Yautja-hive-warriors/blob/0f37cc52f9d83a4abecc17b80f7bfc67701677cf/js/entities/Player.js#L1705-L1713</x:v>
      </x:c>
      <x:c r="N132" s="24" t="str">
        <x:v>En cours</x:v>
      </x:c>
    </x:row>
  </x:sheetData>
  <x:conditionalFormatting sqref="D7:D132">
    <x:cfRule type="cellIs" dxfId="0" priority="1" operator="equal">
      <x:formula>"P0"</x:formula>
    </x:cfRule>
    <x:cfRule type="cellIs" dxfId="1" priority="2" operator="equal">
      <x:formula>"P1"</x:formula>
    </x:cfRule>
    <x:cfRule type="cellIs" dxfId="2" priority="3" operator="equal">
      <x:formula>"P2"</x:formula>
    </x:cfRule>
  </x:conditionalFormatting>
  <x:conditionalFormatting sqref="E7:E132">
    <x:cfRule type="cellIs" dxfId="3" priority="4" operator="equal">
      <x:formula>"Absent"</x:formula>
    </x:cfRule>
    <x:cfRule type="cellIs" dxfId="4" priority="5" operator="equal">
      <x:formula>"À corriger"</x:formula>
    </x:cfRule>
    <x:cfRule type="cellIs" dxfId="5" priority="6" operator="equal">
      <x:formula>"Partiel"</x:formula>
    </x:cfRule>
    <x:cfRule type="cellIs" dxfId="6" priority="7" operator="equal">
      <x:formula>"À vérifier"</x:formula>
    </x:cfRule>
  </x:conditionalFormatting>
  <x:dataValidations count="3">
    <x:dataValidation type="list" sqref="D7:D132">
      <x:formula1>"P0,P1,P2,P3"</x:formula1>
    </x:dataValidation>
    <x:dataValidation type="list" sqref="E7:E132">
      <x:formula1>"À réconcilier,À corriger,Partiel,À créer,À valider"</x:formula1>
    </x:dataValidation>
    <x:dataValidation type="list" sqref="N7:N132">
      <x:formula1>"À faire,En cours,À valider,Terminé,Bloqué"</x:formula1>
    </x:dataValidation>
  </x:dataValidations>
  <x:pageMargins left="0.7" right="0.7" top="0.75" bottom="0.75" header="0.3" footer="0.3"/>
  <x:tableParts count="1">
    <x:tablePart xmlns:r="http://schemas.openxmlformats.org/officeDocument/2006/relationships" r:id="R63525b1e43de4452"/>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24" hidden="0" customWidth="1"/>
    <x:col min="3" max="3" width="28" hidden="0" customWidth="1"/>
    <x:col min="4" max="4" width="58" hidden="0" customWidth="1"/>
    <x:col min="5" max="5" width="76" hidden="0" customWidth="1"/>
    <x:col min="6" max="6" width="70" hidden="0" customWidth="1"/>
    <x:col min="7" max="7" width="10" hidden="0" customWidth="1"/>
    <x:col min="8" max="8" width="31" hidden="0" customWidth="1"/>
    <x:col min="9" max="9" width="56" hidden="0" customWidth="1"/>
    <x:col min="10" max="10" width="65" hidden="0" customWidth="1"/>
  </x:cols>
  <x:sheetData>
    <x:row r="1" ht="12" customHeight="1">
      <x:c r="A1" s="3"/>
      <x:c r="B1" s="3"/>
      <x:c r="C1" s="3"/>
      <x:c r="D1" s="3"/>
      <x:c r="E1" s="3"/>
      <x:c r="F1" s="3"/>
      <x:c r="G1" s="3"/>
      <x:c r="H1" s="3"/>
      <x:c r="I1" s="3"/>
      <x:c r="J1" s="3"/>
    </x:row>
    <x:row r="2" ht="29" customHeight="1">
      <x:c r="A2" s="4" t="str">
        <x:v>Dynasty Warriors : mécanismes à adapter</x:v>
      </x:c>
      <x:c r="B2" s="3"/>
      <x:c r="C2" s="3"/>
      <x:c r="D2" s="3"/>
      <x:c r="E2" s="3"/>
      <x:c r="F2" s="3"/>
      <x:c r="G2" s="3"/>
      <x:c r="H2" s="3"/>
      <x:c r="I2" s="3"/>
      <x:c r="J2" s="3"/>
    </x:row>
    <x:row r="3" ht="8" customHeight="1">
      <x:c r="A3" s="5"/>
      <x:c r="B3" s="5"/>
      <x:c r="C3" s="5"/>
      <x:c r="D3" s="5"/>
      <x:c r="E3" s="5"/>
      <x:c r="F3" s="5"/>
      <x:c r="G3" s="5"/>
      <x:c r="H3" s="5"/>
      <x:c r="I3" s="5"/>
      <x:c r="J3" s="5"/>
    </x:row>
    <x:row r="4">
      <x:c r="A4" s="6" t="str">
        <x:v>Sources officielles. Les adaptations proposées ne sont ni des effectifs mesurés ni du canon Alien / Predator.</x:v>
      </x:c>
      <x:c r="B4" s="3"/>
      <x:c r="C4" s="3"/>
      <x:c r="D4" s="3"/>
      <x:c r="E4" s="3"/>
      <x:c r="F4" s="3"/>
      <x:c r="G4" s="3"/>
      <x:c r="H4" s="3"/>
      <x:c r="I4" s="3"/>
      <x:c r="J4" s="3"/>
    </x:row>
    <x:row r="5">
      <x:c r="A5" s="7" t="str">
        <x:v>40 lignes</x:v>
      </x:c>
      <x:c r="B5" s="3"/>
      <x:c r="C5" s="3"/>
      <x:c r="D5" s="3"/>
      <x:c r="E5" s="3"/>
      <x:c r="F5" s="3"/>
      <x:c r="G5" s="3"/>
      <x:c r="H5" s="3"/>
      <x:c r="I5" s="3"/>
      <x:c r="J5" s="3"/>
    </x:row>
    <x:row r="6" ht="36" customHeight="1">
      <x:c r="A6" s="19" t="str">
        <x:v>ID</x:v>
      </x:c>
      <x:c r="B6" s="20" t="str">
        <x:v>Domaine</x:v>
      </x:c>
      <x:c r="C6" s="20" t="str">
        <x:v>Jeu de référence</x:v>
      </x:c>
      <x:c r="D6" s="20" t="str">
        <x:v>Mécanisme documenté</x:v>
      </x:c>
      <x:c r="E6" s="20" t="str">
        <x:v>Adaptation Yautja proposée</x:v>
      </x:c>
      <x:c r="F6" s="20" t="str">
        <x:v>Critère de validation</x:v>
      </x:c>
      <x:c r="G6" s="20" t="str">
        <x:v>Priorité</x:v>
      </x:c>
      <x:c r="H6" s="20" t="str">
        <x:v>Actions liées</x:v>
      </x:c>
      <x:c r="I6" s="20" t="str">
        <x:v>Source et portée</x:v>
      </x:c>
      <x:c r="J6" s="21" t="str">
        <x:v>Source officielle</x:v>
      </x:c>
    </x:row>
    <x:row r="7" ht="63" customHeight="1">
      <x:c r="A7" s="9" t="str">
        <x:v>DW-001</x:v>
      </x:c>
      <x:c r="B7" s="9" t="str">
        <x:v>Échelle</x:v>
      </x:c>
      <x:c r="C7" s="9" t="str">
        <x:v>Origins</x:v>
      </x:c>
      <x:c r="D7" s="9" t="str">
        <x:v>Affrontements entre milliers de soldats annoncés.</x:v>
      </x:c>
      <x:c r="E7" s="9" t="str">
        <x:v>Séparer effectif engagé, force simulée hors écran, combattants proches et foule visible. Faire ressentir une guerre durable sans assimiler tous les soldats à des agents complets permanents.</x:v>
      </x:c>
      <x:c r="F7" s="9" t="str">
        <x:v>Quatre compteurs distincts; aucune perte ou duplication lors des transitions de simulation; profilage sur matériel cible.</x:v>
      </x:c>
      <x:c r="G7" s="9" t="str">
        <x:v>P0</x:v>
      </x:c>
      <x:c r="H7" s="9" t="str">
        <x:v>AUD-009, AUD-010, AUD-019, AUD-106</x:v>
      </x:c>
      <x:c r="I7" s="9" t="str">
        <x:v>DW-S02 — Origins — armées et affrontements par milliers
Koei Tecmo, communiqué 14/02/2025
Consulté le 2026-10-26</x:v>
      </x:c>
      <x:c r="J7" s="22" t="str">
        <x:v>https://www.koeitecmoamerica.com/news/koei-tecmos-dynasty-warriors-origins-sells-over-1-million-units-worldwide/</x:v>
      </x:c>
    </x:row>
    <x:row r="8" ht="63" customHeight="1">
      <x:c r="A8" s="10" t="str">
        <x:v>DW-002</x:v>
      </x:c>
      <x:c r="B8" s="10" t="str">
        <x:v>IA de groupes</x:v>
      </x:c>
      <x:c r="C8" s="10" t="str">
        <x:v>Origins</x:v>
      </x:c>
      <x:c r="D8" s="10" t="str">
        <x:v>Les soldats ennemis attaquent de manière coordonnée.</x:v>
      </x:c>
      <x:c r="E8" s="10" t="str">
        <x:v>Créer des groupes par faction et fonction : cellule de chasse, essaim, section de tir, soutien. Chaque groupe possède chef, objectif, cohésion et règles de repli ou de poursuite.</x:v>
      </x:c>
      <x:c r="F8" s="10" t="str">
        <x:v>Les compositions interdites sont refusées; un groupe change de comportement après perte du chef ou de sa route.</x:v>
      </x:c>
      <x:c r="G8" s="10" t="str">
        <x:v>P0</x:v>
      </x:c>
      <x:c r="H8" s="10" t="str">
        <x:v>AUD-021, AUD-032</x:v>
      </x:c>
      <x:c r="I8" s="10" t="str">
        <x:v>DW-S02 — Origins — armées et affrontements par milliers
Koei Tecmo, communiqué 14/02/2025
Consulté le 2026-10-26</x:v>
      </x:c>
      <x:c r="J8" s="23" t="str">
        <x:v>https://www.koeitecmoamerica.com/news/koei-tecmos-dynasty-warriors-origins-sells-over-1-million-units-worldwide/</x:v>
      </x:c>
    </x:row>
    <x:row r="9" ht="63" customHeight="1">
      <x:c r="A9" s="9" t="str">
        <x:v>DW-003</x:v>
      </x:c>
      <x:c r="B9" s="9" t="str">
        <x:v>Fronts parallèles</x:v>
      </x:c>
      <x:c r="C9" s="9" t="str">
        <x:v>Origins</x:v>
      </x:c>
      <x:c r="D9" s="9" t="str">
        <x:v>Plusieurs zones peuvent exiger une intervention simultanée.</x:v>
      </x:c>
      <x:c r="E9" s="9" t="str">
        <x:v>Simuler plusieurs affrontements indépendants, avec rapports horodatés, durée estimée avant effondrement et option d'envoyer un détachement. Un front éloigné doit pouvoir gagner, tenir ou perdre sans attendre le joueur.</x:v>
      </x:c>
      <x:c r="F9" s="9" t="str">
        <x:v>Scénario à trois fronts; abandon volontaire d'un front produit une conséquence expliquée et persistante.</x:v>
      </x:c>
      <x:c r="G9" s="9" t="str">
        <x:v>P0</x:v>
      </x:c>
      <x:c r="H9" s="9" t="str">
        <x:v>AUD-041, AUD-042</x:v>
      </x:c>
      <x:c r="I9" s="9" t="str">
        <x:v>DW-S03 — Origins — prise en main officielle PlayStation
PlayStation Blog, prise en main 13/01/2025
Consulté le 2026-10-26</x:v>
      </x:c>
      <x:c r="J9" s="22" t="str">
        <x:v>https://blog.playstation.com/?p=400135</x:v>
      </x:c>
    </x:row>
    <x:row r="10" ht="49.5" customHeight="1">
      <x:c r="A10" s="10" t="str">
        <x:v>DW-004</x:v>
      </x:c>
      <x:c r="B10" s="10" t="str">
        <x:v>Moral</x:v>
      </x:c>
      <x:c r="C10" s="10" t="str">
        <x:v>Origins</x:v>
      </x:c>
      <x:c r="D10" s="10" t="str">
        <x:v>Le moral influe sur l'efficacité des armées.</x:v>
      </x:c>
      <x:c r="E10" s="10" t="str">
        <x:v>Employer une variable propre à chaque faction : coordination de chasse, discipline humaine ou pression de ruche. Ne pas appliquer une peur humaine uniforme aux xénomorphes.</x:v>
      </x:c>
      <x:c r="F10" s="10" t="str">
        <x:v>Même événement déclenche des conséquences différentes selon la faction; changements visibles et documentés.</x:v>
      </x:c>
      <x:c r="G10" s="10" t="str">
        <x:v>P0</x:v>
      </x:c>
      <x:c r="H10" s="10" t="str">
        <x:v>AUD-044, AUD-045</x:v>
      </x:c>
      <x:c r="I10" s="10" t="str">
        <x:v>DW-S01 — Origins — système officiel
Koei Tecmo, documentation des mécanismes
Consulté le 2026-10-26</x:v>
      </x:c>
      <x:c r="J10" s="23" t="str">
        <x:v>https://www.koeitecmoamerica.com/dw_origins/us/system/</x:v>
      </x:c>
    </x:row>
    <x:row r="11" ht="49.5" customHeight="1">
      <x:c r="A11" s="9" t="str">
        <x:v>DW-005</x:v>
      </x:c>
      <x:c r="B11" s="9" t="str">
        <x:v>Bases</x:v>
      </x:c>
      <x:c r="C11" s="9" t="str">
        <x:v>Origins</x:v>
      </x:c>
      <x:c r="D11" s="9" t="str">
        <x:v>Captures et officiers vaincus améliorent le moral.</x:v>
      </x:c>
      <x:c r="E11" s="9" t="str">
        <x:v>Relier chaque zone capturée à une fonction concrète : relais de détection, couvaison, piste d'extraction, alimentation, arsenal ou voie de renforts.</x:v>
      </x:c>
      <x:c r="F11" s="9" t="str">
        <x:v>Capturer chaque type change au moins une ressource, route, information ou capacité de renfort.</x:v>
      </x:c>
      <x:c r="G11" s="9" t="str">
        <x:v>P0</x:v>
      </x:c>
      <x:c r="H11" s="9" t="str">
        <x:v>AUD-043</x:v>
      </x:c>
      <x:c r="I11" s="9" t="str">
        <x:v>DW-S01 — Origins — système officiel
Koei Tecmo, documentation des mécanismes
Consulté le 2026-10-26</x:v>
      </x:c>
      <x:c r="J11" s="22" t="str">
        <x:v>https://www.koeitecmoamerica.com/dw_origins/us/system/</x:v>
      </x:c>
    </x:row>
    <x:row r="12" ht="49.5" customHeight="1">
      <x:c r="A12" s="10" t="str">
        <x:v>DW-006</x:v>
      </x:c>
      <x:c r="B12" s="10" t="str">
        <x:v>Ordres alliés</x:v>
      </x:c>
      <x:c r="C12" s="10" t="str">
        <x:v>Origins</x:v>
      </x:c>
      <x:c r="D12" s="10" t="str">
        <x:v>Des tactiques commandent les alliés proches.</x:v>
      </x:c>
      <x:c r="E12" s="10" t="str">
        <x:v>Offrir avancer, tenir, escorter, contourner, couvrir et se regrouper. Les silhouettes et messages de confirmation montrent quel groupe exécute l'ordre.</x:v>
      </x:c>
      <x:c r="F12" s="10" t="str">
        <x:v>Ordre refusé avec raison si impossible; chemin valide; destination et statut consultables.</x:v>
      </x:c>
      <x:c r="G12" s="10" t="str">
        <x:v>P0</x:v>
      </x:c>
      <x:c r="H12" s="10" t="str">
        <x:v>AUD-033, AUD-034</x:v>
      </x:c>
      <x:c r="I12" s="10" t="str">
        <x:v>DW-S01 — Origins — système officiel
Koei Tecmo, documentation des mécanismes
Consulté le 2026-10-26</x:v>
      </x:c>
      <x:c r="J12" s="23" t="str">
        <x:v>https://www.koeitecmoamerica.com/dw_origins/us/system/</x:v>
      </x:c>
    </x:row>
    <x:row r="13" ht="49.5" customHeight="1">
      <x:c r="A13" s="9" t="str">
        <x:v>DW-007</x:v>
      </x:c>
      <x:c r="B13" s="9" t="str">
        <x:v>Tactiques contextuelles</x:v>
      </x:c>
      <x:c r="C13" s="9" t="str">
        <x:v>Origins</x:v>
      </x:c>
      <x:c r="D13" s="9" t="str">
        <x:v>Certaines tactiques réussissent mieux selon le contexte.</x:v>
      </x:c>
      <x:c r="E13" s="9" t="str">
        <x:v>Récompenser une embuscade depuis les hauteurs, une tenaille ou la coupure d'un tunnel; rendre l'avantage compréhensible avant l'ordre.</x:v>
      </x:c>
      <x:c r="F13" s="9" t="str">
        <x:v>Le même ordre obtient une efficacité différente selon terrain et cible, avec cause affichée.</x:v>
      </x:c>
      <x:c r="G13" s="9" t="str">
        <x:v>P1</x:v>
      </x:c>
      <x:c r="H13" s="9" t="str">
        <x:v>AUD-036, AUD-087</x:v>
      </x:c>
      <x:c r="I13" s="9" t="str">
        <x:v>DW-S01 — Origins — système officiel
Koei Tecmo, documentation des mécanismes
Consulté le 2026-10-26</x:v>
      </x:c>
      <x:c r="J13" s="22" t="str">
        <x:v>https://www.koeitecmoamerica.com/dw_origins/us/system/</x:v>
      </x:c>
    </x:row>
    <x:row r="14" ht="49.5" customHeight="1">
      <x:c r="A14" s="10" t="str">
        <x:v>DW-008</x:v>
      </x:c>
      <x:c r="B14" s="10" t="str">
        <x:v>Masses organisées</x:v>
      </x:c>
      <x:c r="C14" s="10" t="str">
        <x:v>Origins</x:v>
      </x:c>
      <x:c r="D14" s="10" t="str">
        <x:v>Les grandes forces coordonnent leurs attaques.</x:v>
      </x:c>
      <x:c r="E14" s="10" t="str">
        <x:v>Créer une agrégation de groupes avec commandement, objectif et cohésion. Sa rupture désorganise les unités sans toutes les faire disparaître.</x:v>
      </x:c>
      <x:c r="F14" s="10" t="str">
        <x:v>Rupture par plusieurs moyens; survivants redistribués; pas de réapparition immédiate à pleine force.</x:v>
      </x:c>
      <x:c r="G14" s="10" t="str">
        <x:v>P0</x:v>
      </x:c>
      <x:c r="H14" s="10" t="str">
        <x:v>AUD-032, AUD-046</x:v>
      </x:c>
      <x:c r="I14" s="10" t="str">
        <x:v>DW-S01 — Origins — système officiel
Koei Tecmo, documentation des mécanismes
Consulté le 2026-10-26</x:v>
      </x:c>
      <x:c r="J14" s="23" t="str">
        <x:v>https://www.koeitecmoamerica.com/dw_origins/us/system/</x:v>
      </x:c>
    </x:row>
    <x:row r="15" ht="49.5" customHeight="1">
      <x:c r="A15" s="9" t="str">
        <x:v>DW-009</x:v>
      </x:c>
      <x:c r="B15" s="9" t="str">
        <x:v>Grandes manœuvres</x:v>
      </x:c>
      <x:c r="C15" s="9" t="str">
        <x:v>Origins</x:v>
      </x:c>
      <x:c r="D15" s="9" t="str">
        <x:v>Chaque camp peut lancer une grande tactique.</x:v>
      </x:c>
      <x:c r="E15" s="9" t="str">
        <x:v>Télégraphier percée de ruche, débarquement, encerclement ou barrage. Donner une fenêtre d'interruption et une conséquence durable si le joueur l'ignore.</x:v>
      </x:c>
      <x:c r="F15" s="9" t="str">
        <x:v>Préavis lisible; au moins deux contre-mesures; réussite ou échec modifie le graphe stratégique.</x:v>
      </x:c>
      <x:c r="G15" s="9" t="str">
        <x:v>P1</x:v>
      </x:c>
      <x:c r="H15" s="9" t="str">
        <x:v>AUD-049</x:v>
      </x:c>
      <x:c r="I15" s="9" t="str">
        <x:v>DW-S01 — Origins — système officiel
Koei Tecmo, documentation des mécanismes
Consulté le 2026-10-26</x:v>
      </x:c>
      <x:c r="J15" s="22" t="str">
        <x:v>https://www.koeitecmoamerica.com/dw_origins/us/system/</x:v>
      </x:c>
    </x:row>
    <x:row r="16" ht="49.5" customHeight="1">
      <x:c r="A16" s="10" t="str">
        <x:v>DW-010</x:v>
      </x:c>
      <x:c r="B16" s="10" t="str">
        <x:v>Mini-boss</x:v>
      </x:c>
      <x:c r="C16" s="10" t="str">
        <x:v>Origins</x:v>
      </x:c>
      <x:c r="D16" s="10" t="str">
        <x:v>La fortitude protège les officiers.</x:v>
      </x:c>
      <x:c r="E16" s="10" t="str">
        <x:v>Remplacer les officiers surdimensionnés génériques par des élites à posture, armure et fenêtres d'ouverture cohérentes avec leur anatomie et équipement.</x:v>
      </x:c>
      <x:c r="F16" s="10" t="str">
        <x:v>Silhouette, télégraphie, résistance et contre distincts des troupes de base; aucune simple inflation de PV.</x:v>
      </x:c>
      <x:c r="G16" s="10" t="str">
        <x:v>P0</x:v>
      </x:c>
      <x:c r="H16" s="10" t="str">
        <x:v>AUD-075, AUD-077</x:v>
      </x:c>
      <x:c r="I16" s="10" t="str">
        <x:v>DW-S01 — Origins — système officiel
Koei Tecmo, documentation des mécanismes
Consulté le 2026-10-26</x:v>
      </x:c>
      <x:c r="J16" s="23" t="str">
        <x:v>https://www.koeitecmoamerica.com/dw_origins/us/system/</x:v>
      </x:c>
    </x:row>
    <x:row r="17" ht="49.5" customHeight="1">
      <x:c r="A17" s="9" t="str">
        <x:v>DW-011</x:v>
      </x:c>
      <x:c r="B17" s="9" t="str">
        <x:v>Défense active</x:v>
      </x:c>
      <x:c r="C17" s="9" t="str">
        <x:v>Origins</x:v>
      </x:c>
      <x:c r="D17" s="9" t="str">
        <x:v>La parade précise crée une ouverture.</x:v>
      </x:c>
      <x:c r="E17" s="9" t="str">
        <x:v>Définir les attaques parables selon arme, masse et angle; une lame légère ne doit pas bloquer arbitrairement une charge géante.</x:v>
      </x:c>
      <x:c r="F17" s="9" t="str">
        <x:v>Table de compatibilité attaque/défense; signal clair; test de chaque catégorie d'attaque.</x:v>
      </x:c>
      <x:c r="G17" s="9" t="str">
        <x:v>P1</x:v>
      </x:c>
      <x:c r="H17" s="9" t="str">
        <x:v>AUD-077, AUD-085</x:v>
      </x:c>
      <x:c r="I17" s="9" t="str">
        <x:v>DW-S01 — Origins — système officiel
Koei Tecmo, documentation des mécanismes
Consulté le 2026-10-26</x:v>
      </x:c>
      <x:c r="J17" s="22" t="str">
        <x:v>https://www.koeitecmoamerica.com/dw_origins/us/system/</x:v>
      </x:c>
    </x:row>
    <x:row r="18" ht="49.5" customHeight="1">
      <x:c r="A18" s="10" t="str">
        <x:v>DW-012</x:v>
      </x:c>
      <x:c r="B18" s="10" t="str">
        <x:v>Esquive</x:v>
      </x:c>
      <x:c r="C18" s="10" t="str">
        <x:v>Origins</x:v>
      </x:c>
      <x:c r="D18" s="10" t="str">
        <x:v>L'esquive évite des attaques imblocables.</x:v>
      </x:c>
      <x:c r="E18" s="10" t="str">
        <x:v>Distinguer esquive courte, bond de repositionnement et sortie d'encerclement; prévoir la place nécessaire et les obstacles réels.</x:v>
      </x:c>
      <x:c r="F18" s="10" t="str">
        <x:v>Aucun passage à travers murs; attaques dangereuses annoncées; caméra lisible après esquive.</x:v>
      </x:c>
      <x:c r="G18" s="10" t="str">
        <x:v>P1</x:v>
      </x:c>
      <x:c r="H18" s="10" t="str">
        <x:v>AUD-082, AUD-085</x:v>
      </x:c>
      <x:c r="I18" s="10" t="str">
        <x:v>DW-S01 — Origins — système officiel
Koei Tecmo, documentation des mécanismes
Consulté le 2026-10-26</x:v>
      </x:c>
      <x:c r="J18" s="23" t="str">
        <x:v>https://www.koeitecmoamerica.com/dw_origins/us/system/</x:v>
      </x:c>
    </x:row>
    <x:row r="19" ht="49.5" customHeight="1">
      <x:c r="A19" s="9" t="str">
        <x:v>DW-013</x:v>
      </x:c>
      <x:c r="B19" s="9" t="str">
        <x:v>Finisseurs</x:v>
      </x:c>
      <x:c r="C19" s="9" t="str">
        <x:v>Origins</x:v>
      </x:c>
      <x:c r="D19" s="9" t="str">
        <x:v>Une fortitude épuisée autorise un assaut.</x:v>
      </x:c>
      <x:c r="E19" s="9" t="str">
        <x:v>Déclencher une exécution brève liée à l'anatomie et à l'arme, en conservant les dangers autour. Prévoir une alternative sûre si espace insuffisant.</x:v>
      </x:c>
      <x:c r="F19" s="9" t="str">
        <x:v>Aucun finisseur incompatible avec la taille; aucun téléportage à travers décor; retour de contrôle fiable.</x:v>
      </x:c>
      <x:c r="G19" s="9" t="str">
        <x:v>P1</x:v>
      </x:c>
      <x:c r="H19" s="9" t="str">
        <x:v>AUD-080</x:v>
      </x:c>
      <x:c r="I19" s="9" t="str">
        <x:v>DW-S01 — Origins — système officiel
Koei Tecmo, documentation des mécanismes
Consulté le 2026-10-26</x:v>
      </x:c>
      <x:c r="J19" s="22" t="str">
        <x:v>https://www.koeitecmoamerica.com/dw_origins/us/system/</x:v>
      </x:c>
    </x:row>
    <x:row r="20" ht="49.5" customHeight="1">
      <x:c r="A20" s="10" t="str">
        <x:v>DW-014</x:v>
      </x:c>
      <x:c r="B20" s="10" t="str">
        <x:v>Techniques d'armes</x:v>
      </x:c>
      <x:c r="C20" s="10" t="str">
        <x:v>Origins</x:v>
      </x:c>
      <x:c r="D20" s="10" t="str">
        <x:v>La bravoure alimente les arts d'arme.</x:v>
      </x:c>
      <x:c r="E20" s="10" t="str">
        <x:v>Distribuer les techniques entre endurance, énergie et munitions selon équipement. Combistick, lames, disque et armes à distance doivent produire des décisions différentes.</x:v>
      </x:c>
      <x:c r="F20" s="10" t="str">
        <x:v>Chaque arme possède rôle, coût, contre et interaction de groupe distincts.</x:v>
      </x:c>
      <x:c r="G20" s="10" t="str">
        <x:v>P1</x:v>
      </x:c>
      <x:c r="H20" s="10" t="str">
        <x:v>AUD-082, AUD-085</x:v>
      </x:c>
      <x:c r="I20" s="10" t="str">
        <x:v>DW-S01 — Origins — système officiel
Koei Tecmo, documentation des mécanismes
Consulté le 2026-10-26</x:v>
      </x:c>
      <x:c r="J20" s="23" t="str">
        <x:v>https://www.koeitecmoamerica.com/dw_origins/us/system/</x:v>
      </x:c>
    </x:row>
    <x:row r="21" ht="49.5" customHeight="1">
      <x:c r="A21" s="9" t="str">
        <x:v>DW-015</x:v>
      </x:c>
      <x:c r="B21" s="9" t="str">
        <x:v>Moment de puissance</x:v>
      </x:c>
      <x:c r="C21" s="9" t="str">
        <x:v>Origins</x:v>
      </x:c>
      <x:c r="D21" s="9" t="str">
        <x:v>Une jauge permet une attaque Musou.</x:v>
      </x:c>
      <x:c r="E21" s="9" t="str">
        <x:v>Concevoir une capacité spectaculaire bornée par ses ressources et le lore retenu : séquence de chasse, tir chargé, assaut combiné; éviter l'explosion magique universelle.</x:v>
      </x:c>
      <x:c r="F21" s="9" t="str">
        <x:v>Coût et recharge visibles; exposition ou récupération; aucun effet copié sans justification.</x:v>
      </x:c>
      <x:c r="G21" s="9" t="str">
        <x:v>P1</x:v>
      </x:c>
      <x:c r="H21" s="9" t="str">
        <x:v>AUD-086</x:v>
      </x:c>
      <x:c r="I21" s="9" t="str">
        <x:v>DW-S01 — Origins — système officiel
Koei Tecmo, documentation des mécanismes
Consulté le 2026-10-26</x:v>
      </x:c>
      <x:c r="J21" s="22" t="str">
        <x:v>https://www.koeitecmoamerica.com/dw_origins/us/system/</x:v>
      </x:c>
    </x:row>
    <x:row r="22" ht="49.5" customHeight="1">
      <x:c r="A22" s="10" t="str">
        <x:v>DW-016</x:v>
      </x:c>
      <x:c r="B22" s="10" t="str">
        <x:v>Compagnons</x:v>
      </x:c>
      <x:c r="C22" s="10" t="str">
        <x:v>Origins</x:v>
      </x:c>
      <x:c r="D22" s="10" t="str">
        <x:v>Un compagnon devient temporairement contrôlable.</x:v>
      </x:c>
      <x:c r="E22" s="10" t="str">
        <x:v>Introduire un compagnon spécialiste avec synergie et ordre dédié. Le changement de contrôle reste optionnel et dépend d'un intérêt réel pour le projet.</x:v>
      </x:c>
      <x:c r="F22" s="10" t="str">
        <x:v>Le compagnon reste utile en IA; absence de téléportation; coût de contrôle explicitement choisi.</x:v>
      </x:c>
      <x:c r="G22" s="10" t="str">
        <x:v>P2</x:v>
      </x:c>
      <x:c r="H22" s="10" t="str">
        <x:v>AUD-037</x:v>
      </x:c>
      <x:c r="I22" s="10" t="str">
        <x:v>DW-S01 — Origins — système officiel
Koei Tecmo, documentation des mécanismes
Consulté le 2026-10-26</x:v>
      </x:c>
      <x:c r="J22" s="23" t="str">
        <x:v>https://www.koeitecmoamerica.com/dw_origins/us/system/</x:v>
      </x:c>
    </x:row>
    <x:row r="23" ht="49.5" customHeight="1">
      <x:c r="A23" s="9" t="str">
        <x:v>DW-017</x:v>
      </x:c>
      <x:c r="B23" s="9" t="str">
        <x:v>Arsenal</x:v>
      </x:c>
      <x:c r="C23" s="9" t="str">
        <x:v>Origins</x:v>
      </x:c>
      <x:c r="D23" s="9" t="str">
        <x:v>Plusieurs familles d'armes offrent des styles variés.</x:v>
      </x:c>
      <x:c r="E23" s="9" t="str">
        <x:v>Définir une matrice portée, contrôle de foule, précision, pénétration, mobilité et disponibilité canonique par personnage.</x:v>
      </x:c>
      <x:c r="F23" s="9" t="str">
        <x:v>Aucune variante cosmétique comptée comme nouveau rôle; équipement lié à la bonne incarnation.</x:v>
      </x:c>
      <x:c r="G23" s="9" t="str">
        <x:v>P1</x:v>
      </x:c>
      <x:c r="H23" s="9" t="str">
        <x:v>AUD-083, AUD-084</x:v>
      </x:c>
      <x:c r="I23" s="9" t="str">
        <x:v>DW-S01 — Origins — système officiel
Koei Tecmo, documentation des mécanismes
Consulté le 2026-10-26</x:v>
      </x:c>
      <x:c r="J23" s="22" t="str">
        <x:v>https://www.koeitecmoamerica.com/dw_origins/us/system/</x:v>
      </x:c>
    </x:row>
    <x:row r="24" ht="49.5" customHeight="1">
      <x:c r="A24" s="10" t="str">
        <x:v>DW-018</x:v>
      </x:c>
      <x:c r="B24" s="10" t="str">
        <x:v>Progression</x:v>
      </x:c>
      <x:c r="C24" s="10" t="str">
        <x:v>Origins</x:v>
      </x:c>
      <x:c r="D24" s="10" t="str">
        <x:v>La maîtrise d'armes contribue au rang.</x:v>
      </x:c>
      <x:c r="E24" s="10" t="str">
        <x:v>Associer progression et maîtrise à des épreuves explicites, avec grades de clan séparés de la puissance chiffrée et de l'équipement débloqué.</x:v>
      </x:c>
      <x:c r="F24" s="10" t="str">
        <x:v>Chaque promotion a critères vérifiables; contenu accessible sans répétition artificielle imposée.</x:v>
      </x:c>
      <x:c r="G24" s="10" t="str">
        <x:v>P2</x:v>
      </x:c>
      <x:c r="H24" s="10" t="str">
        <x:v>AUD-040, AUD-095</x:v>
      </x:c>
      <x:c r="I24" s="10" t="str">
        <x:v>DW-S01 — Origins — système officiel
Koei Tecmo, documentation des mécanismes
Consulté le 2026-10-26</x:v>
      </x:c>
      <x:c r="J24" s="23" t="str">
        <x:v>https://www.koeitecmoamerica.com/dw_origins/us/system/</x:v>
      </x:c>
    </x:row>
    <x:row r="25" ht="49.5" customHeight="1">
      <x:c r="A25" s="9" t="str">
        <x:v>DW-019</x:v>
      </x:c>
      <x:c r="B25" s="9" t="str">
        <x:v>Renseignement</x:v>
      </x:c>
      <x:c r="C25" s="9" t="str">
        <x:v>Origins</x:v>
      </x:c>
      <x:c r="D25" s="9" t="str">
        <x:v>Une vision spéciale révèle des informations cachées.</x:v>
      </x:c>
      <x:c r="E25" s="9" t="str">
        <x:v>Transformer cette fonction en modes de détection adaptés au bio-masque et à la cible, avec limites, occlusion et contre-mesures.</x:v>
      </x:c>
      <x:c r="F25" s="9" t="str">
        <x:v>Modes distinguables; cibles et obstacles cohérents; aucune révélation omnisciente sans règle.</x:v>
      </x:c>
      <x:c r="G25" s="9" t="str">
        <x:v>P1</x:v>
      </x:c>
      <x:c r="H25" s="9" t="str">
        <x:v>AUD-053, AUD-088</x:v>
      </x:c>
      <x:c r="I25" s="9" t="str">
        <x:v>DW-S01 — Origins — système officiel
Koei Tecmo, documentation des mécanismes
Consulté le 2026-10-26</x:v>
      </x:c>
      <x:c r="J25" s="22" t="str">
        <x:v>https://www.koeitecmoamerica.com/dw_origins/us/system/</x:v>
      </x:c>
    </x:row>
    <x:row r="26" ht="49.5" customHeight="1">
      <x:c r="A26" s="10" t="str">
        <x:v>DW-020</x:v>
      </x:c>
      <x:c r="B26" s="10" t="str">
        <x:v>Duels</x:v>
      </x:c>
      <x:c r="C26" s="10" t="str">
        <x:v>Origins</x:v>
      </x:c>
      <x:c r="D26" s="10" t="str">
        <x:v>Les duels influencent le moral allié.</x:v>
      </x:c>
      <x:c r="E26" s="10" t="str">
        <x:v>Proposer un duel rituel contre un adversaire admissible, une chasse d'élite ou une confrontation de commandants; ne pas imposer ce rituel à chaque créature.</x:v>
      </x:c>
      <x:c r="F26" s="10" t="str">
        <x:v>Refuser, gagner ou perdre change les réactions du groupe et laisse une suite jouable.</x:v>
      </x:c>
      <x:c r="G26" s="10" t="str">
        <x:v>P1</x:v>
      </x:c>
      <x:c r="H26" s="10" t="str">
        <x:v>AUD-040, AUD-044</x:v>
      </x:c>
      <x:c r="I26" s="10" t="str">
        <x:v>DW-S01 — Origins — système officiel
Koei Tecmo, documentation des mécanismes
Consulté le 2026-10-26</x:v>
      </x:c>
      <x:c r="J26" s="23" t="str">
        <x:v>https://www.koeitecmoamerica.com/dw_origins/us/system/</x:v>
      </x:c>
    </x:row>
    <x:row r="27" ht="49.5" customHeight="1">
      <x:c r="A27" s="9" t="str">
        <x:v>DW-021</x:v>
      </x:c>
      <x:c r="B27" s="9" t="str">
        <x:v>Carte de campagne</x:v>
      </x:c>
      <x:c r="C27" s="9" t="str">
        <x:v>Origins</x:v>
      </x:c>
      <x:c r="D27" s="9" t="str">
        <x:v>La carte mondiale relie les activités.</x:v>
      </x:c>
      <x:c r="E27" s="9" t="str">
        <x:v>Relier théâtre planétaire, région, opération et secteur dans une même hiérarchie; conserver frontières, positions et états entre carte et bataille.</x:v>
      </x:c>
      <x:c r="F27" s="9" t="str">
        <x:v>Aucune zone contiguë contradictoire; ordre de bataille et propriété identiques aux deux échelles.</x:v>
      </x:c>
      <x:c r="G27" s="9" t="str">
        <x:v>P0</x:v>
      </x:c>
      <x:c r="H27" s="9" t="str">
        <x:v>AUD-092, AUD-093, AUD-094</x:v>
      </x:c>
      <x:c r="I27" s="9" t="str">
        <x:v>DW-S01 — Origins — système officiel
Koei Tecmo, documentation des mécanismes
Consulté le 2026-10-26</x:v>
      </x:c>
      <x:c r="J27" s="22" t="str">
        <x:v>https://www.koeitecmoamerica.com/dw_origins/us/system/</x:v>
      </x:c>
    </x:row>
    <x:row r="28" ht="49.5" customHeight="1">
      <x:c r="A28" s="10" t="str">
        <x:v>DW-022</x:v>
      </x:c>
      <x:c r="B28" s="10" t="str">
        <x:v>Variété d'opérations</x:v>
      </x:c>
      <x:c r="C28" s="10" t="str">
        <x:v>Origins</x:v>
      </x:c>
      <x:c r="D28" s="10" t="str">
        <x:v>Grandes batailles, missions et escarmouches coexistent.</x:v>
      </x:c>
      <x:c r="E28" s="10" t="str">
        <x:v>Créer des formats distincts : reconnaissance, chasse ciblée, secours, raid, défense, siège et guerre de région, avec conditions de victoire propres.</x:v>
      </x:c>
      <x:c r="F28" s="10" t="str">
        <x:v>Objectifs, rythme, renforts et taille changent; mêmes vagues renommées refusées comme variété.</x:v>
      </x:c>
      <x:c r="G28" s="10" t="str">
        <x:v>P1</x:v>
      </x:c>
      <x:c r="H28" s="10" t="str">
        <x:v>AUD-057, AUD-093</x:v>
      </x:c>
      <x:c r="I28" s="10" t="str">
        <x:v>DW-S01 — Origins — système officiel
Koei Tecmo, documentation des mécanismes
Consulté le 2026-10-26</x:v>
      </x:c>
      <x:c r="J28" s="23" t="str">
        <x:v>https://www.koeitecmoamerica.com/dw_origins/us/system/</x:v>
      </x:c>
    </x:row>
    <x:row r="29" ht="49.5" customHeight="1">
      <x:c r="A29" s="9" t="str">
        <x:v>DW-023</x:v>
      </x:c>
      <x:c r="B29" s="9" t="str">
        <x:v>Relations</x:v>
      </x:c>
      <x:c r="C29" s="9" t="str">
        <x:v>Origins</x:v>
      </x:c>
      <x:c r="D29" s="9" t="str">
        <x:v>Des interactions renforcent les liens avec les officiers.</x:v>
      </x:c>
      <x:c r="E29" s="9" t="str">
        <x:v>Faire dépendre soutien de clan et compagnons d'engagements, dettes, sauvetages et choix de mission, avec historique consultable.</x:v>
      </x:c>
      <x:c r="F29" s="9" t="str">
        <x:v>Une relation modifie une aide identifiable sans réécrire arbitrairement le personnage canonique.</x:v>
      </x:c>
      <x:c r="G29" s="9" t="str">
        <x:v>P2</x:v>
      </x:c>
      <x:c r="H29" s="9" t="str">
        <x:v>AUD-035, AUD-094</x:v>
      </x:c>
      <x:c r="I29" s="9" t="str">
        <x:v>DW-S01 — Origins — système officiel
Koei Tecmo, documentation des mécanismes
Consulté le 2026-10-26</x:v>
      </x:c>
      <x:c r="J29" s="22" t="str">
        <x:v>https://www.koeitecmoamerica.com/dw_origins/us/system/</x:v>
      </x:c>
    </x:row>
    <x:row r="30" ht="49.5" customHeight="1">
      <x:c r="A30" s="10" t="str">
        <x:v>DW-024</x:v>
      </x:c>
      <x:c r="B30" s="10" t="str">
        <x:v>Préparation</x:v>
      </x:c>
      <x:c r="C30" s="10" t="str">
        <x:v>Origins</x:v>
      </x:c>
      <x:c r="D30" s="10" t="str">
        <x:v>Armes et traits s'obtiennent en ville et bataille.</x:v>
      </x:c>
      <x:c r="E30" s="10" t="str">
        <x:v>Préparer la chasse avec matériel autorisé par profil et des réserves limitées; l'approvisionnement devient une décision avant une longue opération.</x:v>
      </x:c>
      <x:c r="F30" s="10" t="str">
        <x:v>Inventaire de départ, pertes, ravitaillement et récompenses se réconcilient après bataille.</x:v>
      </x:c>
      <x:c r="G30" s="10" t="str">
        <x:v>P2</x:v>
      </x:c>
      <x:c r="H30" s="10" t="str">
        <x:v>AUD-083, AUD-095</x:v>
      </x:c>
      <x:c r="I30" s="10" t="str">
        <x:v>DW-S01 — Origins — système officiel
Koei Tecmo, documentation des mécanismes
Consulté le 2026-10-26</x:v>
      </x:c>
      <x:c r="J30" s="23" t="str">
        <x:v>https://www.koeitecmoamerica.com/dw_origins/us/system/</x:v>
      </x:c>
    </x:row>
    <x:row r="31" ht="49.5" customHeight="1">
      <x:c r="A31" s="9" t="str">
        <x:v>DW-025</x:v>
      </x:c>
      <x:c r="B31" s="9" t="str">
        <x:v>Renforts</x:v>
      </x:c>
      <x:c r="C31" s="9" t="str">
        <x:v>DW9 Empires</x:v>
      </x:c>
      <x:c r="D31" s="9" t="str">
        <x:v>Les bases capturées produisent des soldats.</x:v>
      </x:c>
      <x:c r="E31" s="9" t="str">
        <x:v>Faire venir les renforts d'une source physique avec réserve, cadence, trajet et faction. Les tunnels ou débarquements remplacent le spawn circulaire autour du joueur.</x:v>
      </x:c>
      <x:c r="F31" s="9" t="str">
        <x:v>Couper la source tarit les renforts; aucune apparition visible sans dispositif cohérent.</x:v>
      </x:c>
      <x:c r="G31" s="9" t="str">
        <x:v>P0</x:v>
      </x:c>
      <x:c r="H31" s="9" t="str">
        <x:v>AUD-012, AUD-043</x:v>
      </x:c>
      <x:c r="I31" s="9" t="str">
        <x:v>DW-S04 — DW9 Empires — manuel des sièges
Koei Tecmo, manuel officiel
Consulté le 2026-10-26</x:v>
      </x:c>
      <x:c r="J31" s="22" t="str">
        <x:v>https://www.koeitecmoamerica.com/manual/dw9e/en/4400.html</x:v>
      </x:c>
    </x:row>
    <x:row r="32" ht="49.5" customHeight="1">
      <x:c r="A32" s="10" t="str">
        <x:v>DW-026</x:v>
      </x:c>
      <x:c r="B32" s="10" t="str">
        <x:v>Siège</x:v>
      </x:c>
      <x:c r="C32" s="10" t="str">
        <x:v>DW9 Empires</x:v>
      </x:c>
      <x:c r="D32" s="10" t="str">
        <x:v>Les armes de siège permettent la brèche.</x:v>
      </x:c>
      <x:c r="E32" s="10" t="str">
        <x:v>Traduire la mécanique en sabotage de verrou, charge, outil lourd, dépressurisation ou brèche biologique; chaque moyen possède escorte et contre.</x:v>
      </x:c>
      <x:c r="F32" s="10" t="str">
        <x:v>La brèche modifie réellement collision, navigation, visibilité et parcours des renforts.</x:v>
      </x:c>
      <x:c r="G32" s="10" t="str">
        <x:v>P1</x:v>
      </x:c>
      <x:c r="H32" s="10" t="str">
        <x:v>AUD-065</x:v>
      </x:c>
      <x:c r="I32" s="10" t="str">
        <x:v>DW-S04 — DW9 Empires — manuel des sièges
Koei Tecmo, manuel officiel
Consulté le 2026-10-26</x:v>
      </x:c>
      <x:c r="J32" s="23" t="str">
        <x:v>https://www.koeitecmoamerica.com/manual/dw9e/en/4400.html</x:v>
      </x:c>
    </x:row>
    <x:row r="33" ht="49.5" customHeight="1">
      <x:c r="A33" s="9" t="str">
        <x:v>DW-027</x:v>
      </x:c>
      <x:c r="B33" s="9" t="str">
        <x:v>Routes alternatives</x:v>
      </x:c>
      <x:c r="C33" s="9" t="str">
        <x:v>DW9 Empires</x:v>
      </x:c>
      <x:c r="D33" s="9" t="str">
        <x:v>Tours et postes de guet offrent d'autres accès.</x:v>
      </x:c>
      <x:c r="E33" s="9" t="str">
        <x:v>Prévoir route principale, contournement et accès de spécialiste avec hauteurs, conduits, portes ou terrain destructible selon faction.</x:v>
      </x:c>
      <x:c r="F33" s="9" t="str">
        <x:v>Au moins deux approches réellement jouables par objectif majeur; pas de raccourci incompatible avec anatomie.</x:v>
      </x:c>
      <x:c r="G33" s="9" t="str">
        <x:v>P0</x:v>
      </x:c>
      <x:c r="H33" s="9" t="str">
        <x:v>AUD-056, AUD-064</x:v>
      </x:c>
      <x:c r="I33" s="9" t="str">
        <x:v>DW-S04 — DW9 Empires — manuel des sièges
Koei Tecmo, manuel officiel
Consulté le 2026-10-26</x:v>
      </x:c>
      <x:c r="J33" s="22" t="str">
        <x:v>https://www.koeitecmoamerica.com/manual/dw9e/en/4400.html</x:v>
      </x:c>
    </x:row>
    <x:row r="34" ht="49.5" customHeight="1">
      <x:c r="A34" s="10" t="str">
        <x:v>DW-028</x:v>
      </x:c>
      <x:c r="B34" s="10" t="str">
        <x:v>Défense</x:v>
      </x:c>
      <x:c r="C34" s="10" t="str">
        <x:v>DW9 Empires</x:v>
      </x:c>
      <x:c r="D34" s="10" t="str">
        <x:v>La défense protège commandant et armée.</x:v>
      </x:c>
      <x:c r="E34" s="10" t="str">
        <x:v>Associer défense à extraction, protection de relique, évacuation ou maintien d'un relais. Afficher l'état de la cible, des approches et de la réserve.</x:v>
      </x:c>
      <x:c r="F34" s="10" t="str">
        <x:v>Victoire possible par tenue ou contre-offensive explicite; perte du commandant signalée avant irréversibilité.</x:v>
      </x:c>
      <x:c r="G34" s="10" t="str">
        <x:v>P1</x:v>
      </x:c>
      <x:c r="H34" s="10" t="str">
        <x:v>AUD-047</x:v>
      </x:c>
      <x:c r="I34" s="10" t="str">
        <x:v>DW-S04 — DW9 Empires — manuel des sièges
Koei Tecmo, manuel officiel
Consulté le 2026-10-26</x:v>
      </x:c>
      <x:c r="J34" s="23" t="str">
        <x:v>https://www.koeitecmoamerica.com/manual/dw9e/en/4400.html</x:v>
      </x:c>
    </x:row>
    <x:row r="35" ht="49.5" customHeight="1">
      <x:c r="A35" s="9" t="str">
        <x:v>DW-029</x:v>
      </x:c>
      <x:c r="B35" s="9" t="str">
        <x:v>Climax</x:v>
      </x:c>
      <x:c r="C35" s="9" t="str">
        <x:v>DW9 Empires</x:v>
      </x:c>
      <x:c r="D35" s="9" t="str">
        <x:v>Une bataille décisive suit l'ouverture du siège.</x:v>
      </x:c>
      <x:c r="E35" s="9" t="str">
        <x:v>L'accès au boss résulte du succès militaire : isolement du nid, suppression du soutien ou prise du sas. Les fronts restants continuent avec règles annoncées.</x:v>
      </x:c>
      <x:c r="F35" s="9" t="str">
        <x:v>Le boss n'apparaît pas arbitrairement après un compteur; état antérieur influence renforts et arène.</x:v>
      </x:c>
      <x:c r="G35" s="9" t="str">
        <x:v>P0</x:v>
      </x:c>
      <x:c r="H35" s="9" t="str">
        <x:v>AUD-072, AUD-078</x:v>
      </x:c>
      <x:c r="I35" s="9" t="str">
        <x:v>DW-S04 — DW9 Empires — manuel des sièges
Koei Tecmo, manuel officiel
Consulté le 2026-10-26</x:v>
      </x:c>
      <x:c r="J35" s="22" t="str">
        <x:v>https://www.koeitecmoamerica.com/manual/dw9e/en/4400.html</x:v>
      </x:c>
    </x:row>
    <x:row r="36" ht="63" customHeight="1">
      <x:c r="A36" s="10" t="str">
        <x:v>DW-030</x:v>
      </x:c>
      <x:c r="B36" s="10" t="str">
        <x:v>Gardes du corps</x:v>
      </x:c>
      <x:c r="C36" s="10" t="str">
        <x:v>DW3 Remastered / Xtreme Legends</x:v>
      </x:c>
      <x:c r="D36" s="10" t="str">
        <x:v>La personnalisation des gardes du corps est incluse.</x:v>
      </x:c>
      <x:c r="E36" s="10" t="str">
        <x:v>Personnaliser une cellule de chasse par rôle, matériel et expérience, sans transformer une petite escorte en armée d'élites interchangeables.</x:v>
      </x:c>
      <x:c r="F36" s="10" t="str">
        <x:v>Composition sauvegardée; profils visuellement distincts; pertes et indisponibilités gérées.</x:v>
      </x:c>
      <x:c r="G36" s="10" t="str">
        <x:v>P1</x:v>
      </x:c>
      <x:c r="H36" s="10" t="str">
        <x:v>AUD-026, AUD-037</x:v>
      </x:c>
      <x:c r="I36" s="10" t="str">
        <x:v>DW-S05 — DW3 Complete Edition Remastered — fiche officielle
Koei Tecmo, sortie 01/10/2026
Consulté le 2026-10-26</x:v>
      </x:c>
      <x:c r="J36" s="23" t="str">
        <x:v>https://www.koeitecmoamerica.com/games/dynasty-warriors-3-complete-edition-remastered/</x:v>
      </x:c>
    </x:row>
    <x:row r="37" ht="49.5" customHeight="1">
      <x:c r="A37" s="9" t="str">
        <x:v>DW-031</x:v>
      </x:c>
      <x:c r="B37" s="9" t="str">
        <x:v>Déblocages scénarisés</x:v>
      </x:c>
      <x:c r="C37" s="9" t="str">
        <x:v>DW3 Remastered</x:v>
      </x:c>
      <x:c r="D37" s="9" t="str">
        <x:v>Des conditions de bataille débloquent des officiers.</x:v>
      </x:c>
      <x:c r="E37" s="9" t="str">
        <x:v>Débloquer alliés, variantes et missions par exploits cohérents : sauvetage, trophée admissible, capture d'information, réussite d'une route secondaire.</x:v>
      </x:c>
      <x:c r="F37" s="9" t="str">
        <x:v>Conditions lisibles après découverte; aucune perte définitive silencieuse; déblocage vérifiable en relecture.</x:v>
      </x:c>
      <x:c r="G37" s="9" t="str">
        <x:v>P2</x:v>
      </x:c>
      <x:c r="H37" s="9" t="str">
        <x:v>AUD-094</x:v>
      </x:c>
      <x:c r="I37" s="9" t="str">
        <x:v>DW-S07 — DW3 Remastered — modes et systèmes
Koei Tecmo, site officiel
Consulté le 2026-10-26</x:v>
      </x:c>
      <x:c r="J37" s="22" t="str">
        <x:v>https://www.koeitecmoamerica.com/dw3-re/us/</x:v>
      </x:c>
    </x:row>
    <x:row r="38" ht="49.5" customHeight="1">
      <x:c r="A38" s="10" t="str">
        <x:v>DW-032</x:v>
      </x:c>
      <x:c r="B38" s="10" t="str">
        <x:v>Bataille libre</x:v>
      </x:c>
      <x:c r="C38" s="10" t="str">
        <x:v>DW3 Remastered</x:v>
      </x:c>
      <x:c r="D38" s="10" t="str">
        <x:v>Le mode libre combine officiers et scénarios.</x:v>
      </x:c>
      <x:c r="E38" s="10" t="str">
        <x:v>Ajouter un mode bataille personnalisée avec filtres de continuité, factions, objectif et taille; signaler explicitement les affrontements hypothétiques.</x:v>
      </x:c>
      <x:c r="F38" s="10" t="str">
        <x:v>Préréglage fidèle séparé des combinaisons libres; paramètres sauvegardés et reproductibles.</x:v>
      </x:c>
      <x:c r="G38" s="10" t="str">
        <x:v>P2</x:v>
      </x:c>
      <x:c r="H38" s="10" t="str">
        <x:v>AUD-092, AUD-097</x:v>
      </x:c>
      <x:c r="I38" s="10" t="str">
        <x:v>DW-S07 — DW3 Remastered — modes et systèmes
Koei Tecmo, site officiel
Consulté le 2026-10-26</x:v>
      </x:c>
      <x:c r="J38" s="23" t="str">
        <x:v>https://www.koeitecmoamerica.com/dw3-re/us/</x:v>
      </x:c>
    </x:row>
    <x:row r="39" ht="49.5" customHeight="1">
      <x:c r="A39" s="9" t="str">
        <x:v>DW-033</x:v>
      </x:c>
      <x:c r="B39" s="9" t="str">
        <x:v>Défis rejouables</x:v>
      </x:c>
      <x:c r="C39" s="9" t="str">
        <x:v>DW3 Remastered</x:v>
      </x:c>
      <x:c r="D39" s="9" t="str">
        <x:v>Des défis mesurent endurance, temps et combos.</x:v>
      </x:c>
      <x:c r="E39" s="9" t="str">
        <x:v>Prévoir défis de maîtrise, intervention rapide, protection sans pertes ou chasse discrète; séparer ces règles des grandes guerres de campagne.</x:v>
      </x:c>
      <x:c r="F39" s="9" t="str">
        <x:v>Règles, score, équipement autorisé et classement local comparables; pas de farming obligatoire.</x:v>
      </x:c>
      <x:c r="G39" s="9" t="str">
        <x:v>P2</x:v>
      </x:c>
      <x:c r="H39" s="9" t="str">
        <x:v>AUD-097, AUD-119</x:v>
      </x:c>
      <x:c r="I39" s="9" t="str">
        <x:v>DW-S07 — DW3 Remastered — modes et systèmes
Koei Tecmo, site officiel
Consulté le 2026-10-26</x:v>
      </x:c>
      <x:c r="J39" s="22" t="str">
        <x:v>https://www.koeitecmoamerica.com/dw3-re/us/</x:v>
      </x:c>
    </x:row>
    <x:row r="40" ht="49.5" customHeight="1">
      <x:c r="A40" s="10" t="str">
        <x:v>DW-034</x:v>
      </x:c>
      <x:c r="B40" s="10" t="str">
        <x:v>Coopération</x:v>
      </x:c>
      <x:c r="C40" s="10" t="str">
        <x:v>DW3 Remastered</x:v>
      </x:c>
      <x:c r="D40" s="10" t="str">
        <x:v>La coopération locale à deux est disponible.</x:v>
      </x:c>
      <x:c r="E40" s="10" t="str">
        <x:v>Option de développement ultérieure : deux chasseurs couvrent des fronts différents, avec budgets de simulation et conditions de ralliement explicites.</x:v>
      </x:c>
      <x:c r="F40" s="10" t="str">
        <x:v>Ne pas marquer disponible avant test; sauvegarde, caméra et ressources cohérentes à deux joueurs.</x:v>
      </x:c>
      <x:c r="G40" s="10" t="str">
        <x:v>P3</x:v>
      </x:c>
      <x:c r="H40" s="10" t="str">
        <x:v>AUD-038, AUD-108</x:v>
      </x:c>
      <x:c r="I40" s="10" t="str">
        <x:v>DW-S06 — DW3 Remastered — lancement effectif
Koei Tecmo, communiqué 01/10/2026
Consulté le 2026-10-26</x:v>
      </x:c>
      <x:c r="J40" s="23" t="str">
        <x:v>https://www.koeitecmoamerica.com/news/witness-a-warrior-reignited-in-dynasty-warriors-3-complete-edition-remastered-out-now/</x:v>
      </x:c>
    </x:row>
    <x:row r="41" ht="49.5" customHeight="1">
      <x:c r="A41" s="9" t="str">
        <x:v>DW-035</x:v>
      </x:c>
      <x:c r="B41" s="9" t="str">
        <x:v>Branches alternatives</x:v>
      </x:c>
      <x:c r="C41" s="9" t="str">
        <x:v>Origins — Visions of Four Heroes</x:v>
      </x:c>
      <x:c r="D41" s="9" t="str">
        <x:v>Quatre héros reçoivent des scénarios hypothétiques.</x:v>
      </x:c>
      <x:c r="E41" s="9" t="str">
        <x:v>Séparer campagne fidèle et variantes hypothétiques de guerre de clans, en indiquant événement de divergence et éléments de canon conservés.</x:v>
      </x:c>
      <x:c r="F41" s="9" t="str">
        <x:v>Chaque scénario porte continuité, point de divergence et résultat propre; aucune invention présentée comme scène officielle.</x:v>
      </x:c>
      <x:c r="G41" s="9" t="str">
        <x:v>P2</x:v>
      </x:c>
      <x:c r="H41" s="9" t="str">
        <x:v>AUD-092</x:v>
      </x:c>
      <x:c r="I41" s="9" t="str">
        <x:v>DW-S08 — Visions of Four Heroes — lancement effectif
Koei Tecmo, communiqué 22/01/2026
Consulté le 2026-10-26</x:v>
      </x:c>
      <x:c r="J41" s="22" t="str">
        <x:v>https://www.koeitecmoamerica.com/news/dive-into-the-action-of-dynasty-warriors-origins-with-the-nintendo-switch-2-version-and-large-scale-dlc-available-now/</x:v>
      </x:c>
    </x:row>
    <x:row r="42" ht="49.5" customHeight="1">
      <x:c r="A42" s="10" t="str">
        <x:v>DW-036</x:v>
      </x:c>
      <x:c r="B42" s="10" t="str">
        <x:v>Extension de l'arsenal</x:v>
      </x:c>
      <x:c r="C42" s="10" t="str">
        <x:v>Origins — Visions of Four Heroes</x:v>
      </x:c>
      <x:c r="D42" s="10" t="str">
        <x:v>Arc et corde à dard ajoutent deux armes.</x:v>
      </x:c>
      <x:c r="E42" s="10" t="str">
        <x:v>Étendre l'arsenal seulement avec un rôle nouveau : capture, contrôle de trajectoire, cible blindée ou mobilité; valider la provenance de chaque équipement Yautja.</x:v>
      </x:c>
      <x:c r="F42" s="10" t="str">
        <x:v>Ajout documenté par rôle et source; pas de copie de la corde à dard sans équivalent choisi.</x:v>
      </x:c>
      <x:c r="G42" s="10" t="str">
        <x:v>P2</x:v>
      </x:c>
      <x:c r="H42" s="10" t="str">
        <x:v>AUD-083, AUD-085</x:v>
      </x:c>
      <x:c r="I42" s="10" t="str">
        <x:v>DW-S08 — Visions of Four Heroes — lancement effectif
Koei Tecmo, communiqué 22/01/2026
Consulté le 2026-10-26</x:v>
      </x:c>
      <x:c r="J42" s="23" t="str">
        <x:v>https://www.koeitecmoamerica.com/news/dive-into-the-action-of-dynasty-warriors-origins-with-the-nintendo-switch-2-version-and-large-scale-dlc-available-now/</x:v>
      </x:c>
    </x:row>
    <x:row r="43" ht="49.5" customHeight="1">
      <x:c r="A43" s="9" t="str">
        <x:v>DW-037</x:v>
      </x:c>
      <x:c r="B43" s="9" t="str">
        <x:v>Entraînement</x:v>
      </x:c>
      <x:c r="C43" s="9" t="str">
        <x:v>Origins — Visions of Four Heroes</x:v>
      </x:c>
      <x:c r="D43" s="9" t="str">
        <x:v>Un terrain d'entraînement complète l'extension.</x:v>
      </x:c>
      <x:c r="E43" s="9" t="str">
        <x:v>Créer un simulateur de défis d'armes, boss, formations et ordres, avec remise à zéro et paramètres de groupe exposés.</x:v>
      </x:c>
      <x:c r="F43" s="9" t="str">
        <x:v>Tester sans coût de campagne; réinitialisation fiable; télégraphies et succès de tactique explicables.</x:v>
      </x:c>
      <x:c r="G43" s="9" t="str">
        <x:v>P1</x:v>
      </x:c>
      <x:c r="H43" s="9" t="str">
        <x:v>AUD-082, AUD-085</x:v>
      </x:c>
      <x:c r="I43" s="9" t="str">
        <x:v>DW-S09 — Visions of Four Heroes — systèmes annoncés
Koei Tecmo, communiqué 11/11/2025
Consulté le 2026-10-26</x:v>
      </x:c>
      <x:c r="J43" s="22" t="str">
        <x:v>https://www.koeitecmoamerica.com/news/dynasty-warriors-origins-visions-of-four-heroes-digital-pre-orders-are-now-live/</x:v>
      </x:c>
    </x:row>
    <x:row r="44" ht="49.5" customHeight="1">
      <x:c r="A44" s="10" t="str">
        <x:v>DW-038</x:v>
      </x:c>
      <x:c r="B44" s="10" t="str">
        <x:v>Modernisation du combat</x:v>
      </x:c>
      <x:c r="C44" s="10" t="str">
        <x:v>DW3 Remastered</x:v>
      </x:c>
      <x:c r="D44" s="10" t="str">
        <x:v>Esquive précise et garde parfaite ouvrent une riposte.</x:v>
      </x:c>
      <x:c r="E44" s="10" t="str">
        <x:v>Ajouter une récompense maîtrisable aux bonnes défenses, ajustée à la lisibilité de la foule et à la fréquence des attaques simultanées.</x:v>
      </x:c>
      <x:c r="F44" s="10" t="str">
        <x:v>Fenêtres constantes selon difficulté choisie; défense viable avec plusieurs ennemis; télégraphies non masquées.</x:v>
      </x:c>
      <x:c r="G44" s="10" t="str">
        <x:v>P1</x:v>
      </x:c>
      <x:c r="H44" s="10" t="str">
        <x:v>AUD-077, AUD-085</x:v>
      </x:c>
      <x:c r="I44" s="10" t="str">
        <x:v>DW-S06 — DW3 Remastered — lancement effectif
Koei Tecmo, communiqué 01/10/2026
Consulté le 2026-10-26</x:v>
      </x:c>
      <x:c r="J44" s="23" t="str">
        <x:v>https://www.koeitecmoamerica.com/news/witness-a-warrior-reignited-in-dynasty-warriors-3-complete-edition-remastered-out-now/</x:v>
      </x:c>
    </x:row>
    <x:row r="45" ht="49.5" customHeight="1">
      <x:c r="A45" s="9" t="str">
        <x:v>DW-039</x:v>
      </x:c>
      <x:c r="B45" s="9" t="str">
        <x:v>Réglages de jeu</x:v>
      </x:c>
      <x:c r="C45" s="9" t="str">
        <x:v>DW3 Remastered</x:v>
      </x:c>
      <x:c r="D45" s="9" t="str">
        <x:v>Les nouveautés se désactivent individuellement.</x:v>
      </x:c>
      <x:c r="E45" s="9" t="str">
        <x:v>Créer des profils de densité, assistance, effets et HUD conservant les mêmes objectifs et réserves militaires; éviter qu'une option visuelle change la campagne.</x:v>
      </x:c>
      <x:c r="F45" s="9" t="str">
        <x:v>Baisser la densité graphique ne supprime ni soldats de réserve ni difficulté stratégique.</x:v>
      </x:c>
      <x:c r="G45" s="9" t="str">
        <x:v>P1</x:v>
      </x:c>
      <x:c r="H45" s="9" t="str">
        <x:v>AUD-089, AUD-103</x:v>
      </x:c>
      <x:c r="I45" s="9" t="str">
        <x:v>DW-S06 — DW3 Remastered — lancement effectif
Koei Tecmo, communiqué 01/10/2026
Consulté le 2026-10-26</x:v>
      </x:c>
      <x:c r="J45" s="22" t="str">
        <x:v>https://www.koeitecmoamerica.com/news/witness-a-warrior-reignited-in-dynasty-warriors-3-complete-edition-remastered-out-now/</x:v>
      </x:c>
    </x:row>
    <x:row r="46" ht="49.5" customHeight="1">
      <x:c r="A46" s="10" t="str">
        <x:v>DW-040</x:v>
      </x:c>
      <x:c r="B46" s="10" t="str">
        <x:v>Cohérence et QA</x:v>
      </x:c>
      <x:c r="C46" s="10" t="str">
        <x:v>DW3 Remastered — correctifs</x:v>
      </x:c>
      <x:c r="D46" s="10" t="str">
        <x:v>Correctifs de limites visuelles et objets hors écran.</x:v>
      </x:c>
      <x:c r="E46" s="10" t="str">
        <x:v>Vérifier limites jouables, relief, décor distant, butin et événements hors caméra. Inclure le passage entre deux secteurs et la reprise de sauvegarde.</x:v>
      </x:c>
      <x:c r="F46" s="10" t="str">
        <x:v>Décor et collision concordent; récompenses récupérables; événements concluants joués; aucun crash de transition.</x:v>
      </x:c>
      <x:c r="G46" s="10" t="str">
        <x:v>P0</x:v>
      </x:c>
      <x:c r="H46" s="10" t="str">
        <x:v>AUD-116, AUD-117, AUD-122</x:v>
      </x:c>
      <x:c r="I46" s="10" t="str">
        <x:v>DW-S10 — DW3 Remastered — correctifs officiels
Koei Tecmo, correctifs octobre 2026
Consulté le 2026-10-26</x:v>
      </x:c>
      <x:c r="J46" s="23" t="str">
        <x:v>https://www.koeitecmoamerica.com/dw3-re/us/update/</x:v>
      </x:c>
    </x:row>
  </x:sheetData>
  <x:conditionalFormatting sqref="G7:G46">
    <x:cfRule type="cellIs" dxfId="7" priority="1" operator="equal">
      <x:formula>"P0"</x:formula>
    </x:cfRule>
    <x:cfRule type="cellIs" dxfId="8" priority="2" operator="equal">
      <x:formula>"P1"</x:formula>
    </x:cfRule>
    <x:cfRule type="cellIs" dxfId="9" priority="3" operator="equal">
      <x:formula>"P2"</x:formula>
    </x:cfRule>
  </x:conditionalFormatting>
  <x:dataValidations count="1">
    <x:dataValidation type="list" sqref="G7:G46">
      <x:formula1>"P0,P1,P2,P3"</x:formula1>
    </x:dataValidation>
  </x:dataValidations>
  <x:pageMargins left="0.7" right="0.7" top="0.75" bottom="0.75" header="0.3" footer="0.3"/>
  <x:tableParts count="1">
    <x:tablePart xmlns:r="http://schemas.openxmlformats.org/officeDocument/2006/relationships" r:id="R00671c7de2c44f7c"/>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21" hidden="0" customWidth="1"/>
    <x:col min="3" max="3" width="30" hidden="0" customWidth="1"/>
    <x:col min="4" max="4" width="46" hidden="0" customWidth="1"/>
    <x:col min="5" max="5" width="58" hidden="0" customWidth="1"/>
    <x:col min="6" max="6" width="15" hidden="0" customWidth="1"/>
    <x:col min="7" max="7" width="15" hidden="0" customWidth="1"/>
    <x:col min="8" max="8" width="53" hidden="0" customWidth="1"/>
    <x:col min="9" max="9" width="55" hidden="0" customWidth="1"/>
    <x:col min="10" max="10" width="63" hidden="0" customWidth="1"/>
    <x:col min="11" max="11" width="50" hidden="0" customWidth="1"/>
    <x:col min="12" max="12" width="66" hidden="0" customWidth="1"/>
    <x:col min="13" max="13" width="42" hidden="0" customWidth="1"/>
  </x:cols>
  <x:sheetData>
    <x:row r="1" ht="12" customHeight="1">
      <x:c r="A1" s="3"/>
      <x:c r="B1" s="3"/>
      <x:c r="C1" s="3"/>
      <x:c r="D1" s="3"/>
      <x:c r="E1" s="3"/>
      <x:c r="F1" s="3"/>
      <x:c r="G1" s="3"/>
      <x:c r="H1" s="3"/>
      <x:c r="I1" s="3"/>
      <x:c r="J1" s="3"/>
      <x:c r="K1" s="3"/>
      <x:c r="L1" s="3"/>
      <x:c r="M1" s="3"/>
    </x:row>
    <x:row r="2" ht="29" customHeight="1">
      <x:c r="A2" s="4" t="str">
        <x:v>Groupes ennemis et alliés</x:v>
      </x:c>
      <x:c r="B2" s="3"/>
      <x:c r="C2" s="3"/>
      <x:c r="D2" s="3"/>
      <x:c r="E2" s="3"/>
      <x:c r="F2" s="3"/>
      <x:c r="G2" s="3"/>
      <x:c r="H2" s="3"/>
      <x:c r="I2" s="3"/>
      <x:c r="J2" s="3"/>
      <x:c r="K2" s="3"/>
      <x:c r="L2" s="3"/>
      <x:c r="M2" s="3"/>
    </x:row>
    <x:row r="3" ht="8" customHeight="1">
      <x:c r="A3" s="5"/>
      <x:c r="B3" s="5"/>
      <x:c r="C3" s="5"/>
      <x:c r="D3" s="5"/>
      <x:c r="E3" s="5"/>
      <x:c r="F3" s="5"/>
      <x:c r="G3" s="5"/>
      <x:c r="H3" s="5"/>
      <x:c r="I3" s="5"/>
      <x:c r="J3" s="5"/>
      <x:c r="K3" s="5"/>
      <x:c r="L3" s="5"/>
      <x:c r="M3" s="5"/>
    </x:row>
    <x:row r="4">
      <x:c r="A4" s="6" t="str">
        <x:v>Compositions proposées, limitées par les factions, le lieu, l’époque et les réserves de la bataille.</x:v>
      </x:c>
      <x:c r="B4" s="3"/>
      <x:c r="C4" s="3"/>
      <x:c r="D4" s="3"/>
      <x:c r="E4" s="3"/>
      <x:c r="F4" s="3"/>
      <x:c r="G4" s="3"/>
      <x:c r="H4" s="3"/>
      <x:c r="I4" s="3"/>
      <x:c r="J4" s="3"/>
      <x:c r="K4" s="3"/>
      <x:c r="L4" s="3"/>
      <x:c r="M4" s="3"/>
    </x:row>
    <x:row r="5">
      <x:c r="A5" s="7" t="str">
        <x:v>62 lignes</x:v>
      </x:c>
      <x:c r="B5" s="3"/>
      <x:c r="C5" s="3"/>
      <x:c r="D5" s="3"/>
      <x:c r="E5" s="3"/>
      <x:c r="F5" s="3"/>
      <x:c r="G5" s="3"/>
      <x:c r="H5" s="3"/>
      <x:c r="I5" s="3"/>
      <x:c r="J5" s="3"/>
      <x:c r="K5" s="3"/>
      <x:c r="L5" s="3"/>
      <x:c r="M5" s="3"/>
    </x:row>
    <x:row r="6" ht="36" customHeight="1">
      <x:c r="A6" s="19" t="str">
        <x:v>ID</x:v>
      </x:c>
      <x:c r="B6" s="20" t="str">
        <x:v>Faction</x:v>
      </x:c>
      <x:c r="C6" s="20" t="str">
        <x:v>Rôle du groupe</x:v>
      </x:c>
      <x:c r="D6" s="20" t="str">
        <x:v>Œuvre / continuité</x:v>
      </x:c>
      <x:c r="E6" s="20" t="str">
        <x:v>Composition cohérente</x:v>
      </x:c>
      <x:c r="F6" s="20" t="str">
        <x:v>Minimum cible</x:v>
      </x:c>
      <x:c r="G6" s="20" t="str">
        <x:v>Maximum cible</x:v>
      </x:c>
      <x:c r="H6" s="20" t="str">
        <x:v>Population comptée</x:v>
      </x:c>
      <x:c r="I6" s="20" t="str">
        <x:v>Commandement / coordination</x:v>
      </x:c>
      <x:c r="J6" s="20" t="str">
        <x:v>Comportement</x:v>
      </x:c>
      <x:c r="K6" s="20" t="str">
        <x:v>Origine des renforts</x:v>
      </x:c>
      <x:c r="L6" s="20" t="str">
        <x:v>Restrictions</x:v>
      </x:c>
      <x:c r="M6" s="21" t="str">
        <x:v>État / travail</x:v>
      </x:c>
    </x:row>
    <x:row r="7" ht="36" customHeight="1">
      <x:c r="A7" s="9" t="str">
        <x:v>GRP-01</x:v>
      </x:c>
      <x:c r="B7" s="9" t="str">
        <x:v>Ruche</x:v>
      </x:c>
      <x:c r="C7" s="9" t="str">
        <x:v>Patrouille de recherche</x:v>
      </x:c>
      <x:c r="D7" s="9" t="str">
        <x:v>Alien / AVP, profil local à sélectionner</x:v>
      </x:c>
      <x:c r="E7" s="9" t="str">
        <x:v>6–12 drones de la même population de ruche</x:v>
      </x:c>
      <x:c r="F7" s="27" t="n">
        <x:v>6</x:v>
      </x:c>
      <x:c r="G7" s="27" t="n">
        <x:v>12</x:v>
      </x:c>
      <x:c r="H7" s="9" t="str">
        <x:v>Combattants PNJ ; joueur exclu</x:v>
      </x:c>
      <x:c r="I7" s="9" t="str">
        <x:v>Coordination sensorielle locale, pas un officier humain</x:v>
      </x:c>
      <x:c r="J7" s="9" t="str">
        <x:v>Explorer les conduits, réagir au bruit, rejoindre un contact confirmé</x:v>
      </x:c>
      <x:c r="K7" s="9" t="str">
        <x:v>Tunnels reliés à un foyer actif</x:v>
      </x:c>
      <x:c r="L7" s="9" t="str">
        <x:v>Pas de toutes les castes rares dans chaque patrouille</x:v>
      </x:c>
      <x:c r="M7" s="9" t="str">
        <x:v>À créer : composition contrôlée</x:v>
      </x:c>
    </x:row>
    <x:row r="8" ht="36" customHeight="1">
      <x:c r="A8" s="10" t="str">
        <x:v>GRP-02</x:v>
      </x:c>
      <x:c r="B8" s="10" t="str">
        <x:v>Ruche</x:v>
      </x:c>
      <x:c r="C8" s="10" t="str">
        <x:v>Vague de pression</x:v>
      </x:c>
      <x:c r="D8" s="10" t="str">
        <x:v>Guerre de ruche originale</x:v>
      </x:c>
      <x:c r="E8" s="10" t="str">
        <x:v>24–40 guerriers/drones compatibles avec le profil de la mission</x:v>
      </x:c>
      <x:c r="F8" s="28" t="n">
        <x:v>24</x:v>
      </x:c>
      <x:c r="G8" s="28" t="n">
        <x:v>40</x:v>
      </x:c>
      <x:c r="H8" s="10" t="str">
        <x:v>Combattants PNJ ; joueur exclu</x:v>
      </x:c>
      <x:c r="I8" s="10" t="str">
        <x:v>Point d’émergence et objectif de percée</x:v>
      </x:c>
      <x:c r="J8" s="10" t="str">
        <x:v>Pression sur un axe, dispersion sous feu, regroupement par routes alternatives</x:v>
      </x:c>
      <x:c r="K8" s="10" t="str">
        <x:v>Réserve consommée dans un tunnel réel</x:v>
      </x:c>
      <x:c r="L8" s="10" t="str">
        <x:v>Aucun spawn circulaire au contact du joueur</x:v>
      </x:c>
      <x:c r="M8" s="10" t="str">
        <x:v>À créer : groupe persistant</x:v>
      </x:c>
    </x:row>
    <x:row r="9" ht="36" customHeight="1">
      <x:c r="A9" s="9" t="str">
        <x:v>GRP-03</x:v>
      </x:c>
      <x:c r="B9" s="9" t="str">
        <x:v>Ruche</x:v>
      </x:c>
      <x:c r="C9" s="9" t="str">
        <x:v>Flanc rapide</x:v>
      </x:c>
      <x:c r="D9" s="9" t="str">
        <x:v>Guerre originale inspirée d’un Runner documenté ; pas preset de reconstitution Alien 3</x:v>
      </x:c>
      <x:c r="E9" s="9" t="str">
        <x:v>6–10 runners quadrupèdes</x:v>
      </x:c>
      <x:c r="F9" s="27" t="n">
        <x:v>6</x:v>
      </x:c>
      <x:c r="G9" s="27" t="n">
        <x:v>10</x:v>
      </x:c>
      <x:c r="H9" s="9" t="str">
        <x:v>Combattants PNJ ; joueur exclu</x:v>
      </x:c>
      <x:c r="I9" s="9" t="str">
        <x:v>Route de flanc préassignée</x:v>
      </x:c>
      <x:c r="J9" s="9" t="str">
        <x:v>Contourner les lignes de tir, viser les isolés puis se retirer</x:v>
      </x:c>
      <x:c r="K9" s="9" t="str">
        <x:v>Galeries basses compatibles avec la morphologie</x:v>
      </x:c>
      <x:c r="L9" s="9" t="str">
        <x:v>Pas de runners sans hôtes compatibles ni attribution film universelle</x:v>
      </x:c>
      <x:c r="M9" s="9" t="str">
        <x:v>À créer : filtre de continuité</x:v>
      </x:c>
    </x:row>
    <x:row r="10" ht="36" customHeight="1">
      <x:c r="A10" s="10" t="str">
        <x:v>GRP-04</x:v>
      </x:c>
      <x:c r="B10" s="10" t="str">
        <x:v>Ruche</x:v>
      </x:c>
      <x:c r="C10" s="10" t="str">
        <x:v>Embuscade verticale</x:v>
      </x:c>
      <x:c r="D10" s="10" t="str">
        <x:v>Alien / AVP selon références visuelles</x:v>
      </x:c>
      <x:c r="E10" s="10" t="str">
        <x:v>4–8 adultes grimpants</x:v>
      </x:c>
      <x:c r="F10" s="28" t="n">
        <x:v>4</x:v>
      </x:c>
      <x:c r="G10" s="28" t="n">
        <x:v>8</x:v>
      </x:c>
      <x:c r="H10" s="10" t="str">
        <x:v>Combattants PNJ ; joueur exclu</x:v>
      </x:c>
      <x:c r="I10" s="10" t="str">
        <x:v>Déclencheur de perception partagé</x:v>
      </x:c>
      <x:c r="J10" s="10" t="str">
        <x:v>Attendre aux plafonds, couper l’arrière-garde, exposer une alerte sonore</x:v>
      </x:c>
      <x:c r="K10" s="10" t="str">
        <x:v>Surfaces franchissables reliées au graphe vertical</x:v>
      </x:c>
      <x:c r="L10" s="10" t="str">
        <x:v>Animation et collision réelles ; pas de téléportation derrière caméra</x:v>
      </x:c>
      <x:c r="M10" s="10" t="str">
        <x:v>À renforcer</x:v>
      </x:c>
    </x:row>
    <x:row r="11" ht="36" customHeight="1">
      <x:c r="A11" s="9" t="str">
        <x:v>GRP-05</x:v>
      </x:c>
      <x:c r="B11" s="9" t="str">
        <x:v>Ruche</x:v>
      </x:c>
      <x:c r="C11" s="9" t="str">
        <x:v>Couvoir / infection</x:v>
      </x:c>
      <x:c r="D11" s="9" t="str">
        <x:v>Ruche établie</x:v>
      </x:c>
      <x:c r="E11" s="9" t="str">
        <x:v>4–12 œufs/facehuggers et 2–4 adultes gardiens</x:v>
      </x:c>
      <x:c r="F11" s="27" t="n">
        <x:v>6</x:v>
      </x:c>
      <x:c r="G11" s="27" t="n">
        <x:v>16</x:v>
      </x:c>
      <x:c r="H11" s="9" t="str">
        <x:v>6–16 menaces : 4–12 œufs/parasites et 2–4 adultes ; compteurs séparés obligatoires</x:v>
      </x:c>
      <x:c r="I11" s="9" t="str">
        <x:v>Protection du couvoir</x:v>
      </x:c>
      <x:c r="J11" s="9" t="str">
        <x:v>Réagir à intrusion ; les adultes défendent sans compter les œufs comme soldats</x:v>
      </x:c>
      <x:c r="K11" s="9" t="str">
        <x:v>Chambre de ponte, cocons et voie d’accès cohérents</x:v>
      </x:c>
      <x:c r="L11" s="9" t="str">
        <x:v>Séparer menaces biologiques, vivants combattants et objectifs destructibles</x:v>
      </x:c>
      <x:c r="M11" s="9" t="str">
        <x:v>À structurer</x:v>
      </x:c>
    </x:row>
    <x:row r="12" ht="36" customHeight="1">
      <x:c r="A12" s="10" t="str">
        <x:v>GRP-06</x:v>
      </x:c>
      <x:c r="B12" s="10" t="str">
        <x:v>Ruche</x:v>
      </x:c>
      <x:c r="C12" s="10" t="str">
        <x:v>Escorte royale</x:v>
      </x:c>
      <x:c r="D12" s="10" t="str">
        <x:v>Jeux AVP / campagne originale étiquetée</x:v>
      </x:c>
      <x:c r="E12" s="10" t="str">
        <x:v>1 prétorien et 8–16 guerriers</x:v>
      </x:c>
      <x:c r="F12" s="28" t="n">
        <x:v>9</x:v>
      </x:c>
      <x:c r="G12" s="28" t="n">
        <x:v>17</x:v>
      </x:c>
      <x:c r="H12" s="10" t="str">
        <x:v>Combattants PNJ ; joueur exclu</x:v>
      </x:c>
      <x:c r="I12" s="10" t="str">
        <x:v>Préteur de secteur et objectif de défense</x:v>
      </x:c>
      <x:c r="J12" s="10" t="str">
        <x:v>Protéger une voie du nid, replier vers la reine selon pression</x:v>
      </x:c>
      <x:c r="K12" s="10" t="str">
        <x:v>Chambre royale ou passage stratégique</x:v>
      </x:c>
      <x:c r="L12" s="10" t="str">
        <x:v>Prétorien rare ; rôle de commandement = adaptation de jeu</x:v>
      </x:c>
      <x:c r="M12" s="10" t="str">
        <x:v>À créer : commandement de groupe</x:v>
      </x:c>
    </x:row>
    <x:row r="13" ht="36" customHeight="1">
      <x:c r="A13" s="9" t="str">
        <x:v>GRP-07</x:v>
      </x:c>
      <x:c r="B13" s="9" t="str">
        <x:v>Ruche</x:v>
      </x:c>
      <x:c r="C13" s="9" t="str">
        <x:v>Percée lourde</x:v>
      </x:c>
      <x:c r="D13" s="9" t="str">
        <x:v>Jeu licencié précis à documenter</x:v>
      </x:c>
      <x:c r="E13" s="9" t="str">
        <x:v>1 lourd identifié et 12–20 adultes</x:v>
      </x:c>
      <x:c r="F13" s="27" t="n">
        <x:v>13</x:v>
      </x:c>
      <x:c r="G13" s="27" t="n">
        <x:v>21</x:v>
      </x:c>
      <x:c r="H13" s="9" t="str">
        <x:v>Combattants PNJ ; joueur exclu</x:v>
      </x:c>
      <x:c r="I13" s="9" t="str">
        <x:v>Point de brèche</x:v>
      </x:c>
      <x:c r="J13" s="9" t="str">
        <x:v>Détruire une barricade sous couverture puis ouvrir un passage durable</x:v>
      </x:c>
      <x:c r="K13" s="9" t="str">
        <x:v>Axe où le lourd peut tourner et entrer</x:v>
      </x:c>
      <x:c r="L13" s="9" t="str">
        <x:v>Ne pas inventer Crusher/Carrier dans un film où ils ne figurent pas</x:v>
      </x:c>
      <x:c r="M13" s="9" t="str">
        <x:v>Proposition sous référence</x:v>
      </x:c>
    </x:row>
    <x:row r="14" ht="36" customHeight="1">
      <x:c r="A14" s="10" t="str">
        <x:v>GRP-08</x:v>
      </x:c>
      <x:c r="B14" s="10" t="str">
        <x:v>Ruche</x:v>
      </x:c>
      <x:c r="C14" s="10" t="str">
        <x:v>Appui biologique</x:v>
      </x:c>
      <x:c r="D14" s="10" t="str">
        <x:v>Jeux licenciés, continuité séparée</x:v>
      </x:c>
      <x:c r="E14" s="10" t="str">
        <x:v>2–4 cracheurs et 8–12 adultes de protection</x:v>
      </x:c>
      <x:c r="F14" s="28" t="n">
        <x:v>10</x:v>
      </x:c>
      <x:c r="G14" s="28" t="n">
        <x:v>16</x:v>
      </x:c>
      <x:c r="H14" s="10" t="str">
        <x:v>Combattants PNJ ; joueur exclu</x:v>
      </x:c>
      <x:c r="I14" s="10" t="str">
        <x:v>Choix de ligne de tir</x:v>
      </x:c>
      <x:c r="J14" s="10" t="str">
        <x:v>Créer un danger de zone évitable, se repositionner quand approché</x:v>
      </x:c>
      <x:c r="K14" s="10" t="str">
        <x:v>Positions à portée vérifiée et sortie praticable</x:v>
      </x:c>
      <x:c r="L14" s="10" t="str">
        <x:v>Crachats et castes non universels dans les films</x:v>
      </x:c>
      <x:c r="M14" s="10" t="str">
        <x:v>À créer : appui cohérent</x:v>
      </x:c>
    </x:row>
    <x:row r="15" ht="36" customHeight="1">
      <x:c r="A15" s="9" t="str">
        <x:v>GRP-09</x:v>
      </x:c>
      <x:c r="B15" s="9" t="str">
        <x:v>Ruche</x:v>
      </x:c>
      <x:c r="C15" s="9" t="str">
        <x:v>Migration / repli vers nid</x:v>
      </x:c>
      <x:c r="D15" s="9" t="str">
        <x:v>Campagne de guerre originale</x:v>
      </x:c>
      <x:c r="E15" s="9" t="str">
        <x:v>16–32 survivants issus de groupes existants</x:v>
      </x:c>
      <x:c r="F15" s="27" t="n">
        <x:v>16</x:v>
      </x:c>
      <x:c r="G15" s="27" t="n">
        <x:v>32</x:v>
      </x:c>
      <x:c r="H15" s="9" t="str">
        <x:v>Combattants PNJ ; joueur exclu</x:v>
      </x:c>
      <x:c r="I15" s="9" t="str">
        <x:v>Cohésion de ruche</x:v>
      </x:c>
      <x:c r="J15" s="9" t="str">
        <x:v>Transporter survivants et ressources vers foyer ; réaffecter les effectifs</x:v>
      </x:c>
      <x:c r="K15" s="9" t="str">
        <x:v>Routes arrière encore ouvertes</x:v>
      </x:c>
      <x:c r="L15" s="9" t="str">
        <x:v>Ne pas utiliser une peur humaine ou disparition gratuite</x:v>
      </x:c>
      <x:c r="M15" s="9" t="str">
        <x:v>À créer : retraite de faction</x:v>
      </x:c>
    </x:row>
    <x:row r="16" ht="36" customHeight="1">
      <x:c r="A16" s="10" t="str">
        <x:v>GRP-10</x:v>
      </x:c>
      <x:c r="B16" s="10" t="str">
        <x:v>Yautja alliés</x:v>
      </x:c>
      <x:c r="C16" s="10" t="str">
        <x:v>Cellule de chasse</x:v>
      </x:c>
      <x:c r="D16" s="10" t="str">
        <x:v>AVP / guerre originale</x:v>
      </x:c>
      <x:c r="E16" s="10" t="str">
        <x:v>3 chasseurs complémentaires : éclaireur, mêlée, soutien</x:v>
      </x:c>
      <x:c r="F16" s="28" t="n">
        <x:v>3</x:v>
      </x:c>
      <x:c r="G16" s="28" t="n">
        <x:v>3</x:v>
      </x:c>
      <x:c r="H16" s="10" t="str">
        <x:v>3 chasseurs dans la cellule : 3 PNJ autonomes OU 1 joueur + 2 alliés, sans double comptage</x:v>
      </x:c>
      <x:c r="I16" s="10" t="str">
        <x:v>Chef choisi parmi le trio</x:v>
      </x:c>
      <x:c r="J16" s="10" t="str">
        <x:v>Reconnaître, marquer une proie, faire tenaille, récupérer un blessé</x:v>
      </x:c>
      <x:c r="K16" s="10" t="str">
        <x:v>Insertion dédiée et chemin confirmé</x:v>
      </x:c>
      <x:c r="L16" s="10" t="str">
        <x:v>Pas de trois copies du même héros de film</x:v>
      </x:c>
      <x:c r="M16" s="10" t="str">
        <x:v>Partiel : escorte actuelle</x:v>
      </x:c>
    </x:row>
    <x:row r="17" ht="36" customHeight="1">
      <x:c r="A17" s="9" t="str">
        <x:v>GRP-11</x:v>
      </x:c>
      <x:c r="B17" s="9" t="str">
        <x:v>Yautja alliés</x:v>
      </x:c>
      <x:c r="C17" s="9" t="str">
        <x:v>Détachement d’assaut</x:v>
      </x:c>
      <x:c r="D17" s="9" t="str">
        <x:v>Guerre du clan originale</x:v>
      </x:c>
      <x:c r="E17" s="9" t="str">
        <x:v>6–8 combattants, dont un vétéran</x:v>
      </x:c>
      <x:c r="F17" s="27" t="n">
        <x:v>6</x:v>
      </x:c>
      <x:c r="G17" s="27" t="n">
        <x:v>8</x:v>
      </x:c>
      <x:c r="H17" s="9" t="str">
        <x:v>Combattants PNJ ; joueur exclu</x:v>
      </x:c>
      <x:c r="I17" s="9" t="str">
        <x:v>Chef de détachement</x:v>
      </x:c>
      <x:c r="J17" s="9" t="str">
        <x:v>Prendre un passage, tenir après capture, accepter ordre de renfort</x:v>
      </x:c>
      <x:c r="K17" s="9" t="str">
        <x:v>Point de rassemblement occupé par le clan</x:v>
      </x:c>
      <x:c r="L17" s="9" t="str">
        <x:v>Équipement issu du clan et de son époque</x:v>
      </x:c>
      <x:c r="M17" s="9" t="str">
        <x:v>À créer</x:v>
      </x:c>
    </x:row>
    <x:row r="18" ht="36" customHeight="1">
      <x:c r="A18" s="10" t="str">
        <x:v>GRP-12</x:v>
      </x:c>
      <x:c r="B18" s="10" t="str">
        <x:v>Yautja alliés</x:v>
      </x:c>
      <x:c r="C18" s="10" t="str">
        <x:v>Éclaireurs</x:v>
      </x:c>
      <x:c r="D18" s="10" t="str">
        <x:v>Guerre du clan originale</x:v>
      </x:c>
      <x:c r="E18" s="10" t="str">
        <x:v>2–3 chasseurs légers</x:v>
      </x:c>
      <x:c r="F18" s="28" t="n">
        <x:v>2</x:v>
      </x:c>
      <x:c r="G18" s="28" t="n">
        <x:v>3</x:v>
      </x:c>
      <x:c r="H18" s="10" t="str">
        <x:v>Combattants PNJ ; joueur exclu</x:v>
      </x:c>
      <x:c r="I18" s="10" t="str">
        <x:v>Responsable de reconnaissance</x:v>
      </x:c>
      <x:c r="J18" s="10" t="str">
        <x:v>Repérer sans engager une reine, ouvrir un renseignement temporaire</x:v>
      </x:c>
      <x:c r="K18" s="10" t="str">
        <x:v>Canopée ou chemin technique autorisé</x:v>
      </x:c>
      <x:c r="L18" s="10" t="str">
        <x:v>Camouflage ne confère pas invisibilité absolue aux xénomorphes</x:v>
      </x:c>
      <x:c r="M18" s="10" t="str">
        <x:v>À créer</x:v>
      </x:c>
    </x:row>
    <x:row r="19" ht="24" customHeight="1">
      <x:c r="A19" s="9" t="str">
        <x:v>GRP-13</x:v>
      </x:c>
      <x:c r="B19" s="9" t="str">
        <x:v>Yautja alliés</x:v>
      </x:c>
      <x:c r="C19" s="9" t="str">
        <x:v>Soutien plasma</x:v>
      </x:c>
      <x:c r="D19" s="9" t="str">
        <x:v>Guerre du clan originale</x:v>
      </x:c>
      <x:c r="E19" s="9" t="str">
        <x:v>2 tireurs plasma et 2 protecteurs</x:v>
      </x:c>
      <x:c r="F19" s="27" t="n">
        <x:v>4</x:v>
      </x:c>
      <x:c r="G19" s="27" t="n">
        <x:v>4</x:v>
      </x:c>
      <x:c r="H19" s="9" t="str">
        <x:v>Combattants PNJ ; joueur exclu</x:v>
      </x:c>
      <x:c r="I19" s="9" t="str">
        <x:v>Coordinateur de tir</x:v>
      </x:c>
      <x:c r="J19" s="9" t="str">
        <x:v>Préparer un barrage sur ordre, surveiller chaleur/énergie</x:v>
      </x:c>
      <x:c r="K19" s="9" t="str">
        <x:v>Hauteur avec visibilité et voie de repli</x:v>
      </x:c>
      <x:c r="L19" s="9" t="str">
        <x:v>Pas de tir à travers bâtiments, pas de capacité infinie</x:v>
      </x:c>
      <x:c r="M19" s="9" t="str">
        <x:v>À créer</x:v>
      </x:c>
    </x:row>
    <x:row r="20" ht="24" customHeight="1">
      <x:c r="A20" s="10" t="str">
        <x:v>GRP-14</x:v>
      </x:c>
      <x:c r="B20" s="10" t="str">
        <x:v>Yautja alliés</x:v>
      </x:c>
      <x:c r="C20" s="10" t="str">
        <x:v>Nettoyage de contamination</x:v>
      </x:c>
      <x:c r="D20" s="10" t="str">
        <x:v>Inspiré Wolf / AVPR, opération originale</x:v>
      </x:c>
      <x:c r="E20" s="10" t="str">
        <x:v>1 vétéran et 2–4 aides originaux</x:v>
      </x:c>
      <x:c r="F20" s="28" t="n">
        <x:v>3</x:v>
      </x:c>
      <x:c r="G20" s="28" t="n">
        <x:v>5</x:v>
      </x:c>
      <x:c r="H20" s="10" t="str">
        <x:v>Combattants PNJ ; joueur exclu</x:v>
      </x:c>
      <x:c r="I20" s="10" t="str">
        <x:v>Nettoyeur responsable</x:v>
      </x:c>
      <x:c r="J20" s="10" t="str">
        <x:v>Traiter traces, sceller une percée, préparer extraction</x:v>
      </x:c>
      <x:c r="K20" s="10" t="str">
        <x:v>Après sécurisation temporaire du site</x:v>
      </x:c>
      <x:c r="L20" s="10" t="str">
        <x:v>Wolf reste unique ; aides = création originale explicitée</x:v>
      </x:c>
      <x:c r="M20" s="10" t="str">
        <x:v>À créer</x:v>
      </x:c>
    </x:row>
    <x:row r="21" ht="36" customHeight="1">
      <x:c r="A21" s="9" t="str">
        <x:v>GRP-15</x:v>
      </x:c>
      <x:c r="B21" s="9" t="str">
        <x:v>Yautja alliés</x:v>
      </x:c>
      <x:c r="C21" s="9" t="str">
        <x:v>Enforcers / chasse aux renégats</x:v>
      </x:c>
      <x:c r="D21" s="9" t="str">
        <x:v>Univers étendu précis à documenter</x:v>
      </x:c>
      <x:c r="E21" s="9" t="str">
        <x:v>3–5 traqueurs spécialisés</x:v>
      </x:c>
      <x:c r="F21" s="27" t="n">
        <x:v>3</x:v>
      </x:c>
      <x:c r="G21" s="27" t="n">
        <x:v>5</x:v>
      </x:c>
      <x:c r="H21" s="9" t="str">
        <x:v>Combattants PNJ ; joueur exclu</x:v>
      </x:c>
      <x:c r="I21" s="9" t="str">
        <x:v>Chef d’enquête / traque</x:v>
      </x:c>
      <x:c r="J21" s="9" t="str">
        <x:v>Poursuivre un Bad Blood identifié plutôt que tuer toute autre faction</x:v>
      </x:c>
      <x:c r="K21" s="9" t="str">
        <x:v>Point d’arrivée annoncé par le scénario</x:v>
      </x:c>
      <x:c r="L21" s="9" t="str">
        <x:v>Nom et uniforme à valider dans une œuvre précise</x:v>
      </x:c>
      <x:c r="M21" s="9" t="str">
        <x:v>Proposition sous référence</x:v>
      </x:c>
    </x:row>
    <x:row r="22" ht="36" customHeight="1">
      <x:c r="A22" s="10" t="str">
        <x:v>GRP-16</x:v>
      </x:c>
      <x:c r="B22" s="10" t="str">
        <x:v>Yautja alliés</x:v>
      </x:c>
      <x:c r="C22" s="10" t="str">
        <x:v>Extraction d’un vétéran</x:v>
      </x:c>
      <x:c r="D22" s="10" t="str">
        <x:v>Guerre du clan originale</x:v>
      </x:c>
      <x:c r="E22" s="10" t="str">
        <x:v>2 gardes et 1 blessé non combattant</x:v>
      </x:c>
      <x:c r="F22" s="28" t="n">
        <x:v>3</x:v>
      </x:c>
      <x:c r="G22" s="28" t="n">
        <x:v>3</x:v>
      </x:c>
      <x:c r="H22" s="10" t="str">
        <x:v>3 personnes, dont 2 combattants et 1 blessé non combattant</x:v>
      </x:c>
      <x:c r="I22" s="10" t="str">
        <x:v>Garde responsable</x:v>
      </x:c>
      <x:c r="J22" s="10" t="str">
        <x:v>Évacuer sur route praticable ; demander couverture et détour</x:v>
      </x:c>
      <x:c r="K22" s="10" t="str">
        <x:v>Depuis état réel de blessure</x:v>
      </x:c>
      <x:c r="L22" s="10" t="str">
        <x:v>Le blessé ne compte pas dans la force de combat disponible</x:v>
      </x:c>
      <x:c r="M22" s="10" t="str">
        <x:v>À créer</x:v>
      </x:c>
    </x:row>
    <x:row r="23" ht="24" customHeight="1">
      <x:c r="A23" s="9" t="str">
        <x:v>GRP-17</x:v>
      </x:c>
      <x:c r="B23" s="9" t="str">
        <x:v>Yautja hostiles</x:v>
      </x:c>
      <x:c r="C23" s="9" t="str">
        <x:v>Cellule Bad Blood</x:v>
      </x:c>
      <x:c r="D23" s="9" t="str">
        <x:v>Continuité étendue / scénario original</x:v>
      </x:c>
      <x:c r="E23" s="9" t="str">
        <x:v>1 chef et 2–4 chasseurs renégats</x:v>
      </x:c>
      <x:c r="F23" s="27" t="n">
        <x:v>3</x:v>
      </x:c>
      <x:c r="G23" s="27" t="n">
        <x:v>5</x:v>
      </x:c>
      <x:c r="H23" s="9" t="str">
        <x:v>Combattants PNJ ; joueur exclu</x:v>
      </x:c>
      <x:c r="I23" s="9" t="str">
        <x:v>Chef hostile identifiable</x:v>
      </x:c>
      <x:c r="J23" s="9" t="str">
        <x:v>Embuscade, gadgets et duel ; retraite si objectif raté</x:v>
      </x:c>
      <x:c r="K23" s="9" t="str">
        <x:v>Apparition scénarisée, sortie réutilisable</x:v>
      </x:c>
      <x:c r="L23" s="9" t="str">
        <x:v>Pas de masse de héros nommés identiques</x:v>
      </x:c>
      <x:c r="M23" s="9" t="str">
        <x:v>À structurer</x:v>
      </x:c>
    </x:row>
    <x:row r="24" ht="36" customHeight="1">
      <x:c r="A24" s="10" t="str">
        <x:v>GRP-18</x:v>
      </x:c>
      <x:c r="B24" s="10" t="str">
        <x:v>Super Predators</x:v>
      </x:c>
      <x:c r="C24" s="10" t="str">
        <x:v>Meute de chasse</x:v>
      </x:c>
      <x:c r="D24" s="10" t="str">
        <x:v>Predators (2010) ou variation annoncée</x:v>
      </x:c>
      <x:c r="E24" s="10" t="str">
        <x:v>Trio de chasseurs nommé + chiens autorisés séparément</x:v>
      </x:c>
      <x:c r="F24" s="28" t="n">
        <x:v>3</x:v>
      </x:c>
      <x:c r="G24" s="28" t="n">
        <x:v>3</x:v>
      </x:c>
      <x:c r="H24" s="10" t="str">
        <x:v>3 chasseurs uniques ; chiens dans une unité séparée, plafond propre à documenter</x:v>
      </x:c>
      <x:c r="I24" s="10" t="str">
        <x:v>Berserker, rôles Tracker/Falconer différenciés</x:v>
      </x:c>
      <x:c r="J24" s="10" t="str">
        <x:v>Traquer les proies et protéger le camp avec rôles distincts</x:v>
      </x:c>
      <x:c r="K24" s="10" t="str">
        <x:v>Camp et territoire du film ; extension cartographique signalée</x:v>
      </x:c>
      <x:c r="L24" s="10" t="str">
        <x:v>Ne pas transformer leurs chiens en Xénomorphes ni en alliés neutres</x:v>
      </x:c>
      <x:c r="M24" s="10" t="str">
        <x:v>À renforcer</x:v>
      </x:c>
    </x:row>
    <x:row r="25" ht="36" customHeight="1">
      <x:c r="A25" s="9" t="str">
        <x:v>GRP-19</x:v>
      </x:c>
      <x:c r="B25" s="9" t="str">
        <x:v>Humains</x:v>
      </x:c>
      <x:c r="C25" s="9" t="str">
        <x:v>Section de fusiliers</x:v>
      </x:c>
      <x:c r="D25" s="9" t="str">
        <x:v>Colonial Marines / mission future cohérente</x:v>
      </x:c>
      <x:c r="E25" s="9" t="str">
        <x:v>1 chef, 5–7 fusiliers, 1 soutien, 1 spécialiste</x:v>
      </x:c>
      <x:c r="F25" s="27" t="n">
        <x:v>8</x:v>
      </x:c>
      <x:c r="G25" s="27" t="n">
        <x:v>10</x:v>
      </x:c>
      <x:c r="H25" s="9" t="str">
        <x:v>Combattants PNJ ; joueur exclu</x:v>
      </x:c>
      <x:c r="I25" s="9" t="str">
        <x:v>Sous-officier nommé ou généré</x:v>
      </x:c>
      <x:c r="J25" s="9" t="str">
        <x:v>Couverture, progression par bonds, feu croisé et secours</x:v>
      </x:c>
      <x:c r="K25" s="9" t="str">
        <x:v>Dropship, caserne ou convoyage réel</x:v>
      </x:c>
      <x:c r="L25" s="9" t="str">
        <x:v>Armement militaire de l’époque ; pas USCM dans 1987 sans uchronie</x:v>
      </x:c>
      <x:c r="M25" s="9" t="str">
        <x:v>À créer : arme et rôles de base</x:v>
      </x:c>
    </x:row>
    <x:row r="26" ht="24" customHeight="1">
      <x:c r="A26" s="10" t="str">
        <x:v>GRP-20</x:v>
      </x:c>
      <x:c r="B26" s="10" t="str">
        <x:v>Humains</x:v>
      </x:c>
      <x:c r="C26" s="10" t="str">
        <x:v>Équipe de suppression</x:v>
      </x:c>
      <x:c r="D26" s="10" t="str">
        <x:v>Colonial Marines</x:v>
      </x:c>
      <x:c r="E26" s="10" t="str">
        <x:v>1 smartgunner et 3 fusiliers</x:v>
      </x:c>
      <x:c r="F26" s="28" t="n">
        <x:v>4</x:v>
      </x:c>
      <x:c r="G26" s="28" t="n">
        <x:v>4</x:v>
      </x:c>
      <x:c r="H26" s="10" t="str">
        <x:v>Combattants PNJ ; joueur exclu</x:v>
      </x:c>
      <x:c r="I26" s="10" t="str">
        <x:v>Chef de feu</x:v>
      </x:c>
      <x:c r="J26" s="10" t="str">
        <x:v>Fixer un essaim, éviter les alliés dans la ligne de tir</x:v>
      </x:c>
      <x:c r="K26" s="10" t="str">
        <x:v>Poste de tir ou escorte APC</x:v>
      </x:c>
      <x:c r="L26" s="10" t="str">
        <x:v>Pas une section composée uniquement de smartguns/lance-flammes</x:v>
      </x:c>
      <x:c r="M26" s="10" t="str">
        <x:v>Partiel : composition à corriger</x:v>
      </x:c>
    </x:row>
    <x:row r="27" ht="36" customHeight="1">
      <x:c r="A27" s="9" t="str">
        <x:v>GRP-21</x:v>
      </x:c>
      <x:c r="B27" s="9" t="str">
        <x:v>Humains</x:v>
      </x:c>
      <x:c r="C27" s="9" t="str">
        <x:v>Équipe de confinement</x:v>
      </x:c>
      <x:c r="D27" s="9" t="str">
        <x:v>Colonie / laboratoire compatible</x:v>
      </x:c>
      <x:c r="E27" s="9" t="str">
        <x:v>1 opérateur lance-flammes, 2 protecteurs, 1 technicien</x:v>
      </x:c>
      <x:c r="F27" s="27" t="n">
        <x:v>4</x:v>
      </x:c>
      <x:c r="G27" s="27" t="n">
        <x:v>4</x:v>
      </x:c>
      <x:c r="H27" s="9" t="str">
        <x:v>Combattants PNJ ; joueur exclu</x:v>
      </x:c>
      <x:c r="I27" s="9" t="str">
        <x:v>Technicien d’objectif</x:v>
      </x:c>
      <x:c r="J27" s="9" t="str">
        <x:v>Souder une porte et nettoyer une voie puis changer de position</x:v>
      </x:c>
      <x:c r="K27" s="9" t="str">
        <x:v>Zone ventilée et seuil de porte réel</x:v>
      </x:c>
      <x:c r="L27" s="9" t="str">
        <x:v>Feu/pression/électricité avec limites lisibles</x:v>
      </x:c>
      <x:c r="M27" s="9" t="str">
        <x:v>À créer</x:v>
      </x:c>
    </x:row>
    <x:row r="28" ht="36" customHeight="1">
      <x:c r="A28" s="10" t="str">
        <x:v>GRP-22</x:v>
      </x:c>
      <x:c r="B28" s="10" t="str">
        <x:v>Humains</x:v>
      </x:c>
      <x:c r="C28" s="10" t="str">
        <x:v>Soutien sentinelles</x:v>
      </x:c>
      <x:c r="D28" s="10" t="str">
        <x:v>Aliens / futur compatible</x:v>
      </x:c>
      <x:c r="E28" s="10" t="str">
        <x:v>2 opérateurs et 2 gardes ; 1–2 tourelles hors compte soldats</x:v>
      </x:c>
      <x:c r="F28" s="28" t="n">
        <x:v>4</x:v>
      </x:c>
      <x:c r="G28" s="28" t="n">
        <x:v>4</x:v>
      </x:c>
      <x:c r="H28" s="10" t="str">
        <x:v>4 humains ; 1–2 tourelles comptées comme matériel séparément</x:v>
      </x:c>
      <x:c r="I28" s="10" t="str">
        <x:v>Responsable de batterie</x:v>
      </x:c>
      <x:c r="J28" s="10" t="str">
        <x:v>Poser, alimenter, replier ; secteur de tir et munitions limités</x:v>
      </x:c>
      <x:c r="K28" s="10" t="str">
        <x:v>Carrefour couvert avec alimentation</x:v>
      </x:c>
      <x:c r="L28" s="10" t="str">
        <x:v>Tourelle comptée en matériel, pas soldat ; pas de spawn illimité</x:v>
      </x:c>
      <x:c r="M28" s="10" t="str">
        <x:v>À renforcer</x:v>
      </x:c>
    </x:row>
    <x:row r="29" ht="36" customHeight="1">
      <x:c r="A29" s="9" t="str">
        <x:v>GRP-23</x:v>
      </x:c>
      <x:c r="B29" s="9" t="str">
        <x:v>Humains</x:v>
      </x:c>
      <x:c r="C29" s="9" t="str">
        <x:v>Équipage et escorte APC</x:v>
      </x:c>
      <x:c r="D29" s="9" t="str">
        <x:v>Aliens / futur compatible</x:v>
      </x:c>
      <x:c r="E29" s="9" t="str">
        <x:v>2 membres d’équipage + 6 passagers/escorte</x:v>
      </x:c>
      <x:c r="F29" s="27" t="n">
        <x:v>8</x:v>
      </x:c>
      <x:c r="G29" s="27" t="n">
        <x:v>8</x:v>
      </x:c>
      <x:c r="H29" s="9" t="str">
        <x:v>8 humains entre véhicule et sol, jamais dans les deux états à la fois ; véhicule séparé</x:v>
      </x:c>
      <x:c r="I29" s="9" t="str">
        <x:v>Chef véhicule</x:v>
      </x:c>
      <x:c r="J29" s="9" t="str">
        <x:v>Transport, débarquement puis soutien ; perte véhicule modifie trajet</x:v>
      </x:c>
      <x:c r="K29" s="9" t="str">
        <x:v>Route avec largeur/gabarit et aire de retournement</x:v>
      </x:c>
      <x:c r="L29" s="9" t="str">
        <x:v>Pas d’APC dans station trop étroite ni doublon passagers/sol</x:v>
      </x:c>
      <x:c r="M29" s="9" t="str">
        <x:v>À intégrer au front</x:v>
      </x:c>
    </x:row>
    <x:row r="30" ht="36" customHeight="1">
      <x:c r="A30" s="10" t="str">
        <x:v>GRP-24</x:v>
      </x:c>
      <x:c r="B30" s="10" t="str">
        <x:v>Humains</x:v>
      </x:c>
      <x:c r="C30" s="10" t="str">
        <x:v>Escouade Stargazer</x:v>
      </x:c>
      <x:c r="D30" s="10" t="str">
        <x:v>The Predator (2018)</x:v>
      </x:c>
      <x:c r="E30" s="10" t="str">
        <x:v>6–8 agents avec chef, tireurs et équipe capture</x:v>
      </x:c>
      <x:c r="F30" s="28" t="n">
        <x:v>6</x:v>
      </x:c>
      <x:c r="G30" s="28" t="n">
        <x:v>8</x:v>
      </x:c>
      <x:c r="H30" s="10" t="str">
        <x:v>Combattants PNJ ; joueur exclu</x:v>
      </x:c>
      <x:c r="I30" s="10" t="str">
        <x:v>Officier Stargazer</x:v>
      </x:c>
      <x:c r="J30" s="10" t="str">
        <x:v>Confiner, utiliser éclairage, verrouiller issues et récupérer spécimen</x:v>
      </x:c>
      <x:c r="K30" s="10" t="str">
        <x:v>Base et forêt de ce scénario</x:v>
      </x:c>
      <x:c r="L30" s="10" t="str">
        <x:v>Pas de pulse rifles USCM ; allégeance liée à la mission</x:v>
      </x:c>
      <x:c r="M30" s="10" t="str">
        <x:v>À créer : faction dédiée</x:v>
      </x:c>
    </x:row>
    <x:row r="31" ht="36" customHeight="1">
      <x:c r="A31" s="9" t="str">
        <x:v>GRP-25</x:v>
      </x:c>
      <x:c r="B31" s="9" t="str">
        <x:v>Humains</x:v>
      </x:c>
      <x:c r="C31" s="9" t="str">
        <x:v>Forces de Los Angeles</x:v>
      </x:c>
      <x:c r="D31" s="9" t="str">
        <x:v>Predator 2</x:v>
      </x:c>
      <x:c r="E31" s="9" t="str">
        <x:v>3–6 policiers OU combattants de faction locale</x:v>
      </x:c>
      <x:c r="F31" s="27" t="n">
        <x:v>3</x:v>
      </x:c>
      <x:c r="G31" s="27" t="n">
        <x:v>6</x:v>
      </x:c>
      <x:c r="H31" s="9" t="str">
        <x:v>Combattants PNJ ; joueur exclu</x:v>
      </x:c>
      <x:c r="I31" s="9" t="str">
        <x:v>Chef propre au groupe</x:v>
      </x:c>
      <x:c r="J31" s="9" t="str">
        <x:v>Deux groupes humains peuvent s’affronter indépendamment du joueur</x:v>
      </x:c>
      <x:c r="K31" s="9" t="str">
        <x:v>Rues, toits et bâtiments compatibles</x:v>
      </x:c>
      <x:c r="L31" s="9" t="str">
        <x:v>Ne pas fusionner police, gangs, OWLF en un groupe ami unique</x:v>
      </x:c>
      <x:c r="M31" s="9" t="str">
        <x:v>À créer : relations multi-factions</x:v>
      </x:c>
    </x:row>
    <x:row r="32" ht="36" customHeight="1">
      <x:c r="A32" s="10" t="str">
        <x:v>GRP-26</x:v>
      </x:c>
      <x:c r="B32" s="10" t="str">
        <x:v>Synthétiques</x:v>
      </x:c>
      <x:c r="C32" s="10" t="str">
        <x:v>Maintenance / sûreté</x:v>
      </x:c>
      <x:c r="D32" s="10" t="str">
        <x:v>Alien: Isolation ou société explicitée</x:v>
      </x:c>
      <x:c r="E32" s="10" t="str">
        <x:v>2–4 unités d’un seul modèle et protocole</x:v>
      </x:c>
      <x:c r="F32" s="28" t="n">
        <x:v>2</x:v>
      </x:c>
      <x:c r="G32" s="28" t="n">
        <x:v>4</x:v>
      </x:c>
      <x:c r="H32" s="10" t="str">
        <x:v>Combattants PNJ ; joueur exclu</x:v>
      </x:c>
      <x:c r="I32" s="10" t="str">
        <x:v>Protocole du site</x:v>
      </x:c>
      <x:c r="J32" s="10" t="str">
        <x:v>Tenir zone, réparer ou interdire accès ; obéir à mission et état d’alarme</x:v>
      </x:c>
      <x:c r="K32" s="10" t="str">
        <x:v>Atelier/couloir de service</x:v>
      </x:c>
      <x:c r="L32" s="10" t="str">
        <x:v>Working Joe et synthétique de combat WY ne sont pas interchangeables</x:v>
      </x:c>
      <x:c r="M32" s="10" t="str">
        <x:v>Partiel : profils à séparer</x:v>
      </x:c>
    </x:row>
    <x:row r="33" ht="36" customHeight="1">
      <x:c r="A33" s="9" t="str">
        <x:v>GRP-27</x:v>
      </x:c>
      <x:c r="B33" s="9" t="str">
        <x:v>Synthétiques</x:v>
      </x:c>
      <x:c r="C33" s="9" t="str">
        <x:v>Garde de laboratoire</x:v>
      </x:c>
      <x:c r="D33" s="9" t="str">
        <x:v>Rogue / AVP, continuité à documenter</x:v>
      </x:c>
      <x:c r="E33" s="9" t="str">
        <x:v>4–6 unités de sécurité d’un même fabricant</x:v>
      </x:c>
      <x:c r="F33" s="27" t="n">
        <x:v>4</x:v>
      </x:c>
      <x:c r="G33" s="27" t="n">
        <x:v>6</x:v>
      </x:c>
      <x:c r="H33" s="9" t="str">
        <x:v>Combattants PNJ ; joueur exclu</x:v>
      </x:c>
      <x:c r="I33" s="9" t="str">
        <x:v>Contrôle de sécurité local</x:v>
      </x:c>
      <x:c r="J33" s="9" t="str">
        <x:v>Défendre données/spécimen, pas rejoindre spontanément le joueur</x:v>
      </x:c>
      <x:c r="K33" s="9" t="str">
        <x:v>Nœud de sécurité et alimentation</x:v>
      </x:c>
      <x:c r="L33" s="9" t="str">
        <x:v>Les alliances suivent les ordres du laboratoire</x:v>
      </x:c>
      <x:c r="M33" s="9" t="str">
        <x:v>À créer</x:v>
      </x:c>
    </x:row>
    <x:row r="34" ht="36" customHeight="1">
      <x:c r="A34" s="10" t="str">
        <x:v>GRP-28</x:v>
      </x:c>
      <x:c r="B34" s="10" t="str">
        <x:v>Civils</x:v>
      </x:c>
      <x:c r="C34" s="10" t="str">
        <x:v>Évacuation</x:v>
      </x:c>
      <x:c r="D34" s="10" t="str">
        <x:v>Lieu et époque de la mission</x:v>
      </x:c>
      <x:c r="E34" s="10" t="str">
        <x:v>4–12 civils, dont 1 guide ; 0 combattant sauf scène explicite</x:v>
      </x:c>
      <x:c r="F34" s="28" t="n">
        <x:v>4</x:v>
      </x:c>
      <x:c r="G34" s="28" t="n">
        <x:v>12</x:v>
      </x:c>
      <x:c r="H34" s="10" t="str">
        <x:v>Civils non combattants ; exclus du budget de soldats</x:v>
      </x:c>
      <x:c r="I34" s="10" t="str">
        <x:v>Guide civil</x:v>
      </x:c>
      <x:c r="J34" s="10" t="str">
        <x:v>Fuir vers un abri accessible, se disperser sous danger puis se regrouper</x:v>
      </x:c>
      <x:c r="K34" s="10" t="str">
        <x:v>Quartiers habités, secours identifiés</x:v>
      </x:c>
      <x:c r="L34" s="10" t="str">
        <x:v>Hors quotas de kills et de soldats ; aucune téléportation à travers danger</x:v>
      </x:c>
      <x:c r="M34" s="10" t="str">
        <x:v>À créer : population distincte</x:v>
      </x:c>
    </x:row>
    <x:row r="35" ht="36" customHeight="1">
      <x:c r="A35" s="9" t="str">
        <x:v>GRP-29</x:v>
      </x:c>
      <x:c r="B35" s="9" t="str">
        <x:v>Humains de 1719</x:v>
      </x:c>
      <x:c r="C35" s="9" t="str">
        <x:v>Groupe de trappeurs</x:v>
      </x:c>
      <x:c r="D35" s="9" t="str">
        <x:v>Prey ; effectif et rôle exacts à relever pour reconstitution</x:v>
      </x:c>
      <x:c r="E35" s="9" t="str">
        <x:v>4–8 trappeurs équipés selon leur époque, cible de scénario original</x:v>
      </x:c>
      <x:c r="F35" s="27" t="n">
        <x:v>4</x:v>
      </x:c>
      <x:c r="G35" s="27" t="n">
        <x:v>8</x:v>
      </x:c>
      <x:c r="H35" s="9" t="str">
        <x:v>Combattants PNJ ; joueur exclu</x:v>
      </x:c>
      <x:c r="I35" s="9" t="str">
        <x:v>Chef du groupe distinct des chasseurs comanches</x:v>
      </x:c>
      <x:c r="J35" s="9" t="str">
        <x:v>Capture, poursuite et tirs avec rechargement ; terrain et perception limitent la traque</x:v>
      </x:c>
      <x:c r="K35" s="9" t="str">
        <x:v>Camp et pistes cohérents du théâtre Prey</x:v>
      </x:c>
      <x:c r="L35" s="9" t="str">
        <x:v>Aucun fusil d’assaut moderne ; cette fourchette ne prouve pas le nombre du film</x:v>
      </x:c>
      <x:c r="M35" s="9" t="str">
        <x:v>À créer : profil humain historique</x:v>
      </x:c>
    </x:row>
    <x:row r="36" ht="36" customHeight="1">
      <x:c r="A36" s="10" t="str">
        <x:v>GRP-30</x:v>
      </x:c>
      <x:c r="B36" s="10" t="str">
        <x:v>Humains de 1719</x:v>
      </x:c>
      <x:c r="C36" s="10" t="str">
        <x:v>Groupe de chasse comanche</x:v>
      </x:c>
      <x:c r="D36" s="10" t="str">
        <x:v>Prey ; reconstitution et mission originale séparées</x:v>
      </x:c>
      <x:c r="E36" s="10" t="str">
        <x:v>3–6 chasseurs, rôles et équipements sourcés ; nombre proposé uniquement pour mission originale</x:v>
      </x:c>
      <x:c r="F36" s="28" t="n">
        <x:v>3</x:v>
      </x:c>
      <x:c r="G36" s="28" t="n">
        <x:v>6</x:v>
      </x:c>
      <x:c r="H36" s="10" t="str">
        <x:v>Combattants PNJ ; joueur exclu</x:v>
      </x:c>
      <x:c r="I36" s="10" t="str">
        <x:v>Coordination entre chasseurs, sans grades USCM importés</x:v>
      </x:c>
      <x:c r="J36" s="10" t="str">
        <x:v>Pistage, alerte, protection du camp et soutien selon relations du scénario</x:v>
      </x:c>
      <x:c r="K36" s="10" t="str">
        <x:v>Camp, rivière et pistes reliées ; civils séparés</x:v>
      </x:c>
      <x:c r="L36" s="10" t="str">
        <x:v>Naru et Taabe restent des individus uniques ; pas de groupe ennemi automatique fondé sur leur origine</x:v>
      </x:c>
      <x:c r="M36" s="10" t="str">
        <x:v>À créer : rôles et relations propres</x:v>
      </x:c>
    </x:row>
    <x:row r="37" ht="63" customHeight="1">
      <x:c r="A37" s="40" t="str">
        <x:v>GRP-31</x:v>
      </x:c>
      <x:c r="B37" s="40" t="str">
        <x:v>Yautja — modèle de détachement ; allégeance fixée par chaque opération</x:v>
      </x:c>
      <x:c r="C37" s="40" t="str">
        <x:v>Éclaireurs de relief</x:v>
      </x:c>
      <x:c r="D37" s="40" t="str">
        <x:v>Rôles de scénario originaux utilisables par le clan du joueur ou un clan rival ; aucun rang, caste ou rite canonique ajouté, aucune hostilité déduite de l’espèce.</x:v>
      </x:c>
      <x:c r="E37" s="40" t="str">
        <x:v>4 PNJ : 1 chef de piste, 2 éclaireurs, 1 observateur de couverture</x:v>
      </x:c>
      <x:c r="F37" s="44" t="n">
        <x:v>4</x:v>
      </x:c>
      <x:c r="G37" s="44" t="n">
        <x:v>4</x:v>
      </x:c>
      <x:c r="H37" s="40" t="str">
        <x:v>Quatre combattants PNJ ; joueur exclu ; chef et éventuel boss inclus, jamais ajoutés au quota.</x:v>
      </x:c>
      <x:c r="I37" s="40" t="str">
        <x:v>Chef de groupe inclus dans les quatre ; relais opérationnel propre à cette mission.</x:v>
      </x:c>
      <x:c r="J37" s="40" t="str">
        <x:v>Observer, marquer les accès et rompre le contact ; guider une interception sans affronter seuls une position fortifiée</x:v>
      </x:c>
      <x:c r="K37" s="40" t="str">
        <x:v>Corniche, piste ou débarcadère déjà accessible</x:v>
      </x:c>
      <x:c r="L37" s="40" t="str">
        <x:v>Pas de vision à travers toutes les parois ni détection parfaite du camouflage ; un contact doit être confirmé. Équipements autorisés par le profil du chasseur ; pas de multiplication automatique des armes rares.</x:v>
      </x:c>
      <x:c r="M37" s="40" t="str">
        <x:v>À créer : proposition de groupe spécialisé, à profiler</x:v>
      </x:c>
    </x:row>
    <x:row r="38" ht="63" customHeight="1">
      <x:c r="A38" s="41" t="str">
        <x:v>GRP-32</x:v>
      </x:c>
      <x:c r="B38" s="41" t="str">
        <x:v>Yautja — modèle de détachement ; allégeance fixée par chaque opération</x:v>
      </x:c>
      <x:c r="C38" s="41" t="str">
        <x:v>Intercepteurs de passage</x:v>
      </x:c>
      <x:c r="D38" s="41" t="str">
        <x:v>Rôles de scénario originaux utilisables par le clan du joueur ou un clan rival ; aucun rang, caste ou rite canonique ajouté, aucune hostilité déduite de l’espèce.</x:v>
      </x:c>
      <x:c r="E38" s="41" t="str">
        <x:v>4 PNJ : 1 chef d’interception, 2 combattants de proximité, 1 spécialiste de l’entrave</x:v>
      </x:c>
      <x:c r="F38" s="45" t="n">
        <x:v>4</x:v>
      </x:c>
      <x:c r="G38" s="45" t="n">
        <x:v>4</x:v>
      </x:c>
      <x:c r="H38" s="41" t="str">
        <x:v>Quatre combattants PNJ ; joueur exclu ; chef et éventuel boss inclus, jamais ajoutés au quota.</x:v>
      </x:c>
      <x:c r="I38" s="41" t="str">
        <x:v>Chef de groupe inclus dans les quatre ; relais opérationnel propre à cette mission.</x:v>
      </x:c>
      <x:c r="J38" s="41" t="str">
        <x:v>Contenir une voie, interrompre un mouvement puis se replier vers le passage suivant</x:v>
      </x:c>
      <x:c r="K38" s="41" t="str">
        <x:v>Piste raccordée ou position d’embuscade lisible</x:v>
      </x:c>
      <x:c r="L38" s="41" t="str">
        <x:v>Les entraves sont limitées, télégraphiées et destructibles ; aucune chaîne de contrôle sans issue. Équipements autorisés par le profil du chasseur ; pas de multiplication automatique des armes rares.</x:v>
      </x:c>
      <x:c r="M38" s="41" t="str">
        <x:v>À créer : proposition de groupe spécialisé, à profiler</x:v>
      </x:c>
    </x:row>
    <x:row r="39" ht="63" customHeight="1">
      <x:c r="A39" s="40" t="str">
        <x:v>GRP-33</x:v>
      </x:c>
      <x:c r="B39" s="40" t="str">
        <x:v>Yautja — modèle de détachement ; allégeance fixée par chaque opération</x:v>
      </x:c>
      <x:c r="C39" s="40" t="str">
        <x:v>Gardes de position</x:v>
      </x:c>
      <x:c r="D39" s="40" t="str">
        <x:v>Rôles de scénario originaux utilisables par le clan du joueur ou un clan rival ; aucun rang, caste ou rite canonique ajouté, aucune hostilité déduite de l’espèce.</x:v>
      </x:c>
      <x:c r="E39" s="40" t="str">
        <x:v>4 PNJ : 1 chef de poste, 2 gardes de contact, 1 appui à distance</x:v>
      </x:c>
      <x:c r="F39" s="44" t="n">
        <x:v>4</x:v>
      </x:c>
      <x:c r="G39" s="44" t="n">
        <x:v>4</x:v>
      </x:c>
      <x:c r="H39" s="40" t="str">
        <x:v>Quatre combattants PNJ ; joueur exclu ; chef et éventuel boss inclus, jamais ajoutés au quota.</x:v>
      </x:c>
      <x:c r="I39" s="40" t="str">
        <x:v>Chef de groupe inclus dans les quatre ; relais opérationnel propre à cette mission.</x:v>
      </x:c>
      <x:c r="J39" s="40" t="str">
        <x:v>Défendre un accès, garder un couvert et protéger un départ ; abandonner une position devenue intenable</x:v>
      </x:c>
      <x:c r="K39" s="40" t="str">
        <x:v>Garnison ou abri figurant sur la carte</x:v>
      </x:c>
      <x:c r="L39" s="40" t="str">
        <x:v>Un seul appui spécialisé par groupe ; munitions et couverture ne sont pas infinies. Équipements autorisés par le profil du chasseur ; pas de multiplication automatique des armes rares.</x:v>
      </x:c>
      <x:c r="M39" s="40" t="str">
        <x:v>À créer : proposition de groupe spécialisé, à profiler</x:v>
      </x:c>
    </x:row>
    <x:row r="40" ht="63" customHeight="1">
      <x:c r="A40" s="41" t="str">
        <x:v>GRP-34</x:v>
      </x:c>
      <x:c r="B40" s="41" t="str">
        <x:v>Yautja — modèle de détachement ; allégeance fixée par chaque opération</x:v>
      </x:c>
      <x:c r="C40" s="41" t="str">
        <x:v>Équipe de route et de réparation</x:v>
      </x:c>
      <x:c r="D40" s="41" t="str">
        <x:v>Rôles de scénario originaux utilisables par le clan du joueur ou un clan rival ; aucun rang, caste ou rite canonique ajouté, aucune hostilité déduite de l’espèce.</x:v>
      </x:c>
      <x:c r="E40" s="41" t="str">
        <x:v>4 PNJ : 1 chef technicien, 2 opérateurs, 1 garde de couverture</x:v>
      </x:c>
      <x:c r="F40" s="45" t="n">
        <x:v>4</x:v>
      </x:c>
      <x:c r="G40" s="45" t="n">
        <x:v>4</x:v>
      </x:c>
      <x:c r="H40" s="41" t="str">
        <x:v>Quatre combattants PNJ ; joueur exclu ; chef et éventuel boss inclus, jamais ajoutés au quota.</x:v>
      </x:c>
      <x:c r="I40" s="41" t="str">
        <x:v>Chef de groupe inclus dans les quatre ; relais opérationnel propre à cette mission.</x:v>
      </x:c>
      <x:c r="J40" s="41" t="str">
        <x:v>Déverrouiller, réparer, désactiver un relais ou préparer une voie de départ ; demander protection pendant le travail</x:v>
      </x:c>
      <x:c r="K40" s="41" t="str">
        <x:v>Atelier, dépôt ou véhicule déjà alloué au scénario</x:v>
      </x:c>
      <x:c r="L40" s="41" t="str">
        <x:v>La progression de travail s’arrête sous interruption et conserve son état ; aucun renfort gratuit créé par réparation. Équipements autorisés par le profil du chasseur ; pas de multiplication automatique des armes rares.</x:v>
      </x:c>
      <x:c r="M40" s="41" t="str">
        <x:v>À créer : proposition de groupe spécialisé, à profiler</x:v>
      </x:c>
    </x:row>
    <x:row r="41" ht="63" customHeight="1">
      <x:c r="A41" s="40" t="str">
        <x:v>GRP-35</x:v>
      </x:c>
      <x:c r="B41" s="40" t="str">
        <x:v>Yautja — modèle de détachement ; allégeance fixée par chaque opération</x:v>
      </x:c>
      <x:c r="C41" s="40" t="str">
        <x:v>Escorte de fret et de retrait</x:v>
      </x:c>
      <x:c r="D41" s="40" t="str">
        <x:v>Rôles de scénario originaux utilisables par le clan du joueur ou un clan rival ; aucun rang, caste ou rite canonique ajouté, aucune hostilité déduite de l’espèce.</x:v>
      </x:c>
      <x:c r="E41" s="40" t="str">
        <x:v>4 PNJ : 1 chef d’escorte, 1 pilote ou technicien, 2 gardes</x:v>
      </x:c>
      <x:c r="F41" s="44" t="n">
        <x:v>4</x:v>
      </x:c>
      <x:c r="G41" s="44" t="n">
        <x:v>4</x:v>
      </x:c>
      <x:c r="H41" s="40" t="str">
        <x:v>Quatre combattants PNJ ; joueur exclu ; chef et éventuel boss inclus, jamais ajoutés au quota.</x:v>
      </x:c>
      <x:c r="I41" s="40" t="str">
        <x:v>Chef de groupe inclus dans les quatre ; relais opérationnel propre à cette mission.</x:v>
      </x:c>
      <x:c r="J41" s="40" t="str">
        <x:v>Protéger le fret, déplacer un module et ramener les survivants ; privilégier le retour à la poursuite des cibles</x:v>
      </x:c>
      <x:c r="K41" s="40" t="str">
        <x:v>Quai, convoi ou point de rassemblement nommé</x:v>
      </x:c>
      <x:c r="L41" s="40" t="str">
        <x:v>Pilote inclus dans les quatre ; aucun soldat supplémentaire caché dans le véhicule. Un module de fret n’est pas une unité combattante. Équipements autorisés par le profil du chasseur ; pas de multiplication automatique des armes rares.</x:v>
      </x:c>
      <x:c r="M41" s="40" t="str">
        <x:v>À créer : proposition de groupe spécialisé, à profiler</x:v>
      </x:c>
    </x:row>
    <x:row r="42" ht="63" customHeight="1">
      <x:c r="A42" s="41" t="str">
        <x:v>GRP-36</x:v>
      </x:c>
      <x:c r="B42" s="41" t="str">
        <x:v>Yautja — modèle de détachement ; allégeance fixée par chaque opération</x:v>
      </x:c>
      <x:c r="C42" s="41" t="str">
        <x:v>Détachement de commandement</x:v>
      </x:c>
      <x:c r="D42" s="41" t="str">
        <x:v>Rôles de scénario originaux utilisables par le clan du joueur ou un clan rival ; aucun rang, caste ou rite canonique ajouté, aucune hostilité déduite de l’espèce.</x:v>
      </x:c>
      <x:c r="E42" s="41" t="str">
        <x:v>4 PNJ : 1 commandant, 2 gardes rapprochés, 1 relais d’ordres</x:v>
      </x:c>
      <x:c r="F42" s="45" t="n">
        <x:v>4</x:v>
      </x:c>
      <x:c r="G42" s="45" t="n">
        <x:v>4</x:v>
      </x:c>
      <x:c r="H42" s="41" t="str">
        <x:v>Quatre combattants PNJ ; joueur exclu ; chef et éventuel boss inclus, jamais ajoutés au quota.</x:v>
      </x:c>
      <x:c r="I42" s="41" t="str">
        <x:v>Chef de groupe inclus dans les quatre ; relais opérationnel propre à cette mission.</x:v>
      </x:c>
      <x:c r="J42" s="41" t="str">
        <x:v>Transmettre les priorités, organiser une capture ou un retrait, préserver un canal de liaison</x:v>
      </x:c>
      <x:c r="K42" s="41" t="str">
        <x:v>Poste de commandement ou délégation à accès connu</x:v>
      </x:c>
      <x:c r="L42" s="41" t="str">
        <x:v>Un boss nommé remplace le commandant dans les quatre. Sa défaite perturbe les ordres mais ne tue ni ne supprime les autres groupes. Équipements autorisés par le profil du chasseur ; pas de multiplication automatique des armes rares.</x:v>
      </x:c>
      <x:c r="M42" s="41" t="str">
        <x:v>À créer : proposition de groupe spécialisé, à profiler</x:v>
      </x:c>
    </x:row>
    <x:row r="43" ht="49.5" customHeight="1">
      <x:c r="A43" s="40" t="str">
        <x:v>GRP-37</x:v>
      </x:c>
      <x:c r="B43" s="40" t="str">
        <x:v>Humains — force de capture contemporaine originale</x:v>
      </x:c>
      <x:c r="C43" s="40" t="str">
        <x:v>Équipe de capture et de couverture</x:v>
      </x:c>
      <x:c r="D43" s="40" t="str">
        <x:v>Présent fictif, organisation originale ; aucun équipement futur importé</x:v>
      </x:c>
      <x:c r="E43" s="40" t="str">
        <x:v>8 combattants : 1 chef, 4 fusiliers, 2 spécialistes de capture, 1 opérateur radio armé</x:v>
      </x:c>
      <x:c r="F43" s="44" t="n">
        <x:v>8</x:v>
      </x:c>
      <x:c r="G43" s="44" t="n">
        <x:v>8</x:v>
      </x:c>
      <x:c r="H43" s="40" t="str">
        <x:v>8 combattants PNJ, chef compris ; véhicules, civils et matériel comptés séparément</x:v>
      </x:c>
      <x:c r="I43" s="40" t="str">
        <x:v>Chef d’équipe sous les ordres du commandant BOS-29, qui reste dans la cellule GRP-42 distincte</x:v>
      </x:c>
      <x:c r="J43" s="40" t="str">
        <x:v>Couvrir une approche, préparer un dispositif de capture, protéger le transport puis se replier sous pression ; délais de préparation et rechargement lisibles</x:v>
      </x:c>
      <x:c r="K43" s="40" t="str">
        <x:v>Poste de contrôle ou transport arrivé par une route ouverte ; consommation de réserve</x:v>
      </x:c>
      <x:c r="L43" s="40" t="str">
        <x:v>Dispositifs de capture proposés comme fiction originale ; efficacité à équilibrer, aucune neutralisation garantie du chasseur ni invulnérabilité humaine</x:v>
      </x:c>
      <x:c r="M43" s="40" t="str">
        <x:v>À créer — proposition d’opération contemporaine</x:v>
      </x:c>
    </x:row>
    <x:row r="44" ht="49.5" customHeight="1">
      <x:c r="A44" s="41" t="str">
        <x:v>GRP-38</x:v>
      </x:c>
      <x:c r="B44" s="41" t="str">
        <x:v>Humains — mercenaires de sécurité industrielle</x:v>
      </x:c>
      <x:c r="C44" s="41" t="str">
        <x:v>Détachement de protection du convoi</x:v>
      </x:c>
      <x:c r="D44" s="41" t="str">
        <x:v>Contrat contemporain fictif, société et identité visuelle originales</x:v>
      </x:c>
      <x:c r="E44" s="41" t="str">
        <x:v>8 combattants : 1 chef, 4 fusiliers, 1 appui, 1 sapeur, 1 observateur</x:v>
      </x:c>
      <x:c r="F44" s="45" t="n">
        <x:v>8</x:v>
      </x:c>
      <x:c r="G44" s="45" t="n">
        <x:v>8</x:v>
      </x:c>
      <x:c r="H44" s="41" t="str">
        <x:v>8 combattants PNJ, équipages éventuels inclus dans ces 8 ; matériel non additionné comme soldat</x:v>
      </x:c>
      <x:c r="I44" s="41" t="str">
        <x:v>Chef de détachement relié au poste de sécurité</x:v>
      </x:c>
      <x:c r="J44" s="41" t="str">
        <x:v>Bloquer un axe, escorter un chargement, poser des obstacles puis déplacer la ligne si elle est contournée ; tir et munitions bornés</x:v>
      </x:c>
      <x:c r="K44" s="41" t="str">
        <x:v>Dépôt et convoi de relève identifiés ; pas de création autour de la caméra</x:v>
      </x:c>
      <x:c r="L44" s="41" t="str">
        <x:v>Équipement d’une seule époque ; employés non armés séparés ; tout matériel lourd occupe un budget de matériel distinct</x:v>
      </x:c>
      <x:c r="M44" s="41" t="str">
        <x:v>À créer — groupe industriel original</x:v>
      </x:c>
    </x:row>
    <x:row r="45" ht="63" customHeight="1">
      <x:c r="A45" s="40" t="str">
        <x:v>GRP-39</x:v>
      </x:c>
      <x:c r="B45" s="40" t="str">
        <x:v>Humains — force coloniale militaire hostile</x:v>
      </x:c>
      <x:c r="C45" s="40" t="str">
        <x:v>Section de contre-assaut à la colonie</x:v>
      </x:c>
      <x:c r="D45" s="40" t="str">
        <x:v>Futur Alien/AVP compatible, mission originale ; hostilité à ce clan motivée par l’ordre d’opération, pas attribuée à tous les Marines</x:v>
      </x:c>
      <x:c r="E45" s="40" t="str">
        <x:v>8 combattants : 1 chef, 4 fusiliers, 1 smartgunner, 1 spécialiste de brèche, 1 radio</x:v>
      </x:c>
      <x:c r="F45" s="44" t="n">
        <x:v>8</x:v>
      </x:c>
      <x:c r="G45" s="44" t="n">
        <x:v>8</x:v>
      </x:c>
      <x:c r="H45" s="40" t="str">
        <x:v>8 combattants PNJ ; chef et spécialiste inclus, transport et passagers sans double comptage</x:v>
      </x:c>
      <x:c r="I45" s="40" t="str">
        <x:v>Chef de section ; sous commandement expéditionnaire propre à cette opération</x:v>
      </x:c>
      <x:c r="J45" s="40" t="str">
        <x:v>Tenir des couverts, progresser par bonds, renforcer un axe menacé et sécuriser une route logistique ; les sections poursuivent des ordres locaux après perte du commandement</x:v>
      </x:c>
      <x:c r="K45" s="40" t="str">
        <x:v>Caserne ou transport militaire depuis une réserve finie ; points de débarquement explicités</x:v>
      </x:c>
      <x:c r="L45" s="40" t="str">
        <x:v>Armes et tenues futures de l’incarnation retenue à référencer ; ni réplique de l’escouade nommée d’Aliens ni armure humaine fantasmatique</x:v>
      </x:c>
      <x:c r="M45" s="40" t="str">
        <x:v>À créer — composition de guerre originale</x:v>
      </x:c>
    </x:row>
    <x:row r="46" ht="49.5" customHeight="1">
      <x:c r="A46" s="41" t="str">
        <x:v>GRP-40</x:v>
      </x:c>
      <x:c r="B46" s="41" t="str">
        <x:v>Humains — sûreté orbitale originale</x:v>
      </x:c>
      <x:c r="C46" s="41" t="str">
        <x:v>Équipe de défense des compartiments</x:v>
      </x:c>
      <x:c r="D46" s="41" t="str">
        <x:v>Futur spatial original ; société distincte des entreprises canoniques sauf attribution ultérieure documentée</x:v>
      </x:c>
      <x:c r="E46" s="41" t="str">
        <x:v>8 combattants : 1 chef, 4 fusiliers, 1 protecteur équipé d’un bouclier proposé, 1 technicien armé, 1 observateur</x:v>
      </x:c>
      <x:c r="F46" s="45" t="n">
        <x:v>8</x:v>
      </x:c>
      <x:c r="G46" s="45" t="n">
        <x:v>8</x:v>
      </x:c>
      <x:c r="H46" s="41" t="str">
        <x:v>8 humains combattants PNJ ; aucun synthétique ni tourelle dans ce compteur</x:v>
      </x:c>
      <x:c r="I46" s="41" t="str">
        <x:v>Chef de compartiment et consignes du poste de sûreté</x:v>
      </x:c>
      <x:c r="J46" s="41" t="str">
        <x:v>Fermer un sas, défendre un croisement, sécuriser une brèche et se réaffecter par les coursives accessibles ; évite de tirer à travers un allié</x:v>
      </x:c>
      <x:c r="K46" s="41" t="str">
        <x:v>Module de casernement ou navette amarrée à un quai intact</x:v>
      </x:c>
      <x:c r="L46" s="41" t="str">
        <x:v>Bouclier et protocole de combat sont créations de jeu à tester ; synthétiques de maintenance neutres séparés ; aucune immunité humaine aux armes Yautja</x:v>
      </x:c>
      <x:c r="M46" s="41" t="str">
        <x:v>À créer — sécurité orbitale originale</x:v>
      </x:c>
    </x:row>
    <x:row r="47" ht="49.5" customHeight="1">
      <x:c r="A47" s="40" t="str">
        <x:v>GRP-41</x:v>
      </x:c>
      <x:c r="B47" s="40" t="str">
        <x:v>Humains — cordon militaire de cité coloniale</x:v>
      </x:c>
      <x:c r="C47" s="40" t="str">
        <x:v>Section de barrage et d’interception</x:v>
      </x:c>
      <x:c r="D47" s="40" t="str">
        <x:v>Futur colonial original, équipement et mandat propres à l’opération</x:v>
      </x:c>
      <x:c r="E47" s="40" t="str">
        <x:v>8 combattants : 1 chef, 4 fusiliers, 1 observateur, 1 radio, 1 appui léger</x:v>
      </x:c>
      <x:c r="F47" s="44" t="n">
        <x:v>8</x:v>
      </x:c>
      <x:c r="G47" s="44" t="n">
        <x:v>8</x:v>
      </x:c>
      <x:c r="H47" s="40" t="str">
        <x:v>8 combattants PNJ ; chauffeurs militaires compris si affectés, passagers et matériel suivis une seule fois</x:v>
      </x:c>
      <x:c r="I47" s="40" t="str">
        <x:v>Chef de barrage ; directives de capture ou d’interception définies par la mission</x:v>
      </x:c>
      <x:c r="J47" s="40" t="str">
        <x:v>Contrôler un carrefour, surveiller les hauteurs, laisser passer les civils autorisés et déplacer le barrage si un axe cède</x:v>
      </x:c>
      <x:c r="K47" s="40" t="str">
        <x:v>Dépôt périphérique et route militaire distincte de la file d’évacuation</x:v>
      </x:c>
      <x:c r="L47" s="40" t="str">
        <x:v>Civils et soignants ne deviennent pas ennemis par voisinage ; aucune armée humaine omnisciente ou tir à travers immeubles</x:v>
      </x:c>
      <x:c r="M47" s="40" t="str">
        <x:v>À créer — contrôle urbain original</x:v>
      </x:c>
    </x:row>
    <x:row r="48" ht="63" customHeight="1">
      <x:c r="A48" s="41" t="str">
        <x:v>GRP-42</x:v>
      </x:c>
      <x:c r="B48" s="41" t="str">
        <x:v>Humains — cellule de commandement d’opération</x:v>
      </x:c>
      <x:c r="C48" s="41" t="str">
        <x:v>Poste de commandement protégé</x:v>
      </x:c>
      <x:c r="D48" s="41" t="str">
        <x:v>Un seul profil sélectionné par mission : contemporain pour AFF-06/07 ; futur pour AFF-08/09/10/11/12. Chaque chef appartient à la faction de cette opération.</x:v>
      </x:c>
      <x:c r="E48" s="41" t="str">
        <x:v>8 combattants : 1 commandant, 2 radios armés, 2 gardes, 1 opérateur de contre-surveillance armé, 1 technicien armé, 1 agent de liaison armé</x:v>
      </x:c>
      <x:c r="F48" s="45" t="n">
        <x:v>8</x:v>
      </x:c>
      <x:c r="G48" s="45" t="n">
        <x:v>8</x:v>
      </x:c>
      <x:c r="H48" s="41" t="str">
        <x:v>8 humains combattants PNJ ; le boss-commandant est l’un des huit, jamais une unité ajoutée au budget</x:v>
      </x:c>
      <x:c r="I48" s="41" t="str">
        <x:v>Un commandant unique, remplacé par BOS-29, BOS-30 ou BOS-31 selon l’opération</x:v>
      </x:c>
      <x:c r="J48" s="41" t="str">
        <x:v>Émettre ordres et demandes de renfort, surveiller les liaisons puis évacuer vers un poste de repli réel ; le personnel peut défendre le poste sans bonus de santé arbitraire</x:v>
      </x:c>
      <x:c r="K48" s="41" t="str">
        <x:v>Poste déjà déployé ; ne réapparaît pas après sa neutralisation</x:v>
      </x:c>
      <x:c r="L48" s="41" t="str">
        <x:v>Les armes, radios et protections sont celles du profil de période ; un seul commandant de rencontre compté dans l’effectif de huit</x:v>
      </x:c>
      <x:c r="M48" s="41" t="str">
        <x:v>À créer — archétype de commandement, variantes de période séparées</x:v>
      </x:c>
    </x:row>
    <x:row r="49" ht="76.5" customHeight="1">
      <x:c r="A49" s="70" t="str">
        <x:v>GRP-43</x:v>
      </x:c>
      <x:c r="B49" s="70" t="str">
        <x:v>Xénomorphes — incarnation locale</x:v>
      </x:c>
      <x:c r="C49" s="70" t="str">
        <x:v>Adultes d’infiltration ou de colonie</x:v>
      </x:c>
      <x:c r="D49" s="70" t="str">
        <x:v>Sélection obligatoire : Isolation, Alien: Earth ou arc Marvel ; aucune aptitude de jeu étranger importée</x:v>
      </x:c>
      <x:c r="E49" s="70" t="str">
        <x:v>1 à 8 adultes du même profil local</x:v>
      </x:c>
      <x:c r="F49" s="74" t="n">
        <x:v>1</x:v>
      </x:c>
      <x:c r="G49" s="74" t="n">
        <x:v>8</x:v>
      </x:c>
      <x:c r="H49" s="70" t="str">
        <x:v>Chefs et spécialistes compris dans ce total ; changements de niveau de simulation sans duplication.</x:v>
      </x:c>
      <x:c r="I49" s="70" t="str">
        <x:v>Coordination biologique proposée, sans officier humain</x:v>
      </x:c>
      <x:c r="J49" s="70" t="str">
        <x:v>Contournement par accès compatibles, recherche d’une cible et repli persistant</x:v>
      </x:c>
      <x:c r="K49" s="70" t="str">
        <x:v>Conduits reliés et foyers enregistrés, jamais devant la caméra par téléportation</x:v>
      </x:c>
      <x:c r="L49" s="70" t="str">
        <x:v>Pas de Carrier/Ravager/Queen automatique. Les variantes se choisissent par mission. Profils : XEN-034, XEN-035, XEN-036.
Profils du catalogue : XEN-034 — Xénomorphe de Sevastopol ; XEN-035 — Xénomorphes des récits Marvel retenus ; XEN-036 — Xénomorphe d’Alien: Earth</x:v>
      </x:c>
      <x:c r="M49" s="70" t="str">
        <x:v>Proposition à développer ; source des profils dans Bestiaire_medias</x:v>
      </x:c>
    </x:row>
    <x:row r="50" ht="76.5" customHeight="1">
      <x:c r="A50" s="71" t="str">
        <x:v>GRP-44</x:v>
      </x:c>
      <x:c r="B50" s="71" t="str">
        <x:v>Xénomorphes — Fireteam Elite</x:v>
      </x:c>
      <x:c r="C50" s="71" t="str">
        <x:v>Pression mobile et tir acide</x:v>
      </x:c>
      <x:c r="D50" s="71" t="str">
        <x:v>Preset Fireteam Elite sur LV-895</x:v>
      </x:c>
      <x:c r="E50" s="71" t="str">
        <x:v>8 unités :7 Runners et 1 Spitter</x:v>
      </x:c>
      <x:c r="F50" s="75" t="n">
        <x:v>8</x:v>
      </x:c>
      <x:c r="G50" s="75" t="n">
        <x:v>8</x:v>
      </x:c>
      <x:c r="H50" s="71" t="str">
        <x:v>Chefs et spécialistes compris dans ce total ; changements de niveau de simulation sans duplication.</x:v>
      </x:c>
      <x:c r="I50" s="71" t="str">
        <x:v>Aucun chef militaire inventé</x:v>
      </x:c>
      <x:c r="J50" s="71" t="str">
        <x:v>Fixer l’axe frontal, déplacer le tireur et réallouer les survivants</x:v>
      </x:c>
      <x:c r="K50" s="71" t="str">
        <x:v>Accès de surface et galeries du théâtre</x:v>
      </x:c>
      <x:c r="L50" s="71" t="str">
        <x:v>Composition originale ; Pathogen désactivé dans ce preset tant que son foyer spécifique n’est pas activé. Profils : XEN-006, XEN-012.
Profils du catalogue : XEN-006 — Runner — profils Extinction et Fireteam Elite ; XEN-012 — Spitter de Fireteam Elite</x:v>
      </x:c>
      <x:c r="M50" s="71" t="str">
        <x:v>Proposition à développer ; source des profils dans Bestiaire_medias</x:v>
      </x:c>
    </x:row>
    <x:row r="51" ht="49.5" customHeight="1">
      <x:c r="A51" s="70" t="str">
        <x:v>GRP-45</x:v>
      </x:c>
      <x:c r="B51" s="70" t="str">
        <x:v>Xénomorphes — Dark Descent</x:v>
      </x:c>
      <x:c r="C51" s="70" t="str">
        <x:v>Garde d’un passage de ruche</x:v>
      </x:c>
      <x:c r="D51" s="70" t="str">
        <x:v>Preset Dark Descent / Lethe</x:v>
      </x:c>
      <x:c r="E51" s="70" t="str">
        <x:v>8 unités :1 Praetorian et 7 adultes locaux, sans métamorphose Extinction</x:v>
      </x:c>
      <x:c r="F51" s="74" t="n">
        <x:v>8</x:v>
      </x:c>
      <x:c r="G51" s="74" t="n">
        <x:v>8</x:v>
      </x:c>
      <x:c r="H51" s="70" t="str">
        <x:v>Chefs et spécialistes compris dans ce total ; changements de niveau de simulation sans duplication.</x:v>
      </x:c>
      <x:c r="I51" s="70" t="str">
        <x:v>Elite de défense, pas grade universel</x:v>
      </x:c>
      <x:c r="J51" s="70" t="str">
        <x:v>Tenir une jonction puis reculer vers une seconde ligne si isolée</x:v>
      </x:c>
      <x:c r="K51" s="70" t="str">
        <x:v>Sanctuaire ou conduit large ; réserve finie</x:v>
      </x:c>
      <x:c r="L51" s="70" t="str">
        <x:v>Un seul exemplaire de cette garde dans le pilote Lethe ; détails des adultes à relever dans le jeu. Profils : XEN-008.
Profils du catalogue : XEN-008 — Praetorian</x:v>
      </x:c>
      <x:c r="M51" s="70" t="str">
        <x:v>Proposition à développer ; source des profils dans Bestiaire_medias</x:v>
      </x:c>
    </x:row>
    <x:row r="52" ht="63" customHeight="1">
      <x:c r="A52" s="71" t="str">
        <x:v>GRP-46</x:v>
      </x:c>
      <x:c r="B52" s="71" t="str">
        <x:v>Synthétiques de combat Weyland-Yutani</x:v>
      </x:c>
      <x:c r="C52" s="71" t="str">
        <x:v>Section de sécurité robotique</x:v>
      </x:c>
      <x:c r="D52" s="71" t="str">
        <x:v>Preset Fireteam Elite</x:v>
      </x:c>
      <x:c r="E52" s="71" t="str">
        <x:v>8 synthétiques de combat ; variantes précises à documenter</x:v>
      </x:c>
      <x:c r="F52" s="75" t="n">
        <x:v>8</x:v>
      </x:c>
      <x:c r="G52" s="75" t="n">
        <x:v>8</x:v>
      </x:c>
      <x:c r="H52" s="71" t="str">
        <x:v>Chefs et spécialistes compris dans ce total ; changements de niveau de simulation sans duplication.</x:v>
      </x:c>
      <x:c r="I52" s="71" t="str">
        <x:v>Contrôleur de section inclus, ordre local conservé si radio perdue</x:v>
      </x:c>
      <x:c r="J52" s="71" t="str">
        <x:v>Défendre un transfert et maintenir une ligne de tir</x:v>
      </x:c>
      <x:c r="K52" s="71" t="str">
        <x:v>Installations et dépôt identifiés</x:v>
      </x:c>
      <x:c r="L52" s="71" t="str">
        <x:v>Aucun Working Joe ajouté à cette section ; pas de sous-type Warden/Heavy prétendu confirmé. Profils : HUM-015.
Profils du catalogue : HUM-015 — Synthétiques de combat Weyland-Yutani</x:v>
      </x:c>
      <x:c r="M52" s="71" t="str">
        <x:v>Proposition à développer ; source des profils dans Bestiaire_medias</x:v>
      </x:c>
    </x:row>
    <x:row r="53" ht="117" customHeight="1">
      <x:c r="A53" s="70" t="str">
        <x:v>GRP-47</x:v>
      </x:c>
      <x:c r="B53" s="70" t="str">
        <x:v>Colonial Marines — Fireteam Elite</x:v>
      </x:c>
      <x:c r="C53" s="70" t="str">
        <x:v>Equipe de combat complémentaire</x:v>
      </x:c>
      <x:c r="D53" s="70" t="str">
        <x:v>Preset Fireteam Elite uniquement</x:v>
      </x:c>
      <x:c r="E53" s="70" t="str">
        <x:v>4 Marines : assaut, appui, technique, secours ; kits sélectionnés dans les 7 profils</x:v>
      </x:c>
      <x:c r="F53" s="74" t="n">
        <x:v>4</x:v>
      </x:c>
      <x:c r="G53" s="74" t="n">
        <x:v>4</x:v>
      </x:c>
      <x:c r="H53" s="70" t="str">
        <x:v>Chefs et spécialistes compris dans ce total ; changements de niveau de simulation sans duplication.</x:v>
      </x:c>
      <x:c r="I53" s="70" t="str">
        <x:v>Responsable d’équipe inclus</x:v>
      </x:c>
      <x:c r="J53" s="70" t="str">
        <x:v>Couvrir un déplacement, soigner puis évacuer ; matériel et ressources finis</x:v>
      </x:c>
      <x:c r="K53" s="70" t="str">
        <x:v>Zone d’atterrissage liée à la réserve</x:v>
      </x:c>
      <x:c r="L53" s="70" t="str">
        <x:v>Les classes ne donnent pas automatiquement leurs bonus numériques à une IA musou. Profils : HUM-005, HUM-006, HUM-007, HUM-008, HUM-009, HUM-010, HUM-011.
Profils du catalogue : HUM-005 — Gunner — Fireteam Elite ; HUM-006 — Demolisher — Fireteam Elite ; HUM-007 — Technician — Fireteam Elite ; HUM-008 — Doc — Fireteam Elite ; HUM-009 — Recon — Fireteam Elite ; HUM-010 — Phalanx — Fireteam Elite ; HUM-011 — Lancer — Fireteam Elite</x:v>
      </x:c>
      <x:c r="M53" s="70" t="str">
        <x:v>Proposition à développer ; source des profils dans Bestiaire_medias</x:v>
      </x:c>
    </x:row>
    <x:row r="54" ht="49.5" customHeight="1">
      <x:c r="A54" s="71" t="str">
        <x:v>GRP-48</x:v>
      </x:c>
      <x:c r="B54" s="71" t="str">
        <x:v>Prodigy — équipe tactique</x:v>
      </x:c>
      <x:c r="C54" s="71" t="str">
        <x:v>Protection et récupération</x:v>
      </x:c>
      <x:c r="D54" s="71" t="str">
        <x:v>Alien: Earth, cadre 2120 ; guerre élargie originale</x:v>
      </x:c>
      <x:c r="E54" s="71" t="str">
        <x:v>4 humains :3 gardes et 1 secouriste originaux</x:v>
      </x:c>
      <x:c r="F54" s="75" t="n">
        <x:v>4</x:v>
      </x:c>
      <x:c r="G54" s="75" t="n">
        <x:v>4</x:v>
      </x:c>
      <x:c r="H54" s="71" t="str">
        <x:v>Chefs et spécialistes compris dans ce total ; changements de niveau de simulation sans duplication.</x:v>
      </x:c>
      <x:c r="I54" s="71" t="str">
        <x:v>Chef d’équipe original compris parmi les gardes</x:v>
      </x:c>
      <x:c r="J54" s="71" t="str">
        <x:v>Protéger le cordon et déplacer blessés ou données selon les ordres</x:v>
      </x:c>
      <x:c r="K54" s="71" t="str">
        <x:v>Postes urbains et routes de secours</x:v>
      </x:c>
      <x:c r="L54" s="71" t="str">
        <x:v>Hermit n’est pas cloné dans les groupes ; aucun USCM ni hybride de masse. Profils : HUM-021.
Profils du catalogue : HUM-021 — Soldats tactiques de Prodigy</x:v>
      </x:c>
      <x:c r="M54" s="71" t="str">
        <x:v>Proposition à développer ; source des profils dans Bestiaire_medias</x:v>
      </x:c>
    </x:row>
    <x:row r="55" ht="49.5" customHeight="1">
      <x:c r="A55" s="70" t="str">
        <x:v>GRP-49</x:v>
      </x:c>
      <x:c r="B55" s="70" t="str">
        <x:v>Sécurité corporatiste originale</x:v>
      </x:c>
      <x:c r="C55" s="70" t="str">
        <x:v>Garde de site et transfert de données</x:v>
      </x:c>
      <x:c r="D55" s="70" t="str">
        <x:v>Cadre AVP 2010 ou arc Marvel choisi par l’opération ; gardes armés et organisation entièrement originaux.</x:v>
      </x:c>
      <x:c r="E55" s="70" t="str">
        <x:v>1 à 8 gardes humains originaux ;1 chef remplace un garde si nécessaire</x:v>
      </x:c>
      <x:c r="F55" s="74" t="n">
        <x:v>1</x:v>
      </x:c>
      <x:c r="G55" s="74" t="n">
        <x:v>8</x:v>
      </x:c>
      <x:c r="H55" s="70" t="str">
        <x:v>Chefs et spécialistes compris dans ce total ; changements de niveau de simulation sans duplication.</x:v>
      </x:c>
      <x:c r="I55" s="70" t="str">
        <x:v>Responsable local original</x:v>
      </x:c>
      <x:c r="J55" s="70" t="str">
        <x:v>Garder un sas, couvrir un transfert, se replier sur ordre ou négocier</x:v>
      </x:c>
      <x:c r="K55" s="70" t="str">
        <x:v>Poste de sécurité et route de réserve</x:v>
      </x:c>
      <x:c r="L55" s="70" t="str">
        <x:v>Formation de sécurité originale, sans classe canonique revendiquée. Aucun civil converti en soldat, aucune référence aux administrateurs de Dark Descent.</x:v>
      </x:c>
      <x:c r="M55" s="70" t="str">
        <x:v>Création de gameplay à développer ; cadre de l’œuvre documenté, formation non attestée.</x:v>
      </x:c>
    </x:row>
    <x:row r="56" ht="63" customHeight="1">
      <x:c r="A56" s="71" t="str">
        <x:v>GRP-50</x:v>
      </x:c>
      <x:c r="B56" s="71" t="str">
        <x:v>Working Joes</x:v>
      </x:c>
      <x:c r="C56" s="71" t="str">
        <x:v>Binôme de maintenance</x:v>
      </x:c>
      <x:c r="D56" s="71" t="str">
        <x:v>Alien: Isolation</x:v>
      </x:c>
      <x:c r="E56" s="71" t="str">
        <x:v>2 Working Joes sans armes de Marines</x:v>
      </x:c>
      <x:c r="F56" s="75" t="n">
        <x:v>2</x:v>
      </x:c>
      <x:c r="G56" s="75" t="n">
        <x:v>2</x:v>
      </x:c>
      <x:c r="H56" s="71" t="str">
        <x:v>Chefs et spécialistes compris dans ce total ; changements de niveau de simulation sans duplication.</x:v>
      </x:c>
      <x:c r="I56" s="71" t="str">
        <x:v>Consignes du réseau de la station</x:v>
      </x:c>
      <x:c r="J56" s="71" t="str">
        <x:v>Maintenir une zone et intervenir contre les intrusions selon état du réseau</x:v>
      </x:c>
      <x:c r="K56" s="71" t="str">
        <x:v>Atelier et route de maintenance</x:v>
      </x:c>
      <x:c r="L56" s="71" t="str">
        <x:v>Hostilité aux Xénomorphes désactivée par défaut ; le joueur doit traiter le réseau comme un objectif distinct. Profils : HUM-016.
Profils du catalogue : HUM-016 — Working Joe</x:v>
      </x:c>
      <x:c r="M56" s="71" t="str">
        <x:v>Proposition à développer ; source des profils dans Bestiaire_medias</x:v>
      </x:c>
    </x:row>
    <x:row r="57" ht="49.5" customHeight="1">
      <x:c r="A57" s="70" t="str">
        <x:v>GRP-51</x:v>
      </x:c>
      <x:c r="B57" s="70" t="str">
        <x:v>Clan du joueur — Yautja</x:v>
      </x:c>
      <x:c r="C57" s="70" t="str">
        <x:v>Binôme de reconnaissance</x:v>
      </x:c>
      <x:c r="D57" s="70" t="str">
        <x:v>Chasseurs originaux compatibles avec le scénario ; pas de personnages de film clonés</x:v>
      </x:c>
      <x:c r="E57" s="70" t="str">
        <x:v>2 chasseurs PNJ originaux</x:v>
      </x:c>
      <x:c r="F57" s="74" t="n">
        <x:v>2</x:v>
      </x:c>
      <x:c r="G57" s="74" t="n">
        <x:v>2</x:v>
      </x:c>
      <x:c r="H57" s="70" t="str">
        <x:v>Chefs et spécialistes compris dans ce total ; changements de niveau de simulation sans duplication.</x:v>
      </x:c>
      <x:c r="I57" s="70" t="str">
        <x:v>Un des deux assure la liaison</x:v>
      </x:c>
      <x:c r="J57" s="70" t="str">
        <x:v>Observation, diversion et couverture d’un itinéraire de retour</x:v>
      </x:c>
      <x:c r="K57" s="70" t="str">
        <x:v>Point d’insertion unique et voies verticales parcourables</x:v>
      </x:c>
      <x:c r="L57" s="70" t="str">
        <x:v>Profil Hunter utilisé comme référence de rôle, pas comme loi sociale ni équipement de toute époque. Profils : YAU-009.
Profils du catalogue : YAU-009 — Hunter</x:v>
      </x:c>
      <x:c r="M57" s="70" t="str">
        <x:v>Proposition à développer ; source des profils dans Bestiaire_medias</x:v>
      </x:c>
    </x:row>
    <x:row r="58" ht="49.5" customHeight="1">
      <x:c r="A58" s="71" t="str">
        <x:v>GRP-52</x:v>
      </x:c>
      <x:c r="B58" s="71" t="str">
        <x:v>Survivants de Tobler-9</x:v>
      </x:c>
      <x:c r="C58" s="71" t="str">
        <x:v>Equipe de défense locale</x:v>
      </x:c>
      <x:c r="D58" s="71" t="str">
        <x:v>Arc Marvel 2022 ; composition de guerre originale</x:v>
      </x:c>
      <x:c r="E58" s="71" t="str">
        <x:v>4 combattants volontaires originaux, dont 1 guide</x:v>
      </x:c>
      <x:c r="F58" s="75" t="n">
        <x:v>4</x:v>
      </x:c>
      <x:c r="G58" s="75" t="n">
        <x:v>4</x:v>
      </x:c>
      <x:c r="H58" s="71" t="str">
        <x:v>Chefs et spécialistes compris dans ce total ; changements de niveau de simulation sans duplication.</x:v>
      </x:c>
      <x:c r="I58" s="71" t="str">
        <x:v>Coordinateur local inclus</x:v>
      </x:c>
      <x:c r="J58" s="71" t="str">
        <x:v>Défendre un passage, secourir des civils puis reculer ; pacte révocable avec les synthétiques</x:v>
      </x:c>
      <x:c r="K58" s="71" t="str">
        <x:v>Refuge relié aux routes d’évacuation</x:v>
      </x:c>
      <x:c r="L58" s="71" t="str">
        <x:v>Steel Team n’est pas cette unité. Ses membres nommés sont un événement distinct soumis à un roster vérifié. Profils : HUM-029.
Profils du catalogue : HUM-029 — Survivants humains de Tobler-9</x:v>
      </x:c>
      <x:c r="M58" s="71" t="str">
        <x:v>Proposition à développer ; source des profils dans Bestiaire_medias</x:v>
      </x:c>
    </x:row>
    <x:row r="59" ht="49.5" customHeight="1">
      <x:c r="A59" s="70" t="str">
        <x:v>GRP-53</x:v>
      </x:c>
      <x:c r="B59" s="70" t="str">
        <x:v>Colonial Marines — Lethe</x:v>
      </x:c>
      <x:c r="C59" s="70" t="str">
        <x:v>Section de terrain</x:v>
      </x:c>
      <x:c r="D59" s="70" t="str">
        <x:v>Dark Descent ; missions musou originales</x:v>
      </x:c>
      <x:c r="E59" s="70" t="str">
        <x:v>4 Marines :1 chef et 3 combattants ; spécialisations détaillées à documenter dans Dark Descent</x:v>
      </x:c>
      <x:c r="F59" s="74" t="n">
        <x:v>4</x:v>
      </x:c>
      <x:c r="G59" s="74" t="n">
        <x:v>4</x:v>
      </x:c>
      <x:c r="H59" s="70" t="str">
        <x:v>Chefs et spécialistes compris dans ce total ; changements de niveau de simulation sans duplication.</x:v>
      </x:c>
      <x:c r="I59" s="70" t="str">
        <x:v>Sergent original ; Jonas Harper seulement en variante narrative unique</x:v>
      </x:c>
      <x:c r="J59" s="70" t="str">
        <x:v>Tenir un axe, conserver les blessés et remonter vers l’Otago</x:v>
      </x:c>
      <x:c r="K59" s="70" t="str">
        <x:v>Insertion terrestre ou position déjà tenue</x:v>
      </x:c>
      <x:c r="L59" s="70" t="str">
        <x:v>Pas de transfert automatique des 7 kits Fireteam ni des améliorations Extinction. Profils : HUM-004.
Profils du catalogue : HUM-004 — Sergent des Colonial Marines</x:v>
      </x:c>
      <x:c r="M59" s="70" t="str">
        <x:v>Proposition à développer ; source des profils dans Bestiaire_medias</x:v>
      </x:c>
    </x:row>
    <x:row r="60" ht="49.5" customHeight="1">
      <x:c r="A60" s="71" t="str">
        <x:v>GRP-54</x:v>
      </x:c>
      <x:c r="B60" s="71" t="str">
        <x:v>Xénomorphes — profil AVP</x:v>
      </x:c>
      <x:c r="C60" s="71" t="str">
        <x:v>Cellule adulte d’assaut</x:v>
      </x:c>
      <x:c r="D60" s="71" t="str">
        <x:v>Preset Aliens vs. Predator 2010, incarnation à verrouiller dans le registre</x:v>
      </x:c>
      <x:c r="E60" s="71" t="str">
        <x:v>8 adultes du profil AVP</x:v>
      </x:c>
      <x:c r="F60" s="75" t="n">
        <x:v>8</x:v>
      </x:c>
      <x:c r="G60" s="75" t="n">
        <x:v>8</x:v>
      </x:c>
      <x:c r="H60" s="71" t="str">
        <x:v>Chefs et spécialistes compris dans ce total ; changements de niveau de simulation sans duplication.</x:v>
      </x:c>
      <x:c r="I60" s="71" t="str">
        <x:v>Pression de ruche proposée</x:v>
      </x:c>
      <x:c r="J60" s="71" t="str">
        <x:v>Assaut sur route accessible, contournement et retrait des survivants</x:v>
      </x:c>
      <x:c r="K60" s="71" t="str">
        <x:v>Galeries liées au foyer et réserves localisées</x:v>
      </x:c>
      <x:c r="L60" s="71" t="str">
        <x:v>Pas de mutation Pathogen, de Queen Mother rouge ou d’Offspring dans ce preset. Profils : XEN-005.
Profils du catalogue : XEN-005 — Warrior</x:v>
      </x:c>
      <x:c r="M60" s="71" t="str">
        <x:v>Proposition à développer ; source des profils dans Bestiaire_medias</x:v>
      </x:c>
    </x:row>
    <x:row r="61" ht="76.5" customHeight="1">
      <x:c r="A61" s="70" t="str">
        <x:v>GRP-55</x:v>
      </x:c>
      <x:c r="B61" s="70" t="str">
        <x:v>Humains — sécurité industrielle de Neonopolis, opération originale</x:v>
      </x:c>
      <x:c r="C61" s="70" t="str">
        <x:v>Section de garde, transfert et verrouillage</x:v>
      </x:c>
      <x:c r="D61" s="70" t="str">
        <x:v>AFF-20 uniquement : variante originale de sécurité dans le cadre de Concrete Jungle. Pas des Colonial Marines et pas une armée Weyland-Yutani. Matériel de l’époque du jeu à documenter.</x:v>
      </x:c>
      <x:c r="E61" s="70" t="str">
        <x:v>8 combattants : 1 chef, 4 gardes, 1 opérateur de matériel armé, 1 technicien armé, 1 radio armé</x:v>
      </x:c>
      <x:c r="F61" s="74" t="n">
        <x:v>8</x:v>
      </x:c>
      <x:c r="G61" s="74" t="n">
        <x:v>8</x:v>
      </x:c>
      <x:c r="H61" s="70" t="str">
        <x:v>8 combattants humains PNJ ; chef, conducteur et technicien déjà compris. Les véhicules et tourelles restent du matériel séparé.</x:v>
      </x:c>
      <x:c r="I61" s="70" t="str">
        <x:v>Chef inclus dans les huit. Dans la première section du front A, BOS-36 remplace ce chef ; les autres sections ont des chefs anonymes.</x:v>
      </x:c>
      <x:c r="J61" s="70" t="str">
        <x:v>Garder un couvert, verrouiller un passage relié à l’alimentation, escorter un module puis se replier si le transfert échoue.</x:v>
      </x:c>
      <x:c r="K61" s="70" t="str">
        <x:v>Dépôts et route de fret reliés à une réserve finie ; les arrivées conservent les passagers déjà alloués.</x:v>
      </x:c>
      <x:c r="L61" s="70" t="str">
        <x:v>Fusils, protections et automatismes proposés à contrôler contre le jeu ; pas de smartgun USCM ajouté par défaut, pas de synthétiques cachés ni santé de monstre.</x:v>
      </x:c>
      <x:c r="M61" s="70" t="str">
        <x:v>À créer — groupe original, matériel à référencer</x:v>
      </x:c>
    </x:row>
    <x:row r="62" ht="49.5" customHeight="1">
      <x:c r="A62" s="71" t="str">
        <x:v>GRP-56</x:v>
      </x:c>
      <x:c r="B62" s="71" t="str">
        <x:v>Humains — garde originale de l’avant-poste de toundra</x:v>
      </x:c>
      <x:c r="C62" s="71" t="str">
        <x:v>Petite patrouille d’approche</x:v>
      </x:c>
      <x:c r="D62" s="71" t="str">
        <x:v>AFF-23, fiction alternative autour du lieu de Predator (2022) #2 ; ni présence ni affiliation de ces gardes affirmées par le comic.</x:v>
      </x:c>
      <x:c r="E62" s="71" t="str">
        <x:v>1 à 3 combattants : 1 garde responsable et, selon taille sélectionnée, 1 ou 2 autres gardes ; tous humains biologiques.</x:v>
      </x:c>
      <x:c r="F62" s="75" t="n">
        <x:v>1</x:v>
      </x:c>
      <x:c r="G62" s="75" t="n">
        <x:v>3</x:v>
      </x:c>
      <x:c r="H62" s="71" t="str">
        <x:v>1 à 3 combattants PNJ selon instance ; AFF-23 utilise exactement 7 gardes au total : 1 +2 actifs, 2 +2 distants.</x:v>
      </x:c>
      <x:c r="I62" s="71" t="str">
        <x:v>Responsable local inclus ; ces gardes n’ont aucune autorité sur Theta.</x:v>
      </x:c>
      <x:c r="J62" s="71" t="str">
        <x:v>Vérifier une trace, défendre l’approche et demander identification ; tirer seulement selon une relation hostile explicite et une ligne de vue.</x:v>
      </x:c>
      <x:c r="K62" s="71" t="str">
        <x:v>Sept personnes déjà déployées dans AFF-23 ; aucune réserve et aucun retour après perte ou extraction.</x:v>
      </x:c>
      <x:c r="L62" s="71" t="str">
        <x:v>Sélection 1/2/3 fixée avant départ et persistante ; pas de garde recréé pour compléter un groupe blessé, pas d’uniforme USCM imposé.</x:v>
      </x:c>
      <x:c r="M62" s="71" t="str">
        <x:v>À créer — patrouille de scénario originale</x:v>
      </x:c>
    </x:row>
    <x:row r="63" ht="63" customHeight="1">
      <x:c r="A63" s="70" t="str">
        <x:v>GRP-57</x:v>
      </x:c>
      <x:c r="B63" s="70" t="str">
        <x:v>Humaine — Theta Berwick, relation locale de scénario</x:v>
      </x:c>
      <x:c r="C63" s="70" t="str">
        <x:v>Acteur unique de traque et de décision</x:v>
      </x:c>
      <x:c r="D63" s="70" t="str">
        <x:v>HUM-032 ; Theta confirmée dans Predator (2022) #2. Son opposition à ce joueur et sa trêve éventuelle sont une adaptation alternative originale.</x:v>
      </x:c>
      <x:c r="E63" s="70" t="str">
        <x:v>1 Theta ; aucune escorte ni copie supplémentaire</x:v>
      </x:c>
      <x:c r="F63" s="74" t="n">
        <x:v>1</x:v>
      </x:c>
      <x:c r="G63" s="74" t="n">
        <x:v>1</x:v>
      </x:c>
      <x:c r="H63" s="70" t="str">
        <x:v>1 humaine combattante potentielle dans les 8 ennemis initiaux de EFF-17 ; les 7 autres sont GRP-56. Le statut neutre éventuel n’ajoute pas une neuvième personne.</x:v>
      </x:c>
      <x:c r="I63" s="70" t="str">
        <x:v>Autonomie de Theta : rejoindre l’avant-poste et survivre ; elle ne commande pas les sept gardes inventés.</x:v>
      </x:c>
      <x:c r="J63" s="70" t="str">
        <x:v>Observer, changer de route et combattre si menacée ; accepter uniquement la trêve définie par le scénario. Matériel tiré des pages retenues avant implémentation.</x:v>
      </x:c>
      <x:c r="K63" s="70" t="str">
        <x:v>Unique, active au front A au départ ; son déplacement vers B puis C transfère le même ID.</x:v>
      </x:c>
      <x:c r="L63" s="70" t="str">
        <x:v>Une conversion en neutre change la relation et le bilan des camps, sans spawn ni ajout à la réserve alliée. Mort, secours ou extraction persistants.</x:v>
      </x:c>
      <x:c r="M63" s="70" t="str">
        <x:v>À créer — adaptation de l’individu à une mission alternative</x:v>
      </x:c>
    </x:row>
    <x:row r="64" ht="157.5" customHeight="1">
      <x:c r="A64" s="71" t="str">
        <x:v>GRP-58</x:v>
      </x:c>
      <x:c r="B64" s="71" t="str">
        <x:v>Xénomorphes — ruche de LV-742</x:v>
      </x:c>
      <x:c r="C64" s="71" t="str">
        <x:v>Cellule mobile de ruche</x:v>
      </x:c>
      <x:c r="D64" s="71" t="str">
        <x:v>Profils Extinction uniquement : ne pas utiliser les règles Fireteam Elite des mêmes noms. Formation de huit originale.
Profil : Extinction</x:v>
      </x:c>
      <x:c r="E64" s="71" t="str">
        <x:v>8 organismes combattants : 4 Warriors, 2 Runners, 1 Drone et 1 Facehugger ; le leader tactique de simulation est un Warrior déjà compté, sans nouvelle caste créée.</x:v>
      </x:c>
      <x:c r="F64" s="75" t="n">
        <x:v>8</x:v>
      </x:c>
      <x:c r="G64" s="75" t="n">
        <x:v>8</x:v>
      </x:c>
      <x:c r="H64" s="71" t="str">
        <x:v>Huit combattants PNJ ; les œufs décoratifs ou inactifs sont des objets séparés et ne créent pas de population supplémentaire.</x:v>
      </x:c>
      <x:c r="I64" s="71" t="str">
        <x:v>Rattachement à un nœud de ruche et priorité locale ; pas d’officier humanoïde ni ordre vocal inventé comme canon.</x:v>
      </x:c>
      <x:c r="J64" s="71" t="str">
        <x:v>Attaquer les isolés, contourner les armes lourdes et converger vers un objectif de ruche ; le Facehugger recherche un hôte compatible plutôt que de suivre une attaque de mêlée générique.</x:v>
      </x:c>
      <x:c r="K64" s="71" t="str">
        <x:v>Conduits ou rassemblements de la ruche cartographiés ; réserves finies, origine persistante des créatures.</x:v>
      </x:c>
      <x:c r="L64" s="71" t="str">
        <x:v>La population d’hôtes nécessaire aux profils Extinction doit être documentée pour la mission. Aucun Neomorph, Offspring, Grid, Alpha ou organisme Pathogen injecté. Parasites et adultes comptent tous dans EFF-14.
Profils du catalogue : XEN-005 — Warrior ; XEN-006 — Runner — profils Extinction et Fireteam Elite ; XEN-004 — Drone — profils Extinction et Fireteam Elite ; XEN-002 — Facehugger
X-S01 — Aliens versus Predator: Extinction — manuel officiel PS2
https://gamingalexandria.com/ps2/Aliens%20Versus%20Predator%20Extinction/Aliens%20Versus%20Predator%20Extinction%20-%20Manual.pdf</x:v>
      </x:c>
      <x:c r="M64" s="71" t="str">
        <x:v>À créer — cellule originale avec identités médiatiques vérifiées</x:v>
      </x:c>
    </x:row>
    <x:row r="65" ht="157.5" customHeight="1">
      <x:c r="A65" s="70" t="str">
        <x:v>GRP-59</x:v>
      </x:c>
      <x:c r="B65" s="70" t="str">
        <x:v>Xénomorphes — garde de la ruche de LV-742</x:v>
      </x:c>
      <x:c r="C65" s="70" t="str">
        <x:v>Garde d’un conduit ou du centre reproducteur</x:v>
      </x:c>
      <x:c r="D65" s="70" t="str">
        <x:v>Profils Extinction ; formation et répartition originales. Une seule instance précise comporte la reine de scénario.
Profil : Extinction</x:v>
      </x:c>
      <x:c r="E65" s="70" t="str">
        <x:v>8 combattants en profil garde : 4 Warriors, 2 Drones, 2 Praetorians. Instance C-QUEEN uniquement : 4 Warriors, 2 Drones, 1 Praetorian et 1 reine BOS-39, qui remplace le second Praetorian.</x:v>
      </x:c>
      <x:c r="F65" s="74" t="n">
        <x:v>8</x:v>
      </x:c>
      <x:c r="G65" s="74" t="n">
        <x:v>8</x:v>
      </x:c>
      <x:c r="H65" s="70" t="str">
        <x:v>Huit PNJ par cellule ; BOS-39 compris dans une seule cellule identifiée C-QUEEN.</x:v>
      </x:c>
      <x:c r="I65" s="70" t="str">
        <x:v>Défense locale de la ruche ; la reine unique est un membre de C-QUEEN et non un neuvième acteur.</x:v>
      </x:c>
      <x:c r="J65" s="70" t="str">
        <x:v>Protéger les accès, couvrir les éclosions déjà budgétées et reculer vers une chambre encore reliée. Intercepter les attaquants qui approchent la reine, sans téléportation entre les fronts.</x:v>
      </x:c>
      <x:c r="K65" s="70" t="str">
        <x:v>Chambres et conduits connus. La garde C-QUEEN commence distante sur C et est matérialisée avec les mêmes IDs lorsque le joueur approche.</x:v>
      </x:c>
      <x:c r="L65" s="70" t="str">
        <x:v>Le remplacement reine est interdit à toute autre instance. Pas d’Empress volante, de King Prime ni de Predalien Titan. Perdre la reine change les réserves disponibles mais ne détruit pas les gardes à distance.
Profils du catalogue : XEN-005 — Warrior ; XEN-004 — Drone — profils Extinction et Fireteam Elite ; XEN-008 — Praetorian ; XEN-007 — Reine Xénomorphe
X-S01 — Aliens versus Predator: Extinction — manuel officiel PS2
https://gamingalexandria.com/ps2/Aliens%20Versus%20Predator%20Extinction/Aliens%20Versus%20Predator%20Extinction%20-%20Manual.pdf</x:v>
      </x:c>
      <x:c r="M65" s="70" t="str">
        <x:v>À créer — garde originale ; reine unique à intégrer</x:v>
      </x:c>
    </x:row>
    <x:row r="66" ht="198" customHeight="1">
      <x:c r="A66" s="71" t="str">
        <x:v>GRP-60</x:v>
      </x:c>
      <x:c r="B66" s="71" t="str">
        <x:v>Humains et soutien synthétique — Colonial Marines d’Extinction</x:v>
      </x:c>
      <x:c r="C66" s="71" t="str">
        <x:v>Section de ligne et de soutien technique</x:v>
      </x:c>
      <x:c r="D66" s="71" t="str">
        <x:v>Roster Extinction ; deux formations originales de huit, sans transfert de classes Fireteam Elite ou Dark Descent.
Profil : Extinction</x:v>
      </x:c>
      <x:c r="E66" s="71" t="str">
        <x:v>Profil H-LIGNE : 3 Infantry, 1 Smartgunner, 1 Flamethrower, 1 Medic, 1 CommTech, 1 Synthetic = 8. Profil H-APPUI : 1 Infantry, 1 Smartgunner, 1 Sniper, 1 SADAR, 1 Exosuit avec son pilote, 1 Medic, 1 CommTech, 1 Synthetic = 8.</x:v>
      </x:c>
      <x:c r="F66" s="75" t="n">
        <x:v>8</x:v>
      </x:c>
      <x:c r="G66" s="75" t="n">
        <x:v>8</x:v>
      </x:c>
      <x:c r="H66" s="71" t="str">
        <x:v>Huit combattants du camp humain par section ; combattant synthétique, commandement et pilote compris. Pas de passager dupliqué au sol.</x:v>
      </x:c>
      <x:c r="I66" s="71" t="str">
        <x:v>Un CommTech inclus transmet les ordres et demandes de renfort. Le CommTech A-COMMAND dirige cette opération ; fonction originale, sans création de grade canonique.</x:v>
      </x:c>
      <x:c r="J66" s="71" t="str">
        <x:v>Tenir les angles, réparer les installations atteignables, préserver la ligne de ravitaillement et évacuer les blessés ; les spécialistes continuent leurs tâches sans caméra.</x:v>
      </x:c>
      <x:c r="K66" s="71" t="str">
        <x:v>Balise humaine de A et position secondaire B ; chaque arrivée consomme la réserve correspondante. Retrait possible quand les routes et la liaison sont perdues.</x:v>
      </x:c>
      <x:c r="L66" s="71" t="str">
        <x:v>Exosuit et pilote constituent une seule unité combattante, pas un bonus hors quota. Synthetic est un combattant du camp humain. Les Sentry Guns sont du matériel distinct avec cap explicite ; aucun tir à travers un obstacle opaque.
Profils du catalogue : HUM-001 — Infantry — AVP: Extinction ; HUM-002 — Smartgunner — profil humain dédié ; HUM-003 — Flamethrower — opérateur lance-flammes ; HUM-036 — Sniper — Extinction ; HUM-037 — Medic — Extinction ; HUM-038 — CommTech — Extinction ; HUM-039 — Synthetic — Extinction ; HUM-040 — Exosuit — Extinction ; HUM-041 — SADAR — Extinction
X-S01 — Aliens versus Predator: Extinction — manuel officiel PS2
https://gamingalexandria.com/ps2/Aliens%20Versus%20Predator%20Extinction/Aliens%20Versus%20Predator%20Extinction%20-%20Manual.pdf</x:v>
      </x:c>
      <x:c r="M66" s="71" t="str">
        <x:v>À créer — formations originales à partir des unités d’Extinction</x:v>
      </x:c>
    </x:row>
    <x:row r="67" ht="171" customHeight="1">
      <x:c r="A67" s="70" t="str">
        <x:v>GRP-61</x:v>
      </x:c>
      <x:c r="B67" s="70" t="str">
        <x:v>Yautja — clan du joueur dans le cadre Extinction</x:v>
      </x:c>
      <x:c r="C67" s="70" t="str">
        <x:v>Détachement de chasse ou de couverture</x:v>
      </x:c>
      <x:c r="D67" s="70" t="str">
        <x:v>Unités Extinction ; aucune fonction de ce détachement n’est présentée comme caste sociale universelle. Le clan et son mandat sont originaux.
Profil : Extinction</x:v>
      </x:c>
      <x:c r="E67" s="70" t="str">
        <x:v>Profil Y-CHASSE : 1 Hunter, 1 Brawler, 1 Spear Master, 1 Stalker = 4. Profil Y-APPUI : 1 Disc Master, 1 Vanguard, 1 Hydra, 1 Blazer = 4. Le chef de simulation est un membre existant de la cellule.</x:v>
      </x:c>
      <x:c r="F67" s="74" t="n">
        <x:v>4</x:v>
      </x:c>
      <x:c r="G67" s="74" t="n">
        <x:v>4</x:v>
      </x:c>
      <x:c r="H67" s="70" t="str">
        <x:v>Quatre Yautja PNJ ; chefs inclus, un joueur séparé dans EFF-14.</x:v>
      </x:c>
      <x:c r="I67" s="70" t="str">
        <x:v>Ordres du joueur relayés par un membre désigné ; abandon ou repli local si la route de liaison est coupée.</x:v>
      </x:c>
      <x:c r="J67" s="70" t="str">
        <x:v>Y-CHASSE reconnaît, contourne et récupère les objectifs ; Y-APPUI couvre un passage dégagé et se retire si les angles de tir deviennent dangereux. Les quatre rôles gardent leur équipement propre.</x:v>
      </x:c>
      <x:c r="K67" s="70" t="str">
        <x:v>Sanctuaire de D et route de rappel tracée ; deux détachements de réserve au maximum pour toute l’opération.</x:v>
      </x:c>
      <x:c r="L67" s="70" t="str">
        <x:v>Le joueur est séparé des quatre. Les Predguns sont des matériels indépendants à cap limité, sans personnel supplémentaire gratuit. Aucun transfert des pouvoirs de Feral, Ultimate ou d’un héros nommé de film.
Profils du catalogue : YAU-029 — Brawler ; YAU-030 — Hunter — Extinction ; YAU-031 — Spear Master ; YAU-032 — Stalker — Extinction ; YAU-033 — Disc Master ; YAU-034 — Vanguard ; YAU-035 — Hydra ; YAU-036 — Blazer
X-S01 — Aliens versus Predator: Extinction — manuel officiel PS2
https://gamingalexandria.com/ps2/Aliens%20Versus%20Predator%20Extinction/Aliens%20Versus%20Predator%20Extinction%20-%20Manual.pdf</x:v>
      </x:c>
      <x:c r="M67" s="70" t="str">
        <x:v>À créer — formation originale de spécialistes à profiler</x:v>
      </x:c>
    </x:row>
    <x:row r="68" ht="63" customHeight="1">
      <x:c r="A68" s="71" t="str">
        <x:v>GRP-62</x:v>
      </x:c>
      <x:c r="B68" s="71" t="str">
        <x:v>Xénomorphes — Dark Descent</x:v>
      </x:c>
      <x:c r="C68" s="71" t="str">
        <x:v>Cellule adulte de ruche</x:v>
      </x:c>
      <x:c r="D68" s="71" t="str">
        <x:v>Dark Descent ; paramètres et silhouette propres au jeu</x:v>
      </x:c>
      <x:c r="E68" s="71" t="str">
        <x:v>8 adultes locaux</x:v>
      </x:c>
      <x:c r="F68" s="75" t="n">
        <x:v>8</x:v>
      </x:c>
      <x:c r="G68" s="75" t="n">
        <x:v>8</x:v>
      </x:c>
      <x:c r="H68" s="71" t="str">
        <x:v>Chefs et spécialistes compris dans ce total ; changements de niveau de simulation sans duplication.</x:v>
      </x:c>
      <x:c r="I68" s="71" t="str">
        <x:v>Pression biologique de ruche proposée</x:v>
      </x:c>
      <x:c r="J68" s="71" t="str">
        <x:v>Assaut, contournement et repli par les galeries du théâtre</x:v>
      </x:c>
      <x:c r="K68" s="71" t="str">
        <x:v>Routes de ruche liées aux réserves finies</x:v>
      </x:c>
      <x:c r="L68" s="71" t="str">
        <x:v>Aucune aptitude de Fireteam ou de métamorphose Extinction importée. Profils : XEN-037.
Profils du catalogue : XEN-037 — Xénomorphes adultes de Dark Descent</x:v>
      </x:c>
      <x:c r="M68" s="71" t="str">
        <x:v>Proposition à développer ; source des profils dans Bestiaire_medias</x:v>
      </x:c>
    </x:row>
  </x:sheetData>
  <x:pageMargins left="0.7" right="0.7" top="0.75" bottom="0.75" header="0.3" footer="0.3"/>
  <x:tableParts count="1">
    <x:tablePart xmlns:r="http://schemas.openxmlformats.org/officeDocument/2006/relationships" r:id="Rcc6fd05683ca4e94"/>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5" hidden="0" customWidth="1"/>
    <x:col min="3" max="3" width="49" hidden="0" customWidth="1"/>
    <x:col min="4" max="4" width="49" hidden="0" customWidth="1"/>
    <x:col min="5" max="5" width="49" hidden="0" customWidth="1"/>
    <x:col min="6" max="6" width="57" hidden="0" customWidth="1"/>
    <x:col min="7" max="7" width="57" hidden="0" customWidth="1"/>
    <x:col min="8" max="8" width="65" hidden="0" customWidth="1"/>
    <x:col min="9" max="9" width="54" hidden="0" customWidth="1"/>
    <x:col min="10" max="10" width="60" hidden="0" customWidth="1"/>
    <x:col min="11" max="11" width="56" hidden="0" customWidth="1"/>
    <x:col min="12" max="12" width="60" hidden="0" customWidth="1"/>
    <x:col min="13" max="13" width="10" hidden="0" customWidth="1"/>
  </x:cols>
  <x:sheetData>
    <x:row r="1" ht="12" customHeight="1">
      <x:c r="A1" s="3"/>
      <x:c r="B1" s="3"/>
      <x:c r="C1" s="3"/>
      <x:c r="D1" s="3"/>
      <x:c r="E1" s="3"/>
      <x:c r="F1" s="3"/>
      <x:c r="G1" s="3"/>
      <x:c r="H1" s="3"/>
      <x:c r="I1" s="3"/>
      <x:c r="J1" s="3"/>
      <x:c r="K1" s="3"/>
      <x:c r="L1" s="3"/>
      <x:c r="M1" s="3"/>
    </x:row>
    <x:row r="2" ht="29" customHeight="1">
      <x:c r="A2" s="4" t="str">
        <x:v>Batailles sur plusieurs fronts</x:v>
      </x:c>
      <x:c r="B2" s="3"/>
      <x:c r="C2" s="3"/>
      <x:c r="D2" s="3"/>
      <x:c r="E2" s="3"/>
      <x:c r="F2" s="3"/>
      <x:c r="G2" s="3"/>
      <x:c r="H2" s="3"/>
      <x:c r="I2" s="3"/>
      <x:c r="J2" s="3"/>
      <x:c r="K2" s="3"/>
      <x:c r="L2" s="3"/>
      <x:c r="M2" s="3"/>
    </x:row>
    <x:row r="3" ht="8" customHeight="1">
      <x:c r="A3" s="5"/>
      <x:c r="B3" s="5"/>
      <x:c r="C3" s="5"/>
      <x:c r="D3" s="5"/>
      <x:c r="E3" s="5"/>
      <x:c r="F3" s="5"/>
      <x:c r="G3" s="5"/>
      <x:c r="H3" s="5"/>
      <x:c r="I3" s="5"/>
      <x:c r="J3" s="5"/>
      <x:c r="K3" s="5"/>
      <x:c r="L3" s="5"/>
      <x:c r="M3" s="5"/>
    </x:row>
    <x:row r="4">
      <x:c r="A4" s="6" t="str">
        <x:v>Scénarios de guerre proposés. Chaque front doit avancer, perdre ou gagner sans présence permanente du joueur.</x:v>
      </x:c>
      <x:c r="B4" s="3"/>
      <x:c r="C4" s="3"/>
      <x:c r="D4" s="3"/>
      <x:c r="E4" s="3"/>
      <x:c r="F4" s="3"/>
      <x:c r="G4" s="3"/>
      <x:c r="H4" s="3"/>
      <x:c r="I4" s="3"/>
      <x:c r="J4" s="3"/>
      <x:c r="K4" s="3"/>
      <x:c r="L4" s="3"/>
      <x:c r="M4" s="3"/>
    </x:row>
    <x:row r="5">
      <x:c r="A5" s="7" t="str">
        <x:v>40 lignes</x:v>
      </x:c>
      <x:c r="B5" s="3" t="str">
        <x:v>Scénarios détaillés : Affrontements</x:v>
      </x:c>
      <x:c r="C5" s="3"/>
      <x:c r="D5" s="3"/>
      <x:c r="E5" s="3"/>
      <x:c r="F5" s="3"/>
      <x:c r="G5" s="3"/>
      <x:c r="H5" s="3"/>
      <x:c r="I5" s="3"/>
      <x:c r="J5" s="3"/>
      <x:c r="K5" s="3"/>
      <x:c r="L5" s="3"/>
      <x:c r="M5" s="3"/>
    </x:row>
    <x:row r="6" ht="36" customHeight="1">
      <x:c r="A6" s="19" t="str">
        <x:v>ID</x:v>
      </x:c>
      <x:c r="B6" s="20" t="str">
        <x:v>Opération</x:v>
      </x:c>
      <x:c r="C6" s="20" t="str">
        <x:v>Front A</x:v>
      </x:c>
      <x:c r="D6" s="20" t="str">
        <x:v>Front B</x:v>
      </x:c>
      <x:c r="E6" s="20" t="str">
        <x:v>Front C</x:v>
      </x:c>
      <x:c r="F6" s="20" t="str">
        <x:v>Front D (si prévu)</x:v>
      </x:c>
      <x:c r="G6" s="20" t="str">
        <x:v>Front E (si prévu)</x:v>
      </x:c>
      <x:c r="H6" s="20" t="str">
        <x:v>Évolution autonome</x:v>
      </x:c>
      <x:c r="I6" s="20" t="str">
        <x:v>Choix du joueur</x:v>
      </x:c>
      <x:c r="J6" s="20" t="str">
        <x:v>Conséquence si ignoré</x:v>
      </x:c>
      <x:c r="K6" s="20" t="str">
        <x:v>Condition de réussite</x:v>
      </x:c>
      <x:c r="L6" s="20" t="str">
        <x:v>Contraintes et budget</x:v>
      </x:c>
      <x:c r="M6" s="21" t="str">
        <x:v>Priorité</x:v>
      </x:c>
    </x:row>
    <x:row r="7" ht="36" customHeight="1">
      <x:c r="A7" s="9" t="str">
        <x:v>FR-01</x:v>
      </x:c>
      <x:c r="B7" s="9" t="str">
        <x:v>Assaut d’une ruche de colonie</x:v>
      </x:c>
      <x:c r="C7" s="9" t="str">
        <x:v>Percée du portail et des barricades</x:v>
      </x:c>
      <x:c r="D7" s="9" t="str">
        <x:v>Coupure de deux tunnels de renfort</x:v>
      </x:c>
      <x:c r="E7" s="9" t="str">
        <x:v>Protection du détachement d’extraction</x:v>
      </x:c>
      <x:c r="F7" s="9" t="str">
        <x:v>Réserve extérieure : intercepter la migration de ruche qui cherche à rouvrir les tunnels</x:v>
      </x:c>
      <x:c r="G7" s="9" t="str">
        <x:v>Sans objet : trois fronts pilotes, quatrième front optionnel, aucun cinquième front dans ce scénario</x:v>
      </x:c>
      <x:c r="H7" s="9" t="str">
        <x:v>La ruche alloue ses réserves aux tunnels encore ouverts ; les alliés reculent si pression supérieure</x:v>
      </x:c>
      <x:c r="I7" s="9" t="str">
        <x:v>Percée rapide ou fermeture des tunnels avant assaut</x:v>
      </x:c>
      <x:c r="J7" s="9" t="str">
        <x:v>Tunnels ignorés alimentent le boss et font tomber l’extraction</x:v>
      </x:c>
      <x:c r="K7" s="9" t="str">
        <x:v>Accéder au nid avec route retour existante</x:v>
      </x:c>
      <x:c r="L7" s="9" t="str">
        <x:v>Scénario original AVP ; pilote trois fronts EFF-03, quatrième front seulement au palier EFF-04</x:v>
      </x:c>
      <x:c r="M7" s="9" t="str">
        <x:v>P0</x:v>
      </x:c>
    </x:row>
    <x:row r="8" ht="36" customHeight="1">
      <x:c r="A8" s="10" t="str">
        <x:v>FR-02</x:v>
      </x:c>
      <x:c r="B8" s="10" t="str">
        <x:v>Défense de relais du clan</x:v>
      </x:c>
      <x:c r="C8" s="10" t="str">
        <x:v>Tenir le relais de détection</x:v>
      </x:c>
      <x:c r="D8" s="10" t="str">
        <x:v>Protéger la source d’énergie</x:v>
      </x:c>
      <x:c r="E8" s="10" t="str">
        <x:v>Intercepter un groupe de contournement</x:v>
      </x:c>
      <x:c r="F8" s="10" t="str">
        <x:v>Sans objet pour ce scénario à trois fronts maximum</x:v>
      </x:c>
      <x:c r="G8" s="10" t="str">
        <x:v>Sans objet pour ce scénario à trois fronts maximum</x:v>
      </x:c>
      <x:c r="H8" s="10" t="str">
        <x:v>Chaque objectif a une garnison, une réserve et un délai estimé</x:v>
      </x:c>
      <x:c r="I8" s="10" t="str">
        <x:v>Secourir garnison ou rétablir alimentation</x:v>
      </x:c>
      <x:c r="J8" s="10" t="str">
        <x:v>Perte énergie réduit détection ; perte relais masque les renforts ennemis</x:v>
      </x:c>
      <x:c r="K8" s="10" t="str">
        <x:v>Relais tenu et au moins une voie d’extraction ouverte</x:v>
      </x:c>
      <x:c r="L8" s="10" t="str">
        <x:v>Évite simple compteur de kills pour trois objectifs identiques</x:v>
      </x:c>
      <x:c r="M8" s="10" t="str">
        <x:v>P0</x:v>
      </x:c>
    </x:row>
    <x:row r="9" ht="36" customHeight="1">
      <x:c r="A9" s="9" t="str">
        <x:v>FR-03</x:v>
      </x:c>
      <x:c r="B9" s="9" t="str">
        <x:v>Évacuation d’un site humain</x:v>
      </x:c>
      <x:c r="C9" s="9" t="str">
        <x:v>Couvrir couloir des civils</x:v>
      </x:c>
      <x:c r="D9" s="9" t="str">
        <x:v>Défendre aire de décollage</x:v>
      </x:c>
      <x:c r="E9" s="9" t="str">
        <x:v>Remettre en route l’APC</x:v>
      </x:c>
      <x:c r="F9" s="9" t="str">
        <x:v>Sans objet pour ce scénario à trois fronts maximum</x:v>
      </x:c>
      <x:c r="G9" s="9" t="str">
        <x:v>Sans objet pour ce scénario à trois fronts maximum</x:v>
      </x:c>
      <x:c r="H9" s="9" t="str">
        <x:v>Convoi se déplace sans caméra ; ennemis interceptent sur leur chemin</x:v>
      </x:c>
      <x:c r="I9" s="9" t="str">
        <x:v>Sauver davantage de civils ou engager le mini-boss qui coupe l’axe</x:v>
      </x:c>
      <x:c r="J9" s="9" t="str">
        <x:v>Civils retardés, route bloquée ou perte de transport explicitement comptées</x:v>
      </x:c>
      <x:c r="K9" s="9" t="str">
        <x:v>Extraction réelle des unités survivantes</x:v>
      </x:c>
      <x:c r="L9" s="9" t="str">
        <x:v>Trêve temporaire Yautja/humains écrite dans le scénario</x:v>
      </x:c>
      <x:c r="M9" s="9" t="str">
        <x:v>P1</x:v>
      </x:c>
    </x:row>
    <x:row r="10" ht="36" customHeight="1">
      <x:c r="A10" s="10" t="str">
        <x:v>FR-04</x:v>
      </x:c>
      <x:c r="B10" s="10" t="str">
        <x:v>Rite dans la pyramide</x:v>
      </x:c>
      <x:c r="C10" s="10" t="str">
        <x:v>Récupération d’un équipement de chasseur</x:v>
      </x:c>
      <x:c r="D10" s="10" t="str">
        <x:v>Route d’un autre chasseur ou d’une alliée</x:v>
      </x:c>
      <x:c r="E10" s="10" t="str">
        <x:v>Migration des Xénomorphes à travers chambres mouvantes</x:v>
      </x:c>
      <x:c r="F10" s="10" t="str">
        <x:v>Sans objet pour ce scénario à trois fronts maximum</x:v>
      </x:c>
      <x:c r="G10" s="10" t="str">
        <x:v>Sans objet pour ce scénario à trois fronts maximum</x:v>
      </x:c>
      <x:c r="H10" s="10" t="str">
        <x:v>Cycle des portes s’applique à toutes les unités ; aucune salle réinitialisée hors caméra</x:v>
      </x:c>
      <x:c r="I10" s="10" t="str">
        <x:v>Itinéraire court risqué ou détour plus sûr</x:v>
      </x:c>
      <x:c r="J10" s="10" t="str">
        <x:v>Groupes séparés, accès bloqué temporairement, changement de poursuite</x:v>
      </x:c>
      <x:c r="K10" s="10" t="str">
        <x:v>Sortie finale obtenue par chemins encore cohérents</x:v>
      </x:c>
      <x:c r="L10" s="10" t="str">
        <x:v>Reconstitution garde personnages/quantités du film ; guerre alternative signalée</x:v>
      </x:c>
      <x:c r="M10" s="10" t="str">
        <x:v>P1</x:v>
      </x:c>
    </x:row>
    <x:row r="11" ht="36" customHeight="1">
      <x:c r="A11" s="9" t="str">
        <x:v>FR-05</x:v>
      </x:c>
      <x:c r="B11" s="9" t="str">
        <x:v>Traque à Gunnison</x:v>
      </x:c>
      <x:c r="C11" s="9" t="str">
        <x:v>Contenir contamination urbaine</x:v>
      </x:c>
      <x:c r="D11" s="9" t="str">
        <x:v>Évacuer survivants de quartier</x:v>
      </x:c>
      <x:c r="E11" s="9" t="str">
        <x:v>Poursuivre trace du Predalien</x:v>
      </x:c>
      <x:c r="F11" s="9" t="str">
        <x:v>Sans objet pour ce scénario à trois fronts maximum</x:v>
      </x:c>
      <x:c r="G11" s="9" t="str">
        <x:v>Sans objet pour ce scénario à trois fronts maximum</x:v>
      </x:c>
      <x:c r="H11" s="9" t="str">
        <x:v>Les foyers déplacent la pression ; les autorités suivent leur chronologie</x:v>
      </x:c>
      <x:c r="I11" s="9" t="str">
        <x:v>Nettoyer traces ou rejoindre proie rare</x:v>
      </x:c>
      <x:c r="J11" s="9" t="str">
        <x:v>Foyer ignoré étend zone dangereuse ; temps perdu sur objectif secondaire</x:v>
      </x:c>
      <x:c r="K11" s="9" t="str">
        <x:v>Objectifs liés au scénario terminé avec bilan</x:v>
      </x:c>
      <x:c r="L11" s="9" t="str">
        <x:v>Wolf unique et civils hors score de massacre</x:v>
      </x:c>
      <x:c r="M11" s="9" t="str">
        <x:v>P1</x:v>
      </x:c>
    </x:row>
    <x:row r="12" ht="36" customHeight="1">
      <x:c r="A12" s="10" t="str">
        <x:v>FR-06</x:v>
      </x:c>
      <x:c r="B12" s="10" t="str">
        <x:v>Chasse urbaine Los Angeles</x:v>
      </x:c>
      <x:c r="C12" s="10" t="str">
        <x:v>Poursuite sur toits</x:v>
      </x:c>
      <x:c r="D12" s="10" t="str">
        <x:v>Affrontement des factions humaines dans la rue</x:v>
      </x:c>
      <x:c r="E12" s="10" t="str">
        <x:v>Intervention de l’équipe de capture</x:v>
      </x:c>
      <x:c r="F12" s="10" t="str">
        <x:v>Sans objet pour ce scénario à trois fronts maximum</x:v>
      </x:c>
      <x:c r="G12" s="10" t="str">
        <x:v>Sans objet pour ce scénario à trois fronts maximum</x:v>
      </x:c>
      <x:c r="H12" s="10" t="str">
        <x:v>Humains interagissent entre eux ; déplacement joueur ne déclenche pas toute la guerre</x:v>
      </x:c>
      <x:c r="I12" s="10" t="str">
        <x:v>Observer, contourner ou intervenir</x:v>
      </x:c>
      <x:c r="J12" s="10" t="str">
        <x:v>Changement alerte, routes fermées et renforts humains</x:v>
      </x:c>
      <x:c r="K12" s="10" t="str">
        <x:v>Objectif de chasse atteint puis départ</x:v>
      </x:c>
      <x:c r="L12" s="10" t="str">
        <x:v>Aucune ruche/Predalien en reconstitution Predator 2 ; variante AVP annoncée</x:v>
      </x:c>
      <x:c r="M12" s="10" t="str">
        <x:v>P1</x:v>
      </x:c>
    </x:row>
    <x:row r="13" ht="36" customHeight="1">
      <x:c r="A13" s="9" t="str">
        <x:v>FR-07</x:v>
      </x:c>
      <x:c r="B13" s="9" t="str">
        <x:v>Conflit de clans original</x:v>
      </x:c>
      <x:c r="C13" s="9" t="str">
        <x:v>Prise du débarcadère</x:v>
      </x:c>
      <x:c r="D13" s="9" t="str">
        <x:v>Défense des reliques du clan</x:v>
      </x:c>
      <x:c r="E13" s="9" t="str">
        <x:v>Capture du commandant adverse</x:v>
      </x:c>
      <x:c r="F13" s="9" t="str">
        <x:v>Voie logistique : protéger le transit de soins et d’énergie du clan</x:v>
      </x:c>
      <x:c r="G13" s="9" t="str">
        <x:v>Front de diversion : un détachement tente de détourner la garde du commandant adverse</x:v>
      </x:c>
      <x:c r="H13" s="9" t="str">
        <x:v>Cellules Yautja prennent ordres et objectifs distincts ; effectif limité et nommé</x:v>
      </x:c>
      <x:c r="I13" s="9" t="str">
        <x:v>Capturer proie de prestige ou sécuriser logistique</x:v>
      </x:c>
      <x:c r="J13" s="9" t="str">
        <x:v>Renforts retardés ou avantage d’honneur ; pas gain gratuit universel</x:v>
      </x:c>
      <x:c r="K13" s="9" t="str">
        <x:v>Victoire militaire et conséquence diplomatique séparées</x:v>
      </x:c>
      <x:c r="L13" s="9" t="str">
        <x:v>Création originale ; fronts D/E optionnels pour le palier expérimental EFF-05, à valider séparément</x:v>
      </x:c>
      <x:c r="M13" s="9" t="str">
        <x:v>P2</x:v>
      </x:c>
    </x:row>
    <x:row r="14" ht="36" customHeight="1">
      <x:c r="A14" s="10" t="str">
        <x:v>FR-08</x:v>
      </x:c>
      <x:c r="B14" s="10" t="str">
        <x:v>Sabotage d’une station</x:v>
      </x:c>
      <x:c r="C14" s="10" t="str">
        <x:v>Restaurer gravité / alimentation</x:v>
      </x:c>
      <x:c r="D14" s="10" t="str">
        <x:v>Ouvrir route de survie</x:v>
      </x:c>
      <x:c r="E14" s="10" t="str">
        <x:v>Contenir un laboratoire</x:v>
      </x:c>
      <x:c r="F14" s="10" t="str">
        <x:v>Sans objet pour ce scénario à trois fronts maximum</x:v>
      </x:c>
      <x:c r="G14" s="10" t="str">
        <x:v>Sans objet pour ce scénario à trois fronts maximum</x:v>
      </x:c>
      <x:c r="H14" s="10" t="str">
        <x:v>Portes, oxygène et gravité sont états globaux persistants</x:v>
      </x:c>
      <x:c r="I14" s="10" t="str">
        <x:v>Raccourci par zone en zéro G ou passage habité protégé</x:v>
      </x:c>
      <x:c r="J14" s="10" t="str">
        <x:v>Nouvelle circulation d’acide ou décompression modifie les routes</x:v>
      </x:c>
      <x:c r="K14" s="10" t="str">
        <x:v>Extraction avant perte du dernier secteur sûr</x:v>
      </x:c>
      <x:c r="L14" s="10" t="str">
        <x:v>Offspring événement unique ; pas escouade de clones</x:v>
      </x:c>
      <x:c r="M14" s="10" t="str">
        <x:v>P1</x:v>
      </x:c>
    </x:row>
    <x:row r="15" ht="36" customHeight="1">
      <x:c r="A15" s="9" t="str">
        <x:v>FR-09</x:v>
      </x:c>
      <x:c r="B15" s="9" t="str">
        <x:v>Incident Charon</x:v>
      </x:c>
      <x:c r="C15" s="9" t="str">
        <x:v>Neutraliser les gardes du laboratoire</x:v>
      </x:c>
      <x:c r="D15" s="9" t="str">
        <x:v>Empêcher transfert du sujet expérimental</x:v>
      </x:c>
      <x:c r="E15" s="9" t="str">
        <x:v>Préserver accès de retour</x:v>
      </x:c>
      <x:c r="F15" s="9" t="str">
        <x:v>Sans objet pour ce scénario à trois fronts maximum</x:v>
      </x:c>
      <x:c r="G15" s="9" t="str">
        <x:v>Sans objet pour ce scénario à trois fronts maximum</x:v>
      </x:c>
      <x:c r="H15" s="9" t="str">
        <x:v>Sujet et sécurité poursuivent buts propres même sans le joueur</x:v>
      </x:c>
      <x:c r="I15" s="9" t="str">
        <x:v>Capturer données ou interrompre transfert</x:v>
      </x:c>
      <x:c r="J15" s="9" t="str">
        <x:v>Sujet rejoint une zone plus dangereuse et change arène finale</x:v>
      </x:c>
      <x:c r="K15" s="9" t="str">
        <x:v>Rogue neutralisé/contenu selon scénario</x:v>
      </x:c>
      <x:c r="L15" s="9" t="str">
        <x:v>Rogue lié aux expériences de Kleist ; pas caste naturelle</x:v>
      </x:c>
      <x:c r="M15" s="9" t="str">
        <x:v>P2</x:v>
      </x:c>
    </x:row>
    <x:row r="16" ht="36" customHeight="1">
      <x:c r="A16" s="10" t="str">
        <x:v>FR-10</x:v>
      </x:c>
      <x:c r="B16" s="10" t="str">
        <x:v>Réserve des Super Predators</x:v>
      </x:c>
      <x:c r="C16" s="10" t="str">
        <x:v>Échapper aux chiens</x:v>
      </x:c>
      <x:c r="D16" s="10" t="str">
        <x:v>Neutraliser la surveillance aérienne</x:v>
      </x:c>
      <x:c r="E16" s="10" t="str">
        <x:v>Rejoindre camp ou refuge de survivants</x:v>
      </x:c>
      <x:c r="F16" s="10" t="str">
        <x:v>Sans objet pour ce scénario à trois fronts maximum</x:v>
      </x:c>
      <x:c r="G16" s="10" t="str">
        <x:v>Sans objet pour ce scénario à trois fronts maximum</x:v>
      </x:c>
      <x:c r="H16" s="10" t="str">
        <x:v>Meutes traquent par zones ; Falconer et Tracker ne partagent pas le même rôle</x:v>
      </x:c>
      <x:c r="I16" s="10" t="str">
        <x:v>Détruire drone ou sauver un allié encerclé</x:v>
      </x:c>
      <x:c r="J16" s="10" t="str">
        <x:v>Perte renseignement ennemi ou allié indisponible au duel</x:v>
      </x:c>
      <x:c r="K16" s="10" t="str">
        <x:v>Fin de chasse liée aux choix précédents</x:v>
      </x:c>
      <x:c r="L16" s="10" t="str">
        <x:v>Cadre Predators ; groupes du trio uniques</x:v>
      </x:c>
      <x:c r="M16" s="10" t="str">
        <x:v>P1</x:v>
      </x:c>
    </x:row>
    <x:row r="17" ht="36" customHeight="1">
      <x:c r="A17" s="9" t="str">
        <x:v>FR-11</x:v>
      </x:c>
      <x:c r="B17" s="9" t="str">
        <x:v>Stargazer en crise</x:v>
      </x:c>
      <x:c r="C17" s="9" t="str">
        <x:v>Confinement de la base</x:v>
      </x:c>
      <x:c r="D17" s="9" t="str">
        <x:v>Chasse en forêt</x:v>
      </x:c>
      <x:c r="E17" s="9" t="str">
        <x:v>Extraction d’un personnage ou objet</x:v>
      </x:c>
      <x:c r="F17" s="9" t="str">
        <x:v>Sans objet pour ce scénario à trois fronts maximum</x:v>
      </x:c>
      <x:c r="G17" s="9" t="str">
        <x:v>Sans objet pour ce scénario à trois fronts maximum</x:v>
      </x:c>
      <x:c r="H17" s="9" t="str">
        <x:v>Agents, fugitif et Upgrade suivent des objectifs incompatibles</x:v>
      </x:c>
      <x:c r="I17" s="9" t="str">
        <x:v>Soutien à une faction temporaire ou capture de preuve</x:v>
      </x:c>
      <x:c r="J17" s="9" t="str">
        <x:v>Changement relations et disponibilité d’un chemin</x:v>
      </x:c>
      <x:c r="K17" s="9" t="str">
        <x:v>Épisode conclu par boss et sortie cohérents</x:v>
      </x:c>
      <x:c r="L17" s="9" t="str">
        <x:v>Matériel de 2018 ; Lobo selon rôle précis, pas chien générique de horde</x:v>
      </x:c>
      <x:c r="M17" s="9" t="str">
        <x:v>P1</x:v>
      </x:c>
    </x:row>
    <x:row r="18" ht="36" customHeight="1">
      <x:c r="A18" s="10" t="str">
        <x:v>FR-12</x:v>
      </x:c>
      <x:c r="B18" s="10" t="str">
        <x:v>Coopération sur deux axes</x:v>
      </x:c>
      <x:c r="C18" s="10" t="str">
        <x:v>Joueur 1 ouvre la voie d’assaut</x:v>
      </x:c>
      <x:c r="D18" s="10" t="str">
        <x:v>Joueur 2 protège un relais</x:v>
      </x:c>
      <x:c r="E18" s="10" t="str">
        <x:v>Réserves ennemies attaquent l’axe le plus faible</x:v>
      </x:c>
      <x:c r="F18" s="10" t="str">
        <x:v>Sans objet pour ce scénario à trois fronts maximum</x:v>
      </x:c>
      <x:c r="G18" s="10" t="str">
        <x:v>Sans objet pour ce scénario à trois fronts maximum</x:v>
      </x:c>
      <x:c r="H18" s="10" t="str">
        <x:v>Horloge stratégique commune ; deux bulles physiques et groupes persistants</x:v>
      </x:c>
      <x:c r="I18" s="10" t="str">
        <x:v>Se séparer pour gagner du temps ou rejoindre un allié en danger</x:v>
      </x:c>
      <x:c r="J18" s="10" t="str">
        <x:v>Objectif abandonné se dégrade même quand hors vue des deux joueurs</x:v>
      </x:c>
      <x:c r="K18" s="10" t="str">
        <x:v>Fin de mission correcte pour deux joueurs éloignés</x:v>
      </x:c>
      <x:c r="L18" s="10" t="str">
        <x:v>Pas de double boss dupliqué, quotas/score/renforts uniques</x:v>
      </x:c>
      <x:c r="M18" s="10" t="str">
        <x:v>P0</x:v>
      </x:c>
    </x:row>
    <x:row r="19" ht="49.5" customHeight="1">
      <x:c r="A19" s="9" t="str">
        <x:v>FR-13</x:v>
      </x:c>
      <x:c r="B19" s="9" t="str">
        <x:v>Traque et survie sur le territoire de Prey</x:v>
      </x:c>
      <x:c r="C19" s="9" t="str">
        <x:v>Poursuivre ou détourner le Feral sur ses pistes</x:v>
      </x:c>
      <x:c r="D19" s="9" t="str">
        <x:v>Surveiller les mouvements du groupe de trappeurs</x:v>
      </x:c>
      <x:c r="E19" s="9" t="str">
        <x:v>Préserver la route de retour et protéger les personnes du camp</x:v>
      </x:c>
      <x:c r="F19" s="9" t="str">
        <x:v>Sans objet pour ce scénario à trois fronts maximum</x:v>
      </x:c>
      <x:c r="G19" s="9" t="str">
        <x:v>Sans objet pour ce scénario à trois fronts maximum</x:v>
      </x:c>
      <x:c r="H19" s="9" t="str">
        <x:v>Chaque groupe suit une route et un but ; événements de chasse persistent hors caméra</x:v>
      </x:c>
      <x:c r="I19" s="9" t="str">
        <x:v>Observer une piste, secourir un personnage ou préparer un piège</x:v>
      </x:c>
      <x:c r="J19" s="9" t="str">
        <x:v>Position du Feral, relation avec le groupe humain et voie de sortie évoluent</x:v>
      </x:c>
      <x:c r="K19" s="9" t="str">
        <x:v>Rencontre finale et retour cohérents avec les choix et le profil de mission</x:v>
      </x:c>
      <x:c r="L19" s="9" t="str">
        <x:v>Reconstitution : effectifs exacts documentés. Bataille élargie : scénario original affiché, sans USCM ni ruche par défaut en 1719.</x:v>
      </x:c>
      <x:c r="M19" s="9" t="str">
        <x:v>P1</x:v>
      </x:c>
    </x:row>
    <x:row r="20" ht="130.5" customHeight="1">
      <x:c r="A20" s="41" t="str">
        <x:v>FR-14</x:v>
      </x:c>
      <x:c r="B20" s="41" t="str">
        <x:v>Raid des archives retenues</x:v>
      </x:c>
      <x:c r="C20" s="41" t="str">
        <x:v>A — Ouvrir le dépôt et extraire le registre des routes.</x:v>
      </x:c>
      <x:c r="D20" s="41" t="str">
        <x:v>B — Brouiller ou capturer le relais avant l’alerte générale.</x:v>
      </x:c>
      <x:c r="E20" s="41" t="str">
        <x:v>C — Garder un quai de sortie et une voie de retour.</x:v>
      </x:c>
      <x:c r="F20" s="41" t="str">
        <x:v>Sans objet : cette opération possède exactement trois fronts.</x:v>
      </x:c>
      <x:c r="G20" s="41" t="str">
        <x:v>Sans objet : aucun cinquième front dans cette opération.</x:v>
      </x:c>
      <x:c r="H20" s="41" t="str">
        <x:v>Les gardes cherchent le registre, le relais progresse vers l’alerte et l’équipe de quai prépare un départ même hors caméra. Les réserves quittent un quai identifié.</x:v>
      </x:c>
      <x:c r="I20" s="41" t="str">
        <x:v>Raid silencieux et extraction précoce, ou prise durable du relais pour obtenir plus de renseignements.</x:v>
      </x:c>
      <x:c r="J20" s="41" t="str">
        <x:v>Relais ignoré : patrouilles distantes convergent. Quai perdu : la sortie se déplace vers la corniche, avec un délai annoncé. Les archives intactes permettent d’identifier un convoi dans l’opération suivante.</x:v>
      </x:c>
      <x:c r="K20" s="41" t="str">
        <x:v>Registre sécurisé et détachement revenu par une sortie praticable ; capture du commandant facultative.</x:v>
      </x:c>
      <x:c r="L20"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LD-14
Gabarit : EFF-09
Fronts simultanés prévus : 3</x:v>
      </x:c>
      <x:c r="M20" s="41" t="str">
        <x:v>P1</x:v>
      </x:c>
    </x:row>
    <x:row r="21" ht="130.5" customHeight="1">
      <x:c r="A21" s="40" t="str">
        <x:v>FR-15</x:v>
      </x:c>
      <x:c r="B21" s="40" t="str">
        <x:v>Défense des Quatre Accès</x:v>
      </x:c>
      <x:c r="C21" s="40" t="str">
        <x:v>A — Contenir la brèche de l’enceinte et préserver les accès de défense.</x:v>
      </x:c>
      <x:c r="D21" s="40" t="str">
        <x:v>B — Maintenir l’énergie et les réparations de la forge sans transformer celle-ci en objectif de massacres.</x:v>
      </x:c>
      <x:c r="E21" s="40" t="str">
        <x:v>C — Escorter les équipages et la réserve mobile jusqu’au port.</x:v>
      </x:c>
      <x:c r="F21" s="40" t="str">
        <x:v>D — Couper la route de ravitaillement de la commandante de siège et préserver son propre retrait.</x:v>
      </x:c>
      <x:c r="G21" s="40" t="str">
        <x:v>Sans objet : aucun cinquième front dans cette opération.</x:v>
      </x:c>
      <x:c r="H21" s="40" t="str">
        <x:v>Quatre axes progressent séparément : brèche, réparations, évacuation et chaîne d’ordres. Les assiégeants peuvent préférer la saisie du port à une bataille dans les quartiers.</x:v>
      </x:c>
      <x:c r="I21" s="40" t="str">
        <x:v>Contre-attaque sur le commandement rival, ou défense mobile qui concède l’enceinte mais conserve le port et les archives.</x:v>
      </x:c>
      <x:c r="J21" s="40" t="str">
        <x:v>Forge perdue : réparations suspendues. Port menacé : fenêtre d’évacuation se réduit. Commandement rival privé de ravitaillement : assaut ralentit puis retraite possible ; aucun soldat ne disparaît.</x:v>
      </x:c>
      <x:c r="K21" s="40" t="str">
        <x:v>Conserver ou évacuer les archives et les défenseurs, puis imposer une cessation de l’assaut ou un départ viable.</x:v>
      </x:c>
      <x:c r="L21" s="40" t="str">
        <x:v>Scénario original de conflit entre deux clans Yautja inventés ; aucune guerre, coutume, hiérarchie ou règle de duel n’est présentée comme canonique ou universelle. Budget EFF-10, 4 fronts persistants. Un chef remplace un membre de son escouade ; joueur exclu des PNJ. Aucun renfort illimité.
Carte : LD-12
Gabarit : EFF-10
Fronts simultanés prévus : 4</x:v>
      </x:c>
      <x:c r="M21" s="40" t="str">
        <x:v>P1</x:v>
      </x:c>
    </x:row>
    <x:row r="22" ht="130.5" customHeight="1">
      <x:c r="A22" s="41" t="str">
        <x:v>FR-16</x:v>
      </x:c>
      <x:c r="B22" s="41" t="str">
        <x:v>Interception du Convoi gris</x:v>
      </x:c>
      <x:c r="C22" s="41" t="str">
        <x:v>A — Suivre et immobiliser les deux modules de fret sans détruire leur contenu.</x:v>
      </x:c>
      <x:c r="D22" s="41" t="str">
        <x:v>B — Saisir le prochain passage pour choisir où se produit l’interception.</x:v>
      </x:c>
      <x:c r="E22" s="41" t="str">
        <x:v>C — Préserver le terminus de récupération et empêcher la fuite par la piste latérale.</x:v>
      </x:c>
      <x:c r="F22" s="41" t="str">
        <x:v>Sans objet : cette opération possède exactement trois fronts.</x:v>
      </x:c>
      <x:c r="G22" s="41" t="str">
        <x:v>Sans objet : aucun cinquième front dans cette opération.</x:v>
      </x:c>
      <x:c r="H22" s="41" t="str">
        <x:v>Le convoi avance, les gardes changent de route et les escouades d’interception manœuvrent hors écran. Un module immobilisé reste sur place avec son état.</x:v>
      </x:c>
      <x:c r="I22" s="41" t="str">
        <x:v>Prendre de l’avance par les terrasses ou ralentir le convoi au prix d’une alerte plus rapide.</x:v>
      </x:c>
      <x:c r="J22" s="41" t="str">
        <x:v>Passage ignoré : détour plus long pour le joueur. Sortie perdue : un module peut s’échapper et réduit le butin, sans annuler la capture de l’autre.</x:v>
      </x:c>
      <x:c r="K22" s="41" t="str">
        <x:v>Au moins un module récupéré intact et corridor de retour sécurisé ; récupérer les deux constitue l’objectif secondaire.</x:v>
      </x:c>
      <x:c r="L22"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LD-15
Gabarit : EFF-09
Fronts simultanés prévus : 3</x:v>
      </x:c>
      <x:c r="M22" s="41" t="str">
        <x:v>P1</x:v>
      </x:c>
    </x:row>
    <x:row r="23" ht="130.5" customHeight="1">
      <x:c r="A23" s="40" t="str">
        <x:v>FR-17</x:v>
      </x:c>
      <x:c r="B23" s="40" t="str">
        <x:v>Frontière des Deux Balises</x:v>
      </x:c>
      <x:c r="C23" s="40" t="str">
        <x:v>A — Identifier et repousser une intrusion au passage officiel.</x:v>
      </x:c>
      <x:c r="D23" s="40" t="str">
        <x:v>B — Sécuriser le ravitaillement et vérifier l’origine d’une attaque contestée.</x:v>
      </x:c>
      <x:c r="E23" s="40" t="str">
        <x:v>C — Maintenir le relais qui transmet retrait, identification ou trêve locale.</x:v>
      </x:c>
      <x:c r="F23" s="40" t="str">
        <x:v>Sans objet : cette opération possède exactement trois fronts.</x:v>
      </x:c>
      <x:c r="G23" s="40" t="str">
        <x:v>Sans objet : aucun cinquième front dans cette opération.</x:v>
      </x:c>
      <x:c r="H23" s="40" t="str">
        <x:v>Chaque patrouille poursuit sa mission et peut se retirer. La tension dépend des intrusions, preuves et tirs observés ; elle continue d’évoluer hors caméra.</x:v>
      </x:c>
      <x:c r="I23" s="40" t="str">
        <x:v>Bloquer l’accès par la force, escorter un passage négocié ou récupérer une preuve avant d’ouvrir le feu.</x:v>
      </x:c>
      <x:c r="J23" s="40" t="str">
        <x:v>Relais perdu : ordres de cessez-le-feu retardés. Tir non justifié : escalade locale et arrivée d’une réserve existante. Preuve récupérée : retrait négocié possible sur deux cols.</x:v>
      </x:c>
      <x:c r="K23" s="40" t="str">
        <x:v>Deux passages sécurisés et un accord de frontière ou une évacuation ordonnée, sans obligation de vaincre un boss.</x:v>
      </x:c>
      <x:c r="L23" s="40"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LD-16
Gabarit : EFF-09
Fronts simultanés prévus : 3</x:v>
      </x:c>
      <x:c r="M23" s="40" t="str">
        <x:v>P1</x:v>
      </x:c>
    </x:row>
    <x:row r="24" ht="130.5" customHeight="1">
      <x:c r="A24" s="41" t="str">
        <x:v>FR-18</x:v>
      </x:c>
      <x:c r="B24" s="41" t="str">
        <x:v>Accord sous les Arches silencieuses</x:v>
      </x:c>
      <x:c r="C24" s="41" t="str">
        <x:v>A — Affronter ou convaincre la porte-parole selon les règles acceptées pour cette rencontre.</x:v>
      </x:c>
      <x:c r="D24" s="41" t="str">
        <x:v>B — Faire retirer les équipes de fret et récupérer les blessés pendant l’échange.</x:v>
      </x:c>
      <x:c r="E24" s="41" t="str">
        <x:v>C — Obtenir la réception de l’ordre de cessation par les gardes qui contestent l’accord.</x:v>
      </x:c>
      <x:c r="F24" s="41" t="str">
        <x:v>Sans objet : cette opération possède exactement trois fronts.</x:v>
      </x:c>
      <x:c r="G24" s="41" t="str">
        <x:v>Sans objet : aucun cinquième front dans cette opération.</x:v>
      </x:c>
      <x:c r="H24" s="41" t="str">
        <x:v>Le duel ne gèle pas le monde. Retrait, soin et contestation continuent ; les deux camps peuvent émettre un arrêt si les conditions négociées sont violées.</x:v>
      </x:c>
      <x:c r="I24" s="41" t="str">
        <x:v>Accepter le duel, négocier une concession matérielle, ou quitter l’arène pour rétablir un relais menacé.</x:v>
      </x:c>
      <x:c r="J24" s="41" t="str">
        <x:v>Victoire ou concession : ordre de cessation proposé, puis exécuté seulement après réception. Relais bloqué : une escouade continue l’interception. Rupture du duel : fenêtre de sortie annoncée et reprise limitée des hostilités.</x:v>
      </x:c>
      <x:c r="K24" s="41" t="str">
        <x:v>Accord ou repli validé sur les trois fronts, avec unités retirées réellement et statut de la porte-parole conservé.</x:v>
      </x:c>
      <x:c r="L24" s="41" t="str">
        <x:v>Scénario original de conflit entre deux clans Yautja inventés ; aucune guerre, coutume, hiérarchie ou règle de duel n’est présentée comme canonique ou universelle. Budget EFF-09, 3 fronts persistants. Un chef remplace un membre de son escouade ; joueur exclu des PNJ. Aucun renfort illimité.
Carte : LD-17
Gabarit : EFF-09
Fronts simultanés prévus : 3</x:v>
      </x:c>
      <x:c r="M24" s="41" t="str">
        <x:v>P1</x:v>
      </x:c>
    </x:row>
    <x:row r="25" ht="49.5" customHeight="1">
      <x:c r="A25" s="40" t="str">
        <x:v>FR-19</x:v>
      </x:c>
      <x:c r="B25" s="40" t="str">
        <x:v>Port de récupération : reprendre le matériel du clan</x:v>
      </x:c>
      <x:c r="C25" s="40" t="str">
        <x:v>Ouvrir le hangar où le matériel capturé est regroupé</x:v>
      </x:c>
      <x:c r="D25" s="40" t="str">
        <x:v>Couper le relais de surveillance et empêcher une mise en alerte générale</x:v>
      </x:c>
      <x:c r="E25" s="40" t="str">
        <x:v>Intercepter le transfert et maintenir le quai d’extraction</x:v>
      </x:c>
      <x:c r="F25" s="40" t="str">
        <x:v>Sans objet : opération limitée à trois fronts</x:v>
      </x:c>
      <x:c r="G25" s="40" t="str">
        <x:v>Sans objet : opération limitée à trois fronts</x:v>
      </x:c>
      <x:c r="H25" s="40" t="str">
        <x:v>Le convoi suit son horaire ; les gardes reçoivent des ordres depuis le poste et l’équipe d’extraction peut être repoussée hors caméra</x:v>
      </x:c>
      <x:c r="I25" s="40" t="str">
        <x:v>Neutraliser la surveillance avant assaut ou couper immédiatement le transfert</x:v>
      </x:c>
      <x:c r="J25" s="40" t="str">
        <x:v>Le matériel part vers un autre hangar, les renforts changent de route ou le quai devient inaccessible</x:v>
      </x:c>
      <x:c r="K25" s="40" t="str">
        <x:v>Matériel identifié récupéré et chasseur extrait par une voie encore ouverte ; neutraliser le commandant seul ne termine pas la mission</x:v>
      </x:c>
      <x:c r="L25" s="40" t="str">
        <x:v>AFF-06 ; LD-18 ; EFF-11 : 256 ennemis humains et 8 alliés Yautja PNJ alloués, plus 1 joueur ; opération contemporaine originale</x:v>
      </x:c>
      <x:c r="M25" s="40" t="str">
        <x:v>P1</x:v>
      </x:c>
    </x:row>
    <x:row r="26" ht="49.5" customHeight="1">
      <x:c r="A26" s="41" t="str">
        <x:v>FR-20</x:v>
      </x:c>
      <x:c r="B26" s="41" t="str">
        <x:v>Bassin industriel : interrompre la livraison d’un trophée technologique</x:v>
      </x:c>
      <x:c r="C26" s="41" t="str">
        <x:v>Saisir la halle où le chargement est préparé</x:v>
      </x:c>
      <x:c r="D26" s="41" t="str">
        <x:v>Intercepter le convoi ferroviaire ou routier avant sortie du site</x:v>
      </x:c>
      <x:c r="E26" s="41" t="str">
        <x:v>Désorganiser le poste de sécurité et préserver la sortie de maintenance</x:v>
      </x:c>
      <x:c r="F26" s="41" t="str">
        <x:v>Sans objet : opération limitée à trois fronts</x:v>
      </x:c>
      <x:c r="G26" s="41" t="str">
        <x:v>Sans objet : opération limitée à trois fronts</x:v>
      </x:c>
      <x:c r="H26" s="41" t="str">
        <x:v>Les mercenaires escortent la livraison, déplacent leurs barrages et défendent la logistique sans attendre le joueur</x:v>
      </x:c>
      <x:c r="I26" s="41" t="str">
        <x:v>Prendre les documents de destination ou détruire le dispositif de transfert avant départ</x:v>
      </x:c>
      <x:c r="J26" s="41" t="str">
        <x:v>La livraison change de destination, la sortie est verrouillée ou des gardes se redéploient depuis un dépôt encore actif</x:v>
      </x:c>
      <x:c r="K26" s="41" t="str">
        <x:v>Chargement récupéré ou rendu inutilisable selon objectif choisi avant départ, puis extraction ; bilan de sortie et survivants enregistré</x:v>
      </x:c>
      <x:c r="L26" s="41" t="str">
        <x:v>AFF-07 ; LD-19 ; EFF-11 ; entreprise et mercenaires contemporains originaux, aucune arme future</x:v>
      </x:c>
      <x:c r="M26" s="41" t="str">
        <x:v>P1</x:v>
      </x:c>
    </x:row>
    <x:row r="27" ht="49.5" customHeight="1">
      <x:c r="A27" s="40" t="str">
        <x:v>FR-21</x:v>
      </x:c>
      <x:c r="B27" s="40" t="str">
        <x:v>Colonie en conflit : reprendre une installation occupée</x:v>
      </x:c>
      <x:c r="C27" s="40" t="str">
        <x:v>Prendre le poste de coordination de la force militaire hostile</x:v>
      </x:c>
      <x:c r="D27" s="40" t="str">
        <x:v>Couper la route de ravitaillement et les armes d’appui</x:v>
      </x:c>
      <x:c r="E27" s="40" t="str">
        <x:v>Récupérer l’objectif du clan dans les ateliers et tenir la liaison</x:v>
      </x:c>
      <x:c r="F27" s="40" t="str">
        <x:v>Protéger l’aire d’extraction contre une contre-attaque de réserve</x:v>
      </x:c>
      <x:c r="G27" s="40" t="str">
        <x:v>Sans objet : opération limitée à quatre fronts</x:v>
      </x:c>
      <x:c r="H27" s="40" t="str">
        <x:v>Les sections humaines renforcent l’axe le plus menacé ; logistique, détachement allié et extraction évoluent même hors caméra</x:v>
      </x:c>
      <x:c r="I27" s="40" t="str">
        <x:v>Réduire la capacité de contre-attaque avant la récupération ou agir vite puis défendre la retraite</x:v>
      </x:c>
      <x:c r="J27" s="40" t="str">
        <x:v>Les réserves arrivent par les routes ouvertes ; perte de liaison force un détour et rend l’extraction plus coûteuse</x:v>
      </x:c>
      <x:c r="K27" s="40" t="str">
        <x:v>Objectif du clan récupéré et extraction assurée ; la colonie conserve son état, ses civils et ses voies techniques après le combat</x:v>
      </x:c>
      <x:c r="L27" s="40" t="str">
        <x:v>AFF-08 ; réutilise LD-11 ; EFF-12 : 768 ennemis humains et 32 alliés Yautja PNJ alloués, plus 1 joueur. Variante originale sans ruche active par défaut.</x:v>
      </x:c>
      <x:c r="M27" s="40" t="str">
        <x:v>P1</x:v>
      </x:c>
    </x:row>
    <x:row r="28" ht="49.5" customHeight="1">
      <x:c r="A28" s="41" t="str">
        <x:v>FR-22</x:v>
      </x:c>
      <x:c r="B28" s="41" t="str">
        <x:v>Chantier orbital : libérer la navette saisie</x:v>
      </x:c>
      <x:c r="C28" s="41" t="str">
        <x:v>Traverser les compartiments de sûreté jusqu’au contrôle d’amarrage</x:v>
      </x:c>
      <x:c r="D28" s="41" t="str">
        <x:v>Couper les interceptions et rétablir une alimentation exploitable</x:v>
      </x:c>
      <x:c r="E28" s="41" t="str">
        <x:v>Récupérer les données du clan sans perdre le sas de retour</x:v>
      </x:c>
      <x:c r="F28" s="41" t="str">
        <x:v>Tenir le quai de départ pendant la préparation de la navette</x:v>
      </x:c>
      <x:c r="G28" s="41" t="str">
        <x:v>Sans objet : opération limitée à quatre fronts</x:v>
      </x:c>
      <x:c r="H28" s="41" t="str">
        <x:v>La sûreté déplace ses équipes par les sas ouverts ; les navettes de renfort amarrent réellement ; le départ et les pannes ont une horloge commune</x:v>
      </x:c>
      <x:c r="I28" s="41" t="str">
        <x:v>Ouvrir un raccourci sous gravité dégradée ou préserver le circuit d’air et sécuriser une route plus longue</x:v>
      </x:c>
      <x:c r="J28" s="41" t="str">
        <x:v>Le quai est recapturé, un sas ferme ou l’interception retarde le départ ; aucune équipe ne se téléporte à travers un compartiment isolé</x:v>
      </x:c>
      <x:c r="K28" s="41" t="str">
        <x:v>Navette libérée, données ou matériel requis récupérés et décollage accompli ; le chef de sûreté est un obstacle, pas une condition suffisante de victoire</x:v>
      </x:c>
      <x:c r="L28" s="41" t="str">
        <x:v>AFF-09 ; LD-20 ; EFF-12 ; station et sûreté humaines originales du futur, sans Offspring, Rogue ni ruche par défaut</x:v>
      </x:c>
      <x:c r="M28" s="41" t="str">
        <x:v>P1</x:v>
      </x:c>
    </x:row>
    <x:row r="29" ht="63" customHeight="1">
      <x:c r="A29" s="40" t="str">
        <x:v>FR-23</x:v>
      </x:c>
      <x:c r="B29" s="40" t="str">
        <x:v>Cité-port : extraire un captif sans perdre la sortie</x:v>
      </x:c>
      <x:c r="C29" s="40" t="str">
        <x:v>Contourner ou ouvrir le cordon de confinement du centre médical</x:v>
      </x:c>
      <x:c r="D29" s="40" t="str">
        <x:v>Désorganiser le poste d’interception militaire</x:v>
      </x:c>
      <x:c r="E29" s="40" t="str">
        <x:v>Préparer un transfert vers le terminal et défendre le véhicule ou passage</x:v>
      </x:c>
      <x:c r="F29" s="40" t="str">
        <x:v>Maintenir le couloir partagé avec l’évacuation civile</x:v>
      </x:c>
      <x:c r="G29" s="40" t="str">
        <x:v>Sans objet : opération limitée à quatre fronts</x:v>
      </x:c>
      <x:c r="H29" s="40" t="str">
        <x:v>Le captif peut être transféré ; les militaires déplacent leurs barrages et les civils gagnent leurs refuges hors caméra</x:v>
      </x:c>
      <x:c r="I29" s="40" t="str">
        <x:v>Reprendre immédiatement le captif ou sécuriser d’abord le couloir de sortie</x:v>
      </x:c>
      <x:c r="J29" s="40" t="str">
        <x:v>Le transfert change de route, le terminal se ferme ou le trajet civil devient dangereux ; chaque conséquence est annoncée et persistante</x:v>
      </x:c>
      <x:c r="K29" s="40" t="str">
        <x:v>Captif non combattant extrait avec le joueur et objectif militaire résolu ; le bilan des civils est enregistré séparément du score de combat</x:v>
      </x:c>
      <x:c r="L29" s="40" t="str">
        <x:v>AFF-10 ; LD-21 ; EFF-12 ; campagne future originale, militaires hostiles par mandat explicite et civils neutres ; le captif ne rejoint pas automatiquement les 32 alliés combattants</x:v>
      </x:c>
      <x:c r="M29" s="40" t="str">
        <x:v>P2</x:v>
      </x:c>
    </x:row>
    <x:row r="30" ht="76.5" customHeight="1">
      <x:c r="A30" s="41" t="str">
        <x:v>FR-24</x:v>
      </x:c>
      <x:c r="B30" s="41" t="str">
        <x:v>Convergence sur une colonie : deux adversaires indépendants</x:v>
      </x:c>
      <x:c r="C30" s="41" t="str">
        <x:v>Sécuriser le quai contre la cellule Yautja rivale et garder un accès d’extraction</x:v>
      </x:c>
      <x:c r="D30" s="41" t="str">
        <x:v>Interrompre le transfert humain de l’équipement volé sans détruire la colonie habitée</x:v>
      </x:c>
      <x:c r="E30" s="41" t="str">
        <x:v>Couper le nœud radio qui coordonne les renforts humains</x:v>
      </x:c>
      <x:c r="F30" s="41" t="str">
        <x:v>Faire passer trois groupes de huit civils par le corridor civil protégé</x:v>
      </x:c>
      <x:c r="G30" s="41" t="str">
        <x:v>Sans objet : quatre fronts pour cette opération</x:v>
      </x:c>
      <x:c r="H30" s="41" t="str">
        <x:v>Le clan rival tente de saisir le même équipement ; les humains défendent le transfert et ouvrent le feu sur les deux clans selon leurs contacts. Chaque camp consomme sa propre réserve et peut se battre contre l’autre hors de la caméra.</x:v>
      </x:c>
      <x:c r="I30" s="41" t="str">
        <x:v>Accélérer la récupération, secourir le corridor civil ou négocier une neutralité temporaire avec une cellule rivale</x:v>
      </x:c>
      <x:c r="J30" s="41" t="str">
        <x:v>Un quai perdu ferme une sortie ; la radio intacte permet une réaffectation des unités humaines ; un corridor abandonné bloque une extraction civile, sans conversion des civils en ennemis.</x:v>
      </x:c>
      <x:c r="K30" s="41" t="str">
        <x:v>Équipement récupéré et joueur extrait par une route tenue. Douze à vingt-trois civils évacués donnent une victoire partielle, vingt-quatre le meilleur bilan ; moins de douze donnent un repli non victorieux et un échec du secours.</x:v>
      </x:c>
      <x:c r="L30" s="41" t="str">
        <x:v>Carte LD-11 ; EFF-13. Rivaux : 16 actifs +16 distants +16 réserve =48. Humains : 80 +176 +80 =336. Alliés : 12 +12 +8 =32. Groupes rivaux de 4 et humains de 8. Les 24 civils sont séparés, dont 8 actifs au plus. Cadre futur original, aucune scène officielle revendiquée.</x:v>
      </x:c>
      <x:c r="M30" s="41" t="str">
        <x:v>P1</x:v>
      </x:c>
    </x:row>
    <x:row r="31" ht="76.5" customHeight="1">
      <x:c r="A31" s="40" t="str">
        <x:v>FR-25</x:v>
      </x:c>
      <x:c r="B31" s="40" t="str">
        <x:v>Citadelle sous double pression : guerre de clans et raid humain</x:v>
      </x:c>
      <x:c r="C31" s="40" t="str">
        <x:v>Repousser le débarquement humain au port sans sacrifier la route des transports du clan</x:v>
      </x:c>
      <x:c r="D31" s="40" t="str">
        <x:v>Empêcher le clan rival de prendre les archives et les accès supérieurs</x:v>
      </x:c>
      <x:c r="E31" s="40" t="str">
        <x:v>Rétablir le relais qui permet des ordres cohérents et un cessez-le-feu local éventuel</x:v>
      </x:c>
      <x:c r="F31" s="40" t="str">
        <x:v>Évacuer douze membres non combattants du clan depuis les ateliers vers un abri</x:v>
      </x:c>
      <x:c r="G31" s="40" t="str">
        <x:v>Sans objet : quatre fronts pour cette opération</x:v>
      </x:c>
      <x:c r="H31" s="40" t="str">
        <x:v>Les humains poursuivent un objectif de récupération technologique et les rivaux un objectif territorial. La perte d’une route logistique modifie leurs possibilités de renfort. Un accord local suspend un engagement mais ne transforme pas toute une faction en alliée.</x:v>
      </x:c>
      <x:c r="I31" s="40" t="str">
        <x:v>Conserver tous les secteurs ou céder une zone pour isoler un adversaire et garantir l’évacuation</x:v>
      </x:c>
      <x:c r="J31" s="40" t="str">
        <x:v>Port perdu : réserve alliée retardée. Archives perdues : objectif de récupération déclenché. Relais perdu : ordres limités à portée locale. Ateliers abandonnés : évacuation interrompue et pertes persistantes.</x:v>
      </x:c>
      <x:c r="K31" s="40" t="str">
        <x:v>Abri et route de sortie conservés, relais repris et les deux objectifs ennemis empêchés ou récupérés. Une retraite du joueur avec les survivants constitue une issue distincte de victoire.</x:v>
      </x:c>
      <x:c r="L31" s="40" t="str">
        <x:v>Carte LD-12 ; EFF-13. Rivaux : 24 actifs +48 distants +24 réserve =96. Humains : 72 +144 +72 =288. Alliés : 12 +12 +8 =32. Douze non-combattants séparés, six actifs au plus. Incursion future et citadelle entièrement originales ; aucun rite ou conflit présenté comme fait canonique.</x:v>
      </x:c>
      <x:c r="M31" s="40" t="str">
        <x:v>P2</x:v>
      </x:c>
    </x:row>
    <x:row r="32" ht="63" customHeight="1">
      <x:c r="A32" s="71" t="str">
        <x:v>FR-26</x:v>
      </x:c>
      <x:c r="B32" s="71" t="str">
        <x:v>Sevastopol — ouvrir une issue sans réveiller toute la station</x:v>
      </x:c>
      <x:c r="C32" s="71" t="str">
        <x:v>Ouvrir le sas de sortie</x:v>
      </x:c>
      <x:c r="D32" s="71" t="str">
        <x:v>Isoler les commandes des Working Joes</x:v>
      </x:c>
      <x:c r="E32" s="71" t="str">
        <x:v>Conduire les rescapés par le transit</x:v>
      </x:c>
      <x:c r="F32" s="71" t="str">
        <x:v>Sans objet : trois fronts dans cette opération</x:v>
      </x:c>
      <x:c r="G32" s="71" t="str">
        <x:v>Sans objet</x:v>
      </x:c>
      <x:c r="H32" s="71" t="str">
        <x:v>Les Joes maintiennent leurs consignes tandis que les adultes se déplacent entre conduits ; une alarme influence les trajets sans recréer les unités.</x:v>
      </x:c>
      <x:c r="I32" s="71" t="str">
        <x:v>Couper le réseau ou accélérer les secours au prix d’une route plus exposée</x:v>
      </x:c>
      <x:c r="J32" s="71" t="str">
        <x:v>Réseau intact : route de maintenance surveillée. Sas perdu : détour plus long. Survivants bloqués : objectif de secours incomplet.</x:v>
      </x:c>
      <x:c r="K32" s="71" t="str">
        <x:v>Extraire le joueur, conserver un sas praticable et évacuer au moins 4 des 8 civils ; huit donnent le meilleur bilan.</x:v>
      </x:c>
      <x:c r="L32" s="71" t="str">
        <x:v>LD-22 ; EFF-15 ; 40 adversaires et 4 alliés PNJ alloués, joueur séparé. Interdire les armes de Marines aux Joes ; huit adultes au total constituent cette variante originale, sans nombre canonique revendiqué.</x:v>
      </x:c>
      <x:c r="M32" s="71" t="str">
        <x:v>P1</x:v>
      </x:c>
    </x:row>
    <x:row r="33" ht="63" customHeight="1">
      <x:c r="A33" s="70" t="str">
        <x:v>FR-27</x:v>
      </x:c>
      <x:c r="B33" s="70" t="str">
        <x:v>Lethe — briser la pression sur le corridor d’évacuation</x:v>
      </x:c>
      <x:c r="C33" s="70" t="str">
        <x:v>Maintenir le corridor civil</x:v>
      </x:c>
      <x:c r="D33" s="70" t="str">
        <x:v>Couper deux voies de réserve de la ruche</x:v>
      </x:c>
      <x:c r="E33" s="70" t="str">
        <x:v>Dégager le passage protégé par le Praetorian</x:v>
      </x:c>
      <x:c r="F33" s="70" t="str">
        <x:v>Sans objet : trois fronts dans cette opération</x:v>
      </x:c>
      <x:c r="G33" s="70" t="str">
        <x:v>Sans objet</x:v>
      </x:c>
      <x:c r="H33" s="70" t="str">
        <x:v>La ruche réaffecte les adultes aux voies encore ouvertes ; les alliés tiennent ou abandonnent un poste selon leur force restante.</x:v>
      </x:c>
      <x:c r="I33" s="70" t="str">
        <x:v>Réduire les renforts ou dégager immédiatement les civils</x:v>
      </x:c>
      <x:c r="J33" s="70" t="str">
        <x:v>Une voie non coupée augmente la pression via des unités déjà en réserve ; le corridor peut tomber hors caméra, déplaçant l’extraction.</x:v>
      </x:c>
      <x:c r="K33" s="70" t="str">
        <x:v>Fermer les deux voies, ouvrir le passage et extraire 16 des 24 civils ;24 donnent le meilleur bilan.</x:v>
      </x:c>
      <x:c r="L33" s="70" t="str">
        <x:v>LD-23 ; EFF-03 ; 1000 adversaires et 48 alliés PNJ alloués, joueur séparé. Population de guerre originale. Sélectionner GRP-62 et les paramètres Dark Descent ; documenter leurs attaques avant reconstitution.</x:v>
      </x:c>
      <x:c r="M33" s="70" t="str">
        <x:v>P1</x:v>
      </x:c>
    </x:row>
    <x:row r="34" ht="63" customHeight="1">
      <x:c r="A34" s="71" t="str">
        <x:v>FR-28</x:v>
      </x:c>
      <x:c r="B34" s="71" t="str">
        <x:v>Freya Prospect — trois armées pour un même complexe</x:v>
      </x:c>
      <x:c r="C34" s="71" t="str">
        <x:v>Tenir l’extraction du clan</x:v>
      </x:c>
      <x:c r="D34" s="71" t="str">
        <x:v>Interrompre le transfert humain</x:v>
      </x:c>
      <x:c r="E34" s="71" t="str">
        <x:v>Fermer la voie d’invasion de la ruche</x:v>
      </x:c>
      <x:c r="F34" s="71" t="str">
        <x:v>Protéger le relais et la route de repli</x:v>
      </x:c>
      <x:c r="G34" s="71" t="str">
        <x:v>Sans objet</x:v>
      </x:c>
      <x:c r="H34" s="71" t="str">
        <x:v>La sécurité protège son transfert, la ruche ouvre des accès, le clan récupère son objectif ; humains et Xénomorphes peuvent faire basculer un secteur sans le joueur.</x:v>
      </x:c>
      <x:c r="I34" s="71" t="str">
        <x:v>Saboter le transfert ou fermer d’abord la route de ruche</x:v>
      </x:c>
      <x:c r="J34" s="71" t="str">
        <x:v>Le camp qui garde son axe engage une réserve finie ; un transfert quitté réellement sort du théâtre, un tunnel fermé impose un détour.</x:v>
      </x:c>
      <x:c r="K34" s="71" t="str">
        <x:v>Récupérer l’objectif, tenir une route d’extraction et empêcher la sortie du convoi adverse.</x:v>
      </x:c>
      <x:c r="L34" s="71" t="str">
        <x:v>LD-24 ; EFF-14 ; 928 adversaires et 24 alliés PNJ alloués, joueur séparé. Deux camps adverses séparés, aucune alliance automatique. Pas de variantes Pathogen ni de classes Fireteam.</x:v>
      </x:c>
      <x:c r="M34" s="71" t="str">
        <x:v>P1</x:v>
      </x:c>
    </x:row>
    <x:row r="35" ht="63" customHeight="1">
      <x:c r="A35" s="70" t="str">
        <x:v>FR-29</x:v>
      </x:c>
      <x:c r="B35" s="70" t="str">
        <x:v>LV-895 — prendre le relais entre ruines et complexe</x:v>
      </x:c>
      <x:c r="C35" s="70" t="str">
        <x:v>Prendre le relais et identifier le module de données</x:v>
      </x:c>
      <x:c r="D35" s="70" t="str">
        <x:v>Intercepter le transfert de ce même module</x:v>
      </x:c>
      <x:c r="E35" s="70" t="str">
        <x:v>Déloger le Spitter qui ferme la passe</x:v>
      </x:c>
      <x:c r="F35" s="70" t="str">
        <x:v>Garder l’itinéraire d’extraction</x:v>
      </x:c>
      <x:c r="G35" s="70" t="str">
        <x:v>Sans objet</x:v>
      </x:c>
      <x:c r="H35" s="70" t="str">
        <x:v>Les synthétiques défendent le transfert et les Xénomorphes progressent par leurs galeries ; leur combat indépendant peut couper la route choisie par le joueur.</x:v>
      </x:c>
      <x:c r="I35" s="70" t="str">
        <x:v>Prendre le relais pour désorganiser la défense ou sauver l’extraction menacée</x:v>
      </x:c>
      <x:c r="J35" s="70" t="str">
        <x:v>Relais perdu : coordination locale seulement et module déplacé sur le convoi. Passe libérée : route de secours ouverte. Convoi quittant réellement le théâtre avec le module : échec de récupération.</x:v>
      </x:c>
      <x:c r="K35" s="70" t="str">
        <x:v>Récupérer le même module de données au relais ou sur le convoi intercepté, puis extraire le joueur et le module par une route tenue.</x:v>
      </x:c>
      <x:c r="L35" s="70" t="str">
        <x:v>LD-25 ; EFF-14 ; 928 adversaires et 24 alliés PNJ alloués, joueur séparé. Preset standard : Pathogen Runner/Blight/Brute/Queen désactivés. Un scénario Pathogen exige une variante explicite et un foyer distinct.</x:v>
      </x:c>
      <x:c r="M35" s="70" t="str">
        <x:v>P1</x:v>
      </x:c>
    </x:row>
    <x:row r="36" ht="63" customHeight="1">
      <x:c r="A36" s="71" t="str">
        <x:v>FR-30</x:v>
      </x:c>
      <x:c r="B36" s="71" t="str">
        <x:v>Prodigy City — récupérer, contenir et évacuer</x:v>
      </x:c>
      <x:c r="C36" s="71" t="str">
        <x:v>Sécuriser la route civile</x:v>
      </x:c>
      <x:c r="D36" s="71" t="str">
        <x:v>Isoler un secteur de l’épave</x:v>
      </x:c>
      <x:c r="E36" s="71" t="str">
        <x:v>Intercepter les données convoitées</x:v>
      </x:c>
      <x:c r="F36" s="71" t="str">
        <x:v>Préserver le départ du clan</x:v>
      </x:c>
      <x:c r="G36" s="71" t="str">
        <x:v>Sans objet</x:v>
      </x:c>
      <x:c r="H36" s="71" t="str">
        <x:v>Prodigy poursuit ses opérations de récupération pendant que les adultes déplacent leur pression et que les secours suivent une route réelle.</x:v>
      </x:c>
      <x:c r="I36" s="71" t="str">
        <x:v>Saisir les données ou ouvrir d’abord la route des civils</x:v>
      </x:c>
      <x:c r="J36" s="71" t="str">
        <x:v>Cordon perdu : le convoi change de route. Epave laissée ouverte : les réserves présentes se déplacent vers la ville. Secours retardé : bilan civil dégradé.</x:v>
      </x:c>
      <x:c r="K36" s="71" t="str">
        <x:v>Fermer le secteur dangereux, extraire les données et sauver au moins 24 des 40 civils ;40 donnent le meilleur bilan.</x:v>
      </x:c>
      <x:c r="L36" s="71" t="str">
        <x:v>LD-26 ; EFF-14 ; 928 adversaires et 24 alliés PNJ alloués, joueur séparé. Ne pas inclure les autres espèces du Maginot dans le quota Xénomorphe. Aucun clone de Wendy ni arsenal USCM ajouté.</x:v>
      </x:c>
      <x:c r="M36" s="71" t="str">
        <x:v>P2</x:v>
      </x:c>
    </x:row>
    <x:row r="37" ht="63" customHeight="1">
      <x:c r="A37" s="70" t="str">
        <x:v>FR-31</x:v>
      </x:c>
      <x:c r="B37" s="70" t="str">
        <x:v>Tobler-9 — garder le refuge ouvert</x:v>
      </x:c>
      <x:c r="C37" s="70" t="str">
        <x:v>Tenir le passage du refuge</x:v>
      </x:c>
      <x:c r="D37" s="70" t="str">
        <x:v>Relancer l’accès technique</x:v>
      </x:c>
      <x:c r="E37" s="70" t="str">
        <x:v>Couper la voie d’arrivée vers l’extraction</x:v>
      </x:c>
      <x:c r="F37" s="70" t="str">
        <x:v>Sans objet : trois fronts dans cette opération</x:v>
      </x:c>
      <x:c r="G37" s="70" t="str">
        <x:v>Sans objet</x:v>
      </x:c>
      <x:c r="H37" s="70" t="str">
        <x:v>Les rescapés avancent seulement par un chemin sûr ; la ruche réalloue ses forces vers les passages restés ouverts.</x:v>
      </x:c>
      <x:c r="I37" s="70" t="str">
        <x:v>Raccourci dangereux ou remise en route du trajet de secours</x:v>
      </x:c>
      <x:c r="J37" s="70" t="str">
        <x:v>Accès technique rétabli : raccourci utilisable par toutes les factions compatibles. Refuge perdu : extraction déplacée et ressources limitées.</x:v>
      </x:c>
      <x:c r="K37" s="70" t="str">
        <x:v>Maintenir un abri, fermer une voie de ruche et évacuer au moins 16 des 24 civils.</x:v>
      </x:c>
      <x:c r="L37" s="70" t="str">
        <x:v>LD-27 ; EFF-03 ; 1000 adversaires et 48 alliés PNJ alloués, joueur séparé. Pas d’ICARUS ou de variante non documentée dans le spawn ; le pacte ne convertit pas les civils en troupes.</x:v>
      </x:c>
      <x:c r="M37" s="70" t="str">
        <x:v>P1</x:v>
      </x:c>
    </x:row>
    <x:row r="38" ht="63" customHeight="1">
      <x:c r="A38" s="71" t="str">
        <x:v>FR-32</x:v>
      </x:c>
      <x:c r="B38" s="71" t="str">
        <x:v>Epsilon — ouvrir le quai avant le transfert</x:v>
      </x:c>
      <x:c r="C38" s="71" t="str">
        <x:v>Empêcher la sortie du transfert</x:v>
      </x:c>
      <x:c r="D38" s="71" t="str">
        <x:v>Rouvrir le sas de secours</x:v>
      </x:c>
      <x:c r="E38" s="71" t="str">
        <x:v>Tenir le quai d’extraction</x:v>
      </x:c>
      <x:c r="F38" s="71" t="str">
        <x:v>Sans objet : trois fronts dans cette opération</x:v>
      </x:c>
      <x:c r="G38" s="71" t="str">
        <x:v>Sans objet</x:v>
      </x:c>
      <x:c r="H38" s="71" t="str">
        <x:v>La sécurité arme un départ, les adultes utilisent les accès techniques et les alliés doivent garder une voie de repli réelle.</x:v>
      </x:c>
      <x:c r="I38" s="71" t="str">
        <x:v>Détour technique ou interception directe sous le feu</x:v>
      </x:c>
      <x:c r="J38" s="71" t="str">
        <x:v>Transfert laissé seul : départ possible. Sas bloqué : civils retardés. Quai perdu : seconde sortie à rouvrir.</x:v>
      </x:c>
      <x:c r="K38" s="71" t="str">
        <x:v>Récupérer l’objectif et extraire le joueur avec au moins 4 des 8 rescapés.</x:v>
      </x:c>
      <x:c r="L38" s="71" t="str">
        <x:v>LD-28 ; EFF-15 ; 40 adversaires et 4 alliés PNJ alloués, joueur séparé. Contrairement au preset Sevastopol, la force humaine est ici une garde originale armée et ses relations avec les adultes sont hostiles.</x:v>
      </x:c>
      <x:c r="M38" s="71" t="str">
        <x:v>P1</x:v>
      </x:c>
    </x:row>
    <x:row r="39" ht="63" customHeight="1">
      <x:c r="A39" s="70" t="str">
        <x:v>FR-33</x:v>
      </x:c>
      <x:c r="B39" s="70" t="str">
        <x:v>Neonopolis : interrompre le circuit du matériel dérobé</x:v>
      </x:c>
      <x:c r="C39" s="70" t="str">
        <x:v>Prendre le dépôt et sécuriser le module avant son départ.</x:v>
      </x:c>
      <x:c r="D39" s="70" t="str">
        <x:v>Copier les registres de transfert et couper le suivi du fret.</x:v>
      </x:c>
      <x:c r="E39" s="70" t="str">
        <x:v>Bloquer la route du convoi sans bloquer l’évacuation civile.</x:v>
      </x:c>
      <x:c r="F39" s="70" t="str">
        <x:v>Contrôler la sous-station et garantir une voie d’extraction.</x:v>
      </x:c>
      <x:c r="G39" s="70" t="str">
        <x:v>Sans objet</x:v>
      </x:c>
      <x:c r="H39" s="70" t="str">
        <x:v>Voss organise le transfert, les gardes réparant un accès peuvent rouvrir une route et les ouvriers rejoignent leurs refuges sans attendre la caméra.</x:v>
      </x:c>
      <x:c r="I39" s="70" t="str">
        <x:v>Prendre le dépôt immédiatement ou réduire d’abord les moyens de poursuite ; affecter un groupe au convoi pendant la copie des données.</x:v>
      </x:c>
      <x:c r="J39" s="70" t="str">
        <x:v>B perdu : convoi redirigé et gardes avertis. C libre : module en mouvement. D pris : certaines portes/tourelles changent d’état mais la réserve humaine demeure physique.</x:v>
      </x:c>
      <x:c r="K39" s="70" t="str">
        <x:v>Module et registres récupérés, sortie praticable et joueur extrait ; bilan civil compté séparément.</x:v>
      </x:c>
      <x:c r="L39" s="70" t="str">
        <x:v>LD-29 ; EFF-12 ; 128/384/256 ennemis humains et 12/12/8 alliés Yautja, plus 1 joueur. Quatre fronts. 48 civils hors combat, 16 actifs au plus. Guerre d’ampleur originale, pas effectif du jeu.</x:v>
      </x:c>
      <x:c r="M39" s="70" t="str">
        <x:v>P1</x:v>
      </x:c>
    </x:row>
    <x:row r="40" ht="49.5" customHeight="1">
      <x:c r="A40" s="71" t="str">
        <x:v>FR-34</x:v>
      </x:c>
      <x:c r="B40" s="71" t="str">
        <x:v>Genna : reprendre une balise avant son transport</x:v>
      </x:c>
      <x:c r="C40" s="71" t="str">
        <x:v>Sécuriser une approche haute ou basse et empêcher le rabattement du clan rival.</x:v>
      </x:c>
      <x:c r="D40" s="71" t="str">
        <x:v>Atteindre la balise et interrompre l’ordre de transfert de Vorrek.</x:v>
      </x:c>
      <x:c r="E40" s="71" t="str">
        <x:v>Conserver le camp de départ et une route physique pour le module.</x:v>
      </x:c>
      <x:c r="F40" s="71" t="str">
        <x:v>Sans objet : trois fronts pour cette opération</x:v>
      </x:c>
      <x:c r="G40" s="71" t="str">
        <x:v>Sans objet</x:v>
      </x:c>
      <x:c r="H40" s="71" t="str">
        <x:v>Les éclaireurs rivaux observent réellement les voies ; B prépare un transfert vers C et chaque groupe ne change de tâche qu’après ordre reçu.</x:v>
      </x:c>
      <x:c r="I40" s="71" t="str">
        <x:v>Assaut direct du plateau ou interception du transfert ; céder un passage peut protéger le départ.</x:v>
      </x:c>
      <x:c r="J40" s="71" t="str">
        <x:v>A abandonné : interception ennemie mieux informée. B perdu : balise part vers C. C perdu : nécessité de reprendre le camp avant de sortir.</x:v>
      </x:c>
      <x:c r="K40" s="71" t="str">
        <x:v>Balise récupérée et joueur extrait ; aucun objectif de tuer tous les rivaux.</x:v>
      </x:c>
      <x:c r="L40" s="71" t="str">
        <x:v>LD-30 ; EFF-09 ; ennemis Y 16/32/16 et alliés Y 8/8/4, plus 1 joueur ; trois fronts. Aucun combattant de faune ni personnage nommé du film dans ce preset.</x:v>
      </x:c>
      <x:c r="M40" s="71" t="str">
        <x:v>P2</x:v>
      </x:c>
    </x:row>
    <x:row r="41" ht="63" customHeight="1">
      <x:c r="A41" s="70" t="str">
        <x:v>FR-35</x:v>
      </x:c>
      <x:c r="B41" s="70" t="str">
        <x:v>Réserve alternative : ouvrir le corridor des captifs</x:v>
      </x:c>
      <x:c r="C41" s="70" t="str">
        <x:v>Libérer et mettre à couvert deux groupes de huit captifs.</x:v>
      </x:c>
      <x:c r="D41" s="70" t="str">
        <x:v>Protéger le troisième groupe de huit et la route vers l’abri.</x:v>
      </x:c>
      <x:c r="E41" s="70" t="str">
        <x:v>Couper le verrouillage de Narek puis sécuriser le départ.</x:v>
      </x:c>
      <x:c r="F41" s="70" t="str">
        <x:v>Sans objet : trois fronts pour cette opération</x:v>
      </x:c>
      <x:c r="G41" s="70" t="str">
        <x:v>Sans objet</x:v>
      </x:c>
      <x:c r="H41" s="70" t="str">
        <x:v>Les gardes exécutent un transfert annoncé si le chemin existe ; les captifs suivent une escorte vers un abri, même loin du joueur ; les défenseurs occupent les passages encore utiles.</x:v>
      </x:c>
      <x:c r="I41" s="70" t="str">
        <x:v>Secourir les captifs les plus exposés ou prendre la commande avant leur transfert ; répartir les escortes sans vider l’extraction.</x:v>
      </x:c>
      <x:c r="J41" s="70" t="str">
        <x:v>A perdu : captifs déplacés, pas supprimés. B perdu : route de secours coupée. C intact : nouveaux ordres de verrouillage ou transfert limités aux groupes disponibles.</x:v>
      </x:c>
      <x:c r="K41" s="70" t="str">
        <x:v>Au moins 16 captifs sur 24 et joueur extraits : victoire de secours ; 24 : meilleur bilan ; moins de 16 : repli non victorieux.</x:v>
      </x:c>
      <x:c r="L41" s="70" t="str">
        <x:v>LD-31 ; EFF-09 ; 64 Yautja rivaux et 20 alliés PNJ alloués, plus 1 joueur. 24 humains captifs neutres, au plus 8 actifs, exclus du quota combattants. Gardien et bataille originaux.</x:v>
      </x:c>
      <x:c r="M41" s="70" t="str">
        <x:v>P2</x:v>
      </x:c>
    </x:row>
    <x:row r="42" ht="76.5" customHeight="1">
      <x:c r="A42" s="71" t="str">
        <x:v>FR-36</x:v>
      </x:c>
      <x:c r="B42" s="71" t="str">
        <x:v>Toundra : récupération sous surveillance de Theta</x:v>
      </x:c>
      <x:c r="C42" s="71" t="str">
        <x:v>Retrouver une balise Yautja ajoutée près de l’épave, sans présumer que Theta consent à cette approche.</x:v>
      </x:c>
      <x:c r="D42" s="71" t="str">
        <x:v>Reconnaître la route d’abri et déjouer les deux gardes actifs pendant la progression autonome de Theta.</x:v>
      </x:c>
      <x:c r="E42" s="71" t="str">
        <x:v>Établir une liaison d’identification avec l’avant-poste pour sortir ou négocier.</x:v>
      </x:c>
      <x:c r="F42" s="71" t="str">
        <x:v>Sans objet : trois fronts pour cette opération</x:v>
      </x:c>
      <x:c r="G42" s="71" t="str">
        <x:v>Sans objet</x:v>
      </x:c>
      <x:c r="H42" s="71" t="str">
        <x:v>Theta avance vers l’avant-poste à sa propre initiative ; les gardes réagissent aux contacts transmis et les alliés explorent C sans suivre automatiquement le joueur.</x:v>
      </x:c>
      <x:c r="I42" s="71" t="str">
        <x:v>Récupération discrète, fuite sous poursuite ou trêve locale ; aider Theta coûte du temps mais peut désamorcer l’affrontement.</x:v>
      </x:c>
      <x:c r="J42" s="71" t="str">
        <x:v>A tardif : Theta change de secteur. B non reconnu : retour plus long. C hostile : sortie surveillée ; identification valide ouvre seulement une trêve locale.</x:v>
      </x:c>
      <x:c r="K42" s="71" t="str">
        <x:v>Balise récupérée, joueur extrait et statut de Theta enregistré ; aucune mise à mort de Theta exigée.</x:v>
      </x:c>
      <x:c r="L42" s="71" t="str">
        <x:v>LD-32 ; EFF-17 créé par root : 4 ennemis actifs +4 distants, 0 réserve ; 2 alliés actifs +2 distants, 0 réserve ; 1 joueur ; 3 fronts. Ennemis initiaux = Theta unique +7 gardes originaux. Quatre civils hors combat, deux actifs au plus.</x:v>
      </x:c>
      <x:c r="M42" s="71" t="str">
        <x:v>P2</x:v>
      </x:c>
    </x:row>
    <x:row r="43" ht="63" customHeight="1">
      <x:c r="A43" s="70" t="str">
        <x:v>FR-37</x:v>
      </x:c>
      <x:c r="B43" s="70" t="str">
        <x:v>Lune des Spinners — secourir l’habitat</x:v>
      </x:c>
      <x:c r="C43" s="70" t="str">
        <x:v>Protéger les habitants</x:v>
      </x:c>
      <x:c r="D43" s="70" t="str">
        <x:v>Rétablir la route du chantier</x:v>
      </x:c>
      <x:c r="E43" s="70" t="str">
        <x:v>Couper l’accès de ruche à l’embarquement</x:v>
      </x:c>
      <x:c r="F43" s="70" t="str">
        <x:v>Sans objet : trois fronts dans cette opération</x:v>
      </x:c>
      <x:c r="G43" s="70" t="str">
        <x:v>Sans objet</x:v>
      </x:c>
      <x:c r="H43" s="70" t="str">
        <x:v>Le convoi civil garde son trajet et son horaire ; les alliés tiennent les voies que le joueur leur a confiées.</x:v>
      </x:c>
      <x:c r="I43" s="70" t="str">
        <x:v>Rétablir le passage industriel ou protéger immédiatement le convoi</x:v>
      </x:c>
      <x:c r="J43" s="70" t="str">
        <x:v>Chantier fermé : secours plus lent. Passage de ruche ouvert : pression déplacée vers l’embarquement. Habitants laissés seuls : pertes persistantes.</x:v>
      </x:c>
      <x:c r="K43" s="70" t="str">
        <x:v>Evacuer 24 des 36 civils et extraire le joueur ;36 donnent le meilleur bilan.</x:v>
      </x:c>
      <x:c r="L43" s="70" t="str">
        <x:v>LD-33 ; EFF-03 ; 1000 adversaires et 48 alliés PNJ alloués, joueur séparé. Aucun arsenal de Marines attribué aux habitants. La colonie ajoutée doit montrer habitat et ressources capables d’expliquer les routes.</x:v>
      </x:c>
      <x:c r="M43" s="70" t="str">
        <x:v>P2</x:v>
      </x:c>
    </x:row>
    <x:row r="44" ht="63" customHeight="1">
      <x:c r="A44" s="71" t="str">
        <x:v>FR-38</x:v>
      </x:c>
      <x:c r="B44" s="71" t="str">
        <x:v>Lethe — variante Colonial Marines contre la ruche</x:v>
      </x:c>
      <x:c r="C44" s="71" t="str">
        <x:v>Ouvrir la route de retour</x:v>
      </x:c>
      <x:c r="D44" s="71" t="str">
        <x:v>Protéger le relais</x:v>
      </x:c>
      <x:c r="E44" s="71" t="str">
        <x:v>Dégager le passage de ruche</x:v>
      </x:c>
      <x:c r="F44" s="71" t="str">
        <x:v>Sans objet : trois fronts dans cette opération</x:v>
      </x:c>
      <x:c r="G44" s="71" t="str">
        <x:v>Sans objet</x:v>
      </x:c>
      <x:c r="H44" s="71" t="str">
        <x:v>Chaque section agit sous ses ordres avec munitions et blessés suivis ; le front éloigné évolue même sans caméra.</x:v>
      </x:c>
      <x:c r="I44" s="71" t="str">
        <x:v>Conserver les forces ou risquer une percée pour accélérer les secours</x:v>
      </x:c>
      <x:c r="J44" s="71" t="str">
        <x:v>Relais perdu : ordres limités localement. Section abandonnée : repli ou pertes, pas téléportation vers le joueur.</x:v>
      </x:c>
      <x:c r="K44" s="71" t="str">
        <x:v>Rétablir la route, tenir le relais et extraire au moins 8 alliés PNJ survivants.</x:v>
      </x:c>
      <x:c r="L44" s="71" t="str">
        <x:v>LD-23 ; EFF-16 ; 576 adversaires et 32 alliés PNJ alloués, joueur séparé. Contrôleur humain, caméra et arsenal jouables à ajouter avant recette ; ne pas présenter ce mode comme déjà compatible.</x:v>
      </x:c>
      <x:c r="M44" s="71" t="str">
        <x:v>P2</x:v>
      </x:c>
    </x:row>
    <x:row r="45" ht="49.5" customHeight="1">
      <x:c r="A45" s="70" t="str">
        <x:v>FR-39</x:v>
      </x:c>
      <x:c r="B45" s="70" t="str">
        <x:v>Tobler-9 — variante défense des survivants</x:v>
      </x:c>
      <x:c r="C45" s="70" t="str">
        <x:v>Tenir le refuge</x:v>
      </x:c>
      <x:c r="D45" s="70" t="str">
        <x:v>Rétablir la voie technique</x:v>
      </x:c>
      <x:c r="E45" s="70" t="str">
        <x:v>Repousser la pression sur l’extraction</x:v>
      </x:c>
      <x:c r="F45" s="70" t="str">
        <x:v>Sans objet : trois fronts dans cette opération</x:v>
      </x:c>
      <x:c r="G45" s="70" t="str">
        <x:v>Sans objet</x:v>
      </x:c>
      <x:c r="H45" s="70" t="str">
        <x:v>Les équipes conservent leur position et les conditions du pacte ; l’arrivée d’une aide ne duplique pas les réserves.</x:v>
      </x:c>
      <x:c r="I45" s="70" t="str">
        <x:v>Soutenir le refuge ou ouvrir un trajet de fuite plus court</x:v>
      </x:c>
      <x:c r="J45" s="70" t="str">
        <x:v>Refuge compromis : regroupement vers un abri réellement existant. Pacte rompu : accès négocié fermé, sans apparition magique d’ennemis.</x:v>
      </x:c>
      <x:c r="K45" s="70" t="str">
        <x:v>Maintenir un refuge accessible, ouvrir l’extraction et sauver 16 des 24 civils.</x:v>
      </x:c>
      <x:c r="L45" s="70" t="str">
        <x:v>LD-27 ; EFF-16 ; 576 adversaires et 32 alliés PNJ alloués, joueur séparé. Joueur humain à développer ; profil Xénomorphe local XEN-035, pas mutations de Fireteam.</x:v>
      </x:c>
      <x:c r="M45" s="70" t="str">
        <x:v>P2</x:v>
      </x:c>
    </x:row>
    <x:row r="46" ht="198" customHeight="1">
      <x:c r="A46" s="71" t="str">
        <x:v>FR-40</x:v>
      </x:c>
      <x:c r="B46" s="71" t="str">
        <x:v>LV-742 — couper les renforts pendant que trois camps se disputent la vallée</x:v>
      </x:c>
      <x:c r="C46" s="71" t="str">
        <x:v>A — Atmos et zone d’atterrissage : les Marines réparent leurs installations et cherchent à sécuriser les accès ; le joueur coupe leur liaison sans transformer tous les humains en alliés.</x:v>
      </x:c>
      <x:c r="D46" s="71" t="str">
        <x:v>B — Col des convois : Xénomorphes, Marines et petites équipes Yautja se disputent les routes. Tenir un passage détourne effectivement les renforts vers une route plus longue.</x:v>
      </x:c>
      <x:c r="E46" s="71" t="str">
        <x:v>C — Ruche des failles : les groupes de garde couvrent les nurseries ; neutraliser les conduits puis la reine limite la disponibilité des réserves biologiques.</x:v>
      </x:c>
      <x:c r="F46" s="71" t="str">
        <x:v>D — Sanctuaire et extraction : préserver le point de repli du clan, faire parvenir les équipes restantes et protéger la récupération de données prises aux deux adversaires.</x:v>
      </x:c>
      <x:c r="G46" s="71" t="str">
        <x:v>Sans objet : exactement quatre fronts dans EFF-14.</x:v>
      </x:c>
      <x:c r="H46" s="71" t="str">
        <x:v>A finance et appelle des renforts humains bornés ; B change leurs temps de trajet ; C alimente les attaques de ruche ; D permet les rotations Yautja et la sortie. Chaque camp cible selon objectif, menace, visibilité et relation, pas selon une priorité globale contre le seul joueur.</x:v>
      </x:c>
      <x:c r="I46" s="71" t="str">
        <x:v>Saboter A pour réduire les renforts humains, sécuriser B pour accéder rapidement à C, ou sauver D avant qu’une rupture de liaison n’isole les alliés. Un contact humain peut accepter un retrait local, sans alliance générale imposée.</x:v>
      </x:c>
      <x:c r="J46" s="71" t="str">
        <x:v>A perdu : balise active et réserve humaine disponible. B perdu : deux fronts subissent un délai de renfort accru. C intact : les conduits gardent leurs réserves. D compromis : extraction déplacée vers un repli annoncé et plus lent. La mort de la reine n’efface pas les adultes déjà engagés.</x:v>
      </x:c>
      <x:c r="K46" s="71" t="str">
        <x:v>Neutraliser ou faire retirer le détachement de commandement humain de A, couper les conduits désignés et la reine de C, puis extraire le joueur et les survivants via D ou son repli. Le contrôle de B facilite la victoire sans être un objectif de couleur permanent obligatoire.</x:v>
      </x:c>
      <x:c r="L46" s="71" t="str">
        <x:v>Carte LD-34 ; EFF-14 : Xénomorphes 96 actifs + 384 distants + 256 réserve = 736 ; camp humain 32 + 96 + 64 = 192 ; alliés Yautja 8 + 8 + 8 = 24 ; un joueur. Quatre fronts se partagent ces quantités. Un boss-reine unique est inclus. Les matériels possèdent des limites distinctes. Tous ces nombres sont des cibles de conception à profiler.
Carte : LD-34
Gabarit : EFF-14
Fronts simultanés prévus : 4
X-S01 — Aliens versus Predator: Extinction — manuel officiel PS2
https://gamingalexandria.com/ps2/Aliens%20Versus%20Predator%20Extinction/Aliens%20Versus%20Predator%20Extinction%20-%20Manual.pdf</x:v>
      </x:c>
      <x:c r="M46" s="71" t="str">
        <x:v>P1</x:v>
      </x:c>
    </x:row>
  </x:sheetData>
  <x:conditionalFormatting sqref="M7:M19">
    <x:cfRule type="cellIs" dxfId="10" priority="1" operator="equal">
      <x:formula>"P0"</x:formula>
    </x:cfRule>
    <x:cfRule type="cellIs" dxfId="11" priority="2" operator="equal">
      <x:formula>"P1"</x:formula>
    </x:cfRule>
    <x:cfRule type="cellIs" dxfId="12" priority="3" operator="equal">
      <x:formula>"P2"</x:formula>
    </x:cfRule>
  </x:conditionalFormatting>
  <x:conditionalFormatting sqref="M20:M31">
    <x:cfRule type="cellIs" dxfId="28" priority="4" operator="equal">
      <x:formula>"P0"</x:formula>
    </x:cfRule>
    <x:cfRule type="cellIs" dxfId="29" priority="5" operator="equal">
      <x:formula>"P1"</x:formula>
    </x:cfRule>
    <x:cfRule type="cellIs" dxfId="30" priority="6" operator="equal">
      <x:formula>"P2"</x:formula>
    </x:cfRule>
  </x:conditionalFormatting>
  <x:conditionalFormatting sqref="M32:M46">
    <x:cfRule type="cellIs" dxfId="58" priority="7" operator="equal">
      <x:formula>"P0"</x:formula>
    </x:cfRule>
    <x:cfRule type="cellIs" dxfId="59" priority="8" operator="equal">
      <x:formula>"P1"</x:formula>
    </x:cfRule>
    <x:cfRule type="cellIs" dxfId="60" priority="9" operator="equal">
      <x:formula>"P2"</x:formula>
    </x:cfRule>
  </x:conditionalFormatting>
  <x:dataValidations count="3">
    <x:dataValidation type="list" sqref="M7:M19">
      <x:formula1>"P0,P1,P2,P3"</x:formula1>
    </x:dataValidation>
    <x:dataValidation type="list" sqref="M20:M31">
      <x:formula1>"P0,P1,P2,P3"</x:formula1>
    </x:dataValidation>
    <x:dataValidation type="list" sqref="M32:M46">
      <x:formula1>"P0,P1,P2,P3"</x:formula1>
    </x:dataValidation>
  </x:dataValidations>
  <x:pageMargins left="0.7" right="0.7" top="0.75" bottom="0.75" header="0.3" footer="0.3"/>
  <x:tableParts count="1">
    <x:tablePart xmlns:r="http://schemas.openxmlformats.org/officeDocument/2006/relationships" r:id="R34faf984f94c481e"/>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45" hidden="0" customWidth="1"/>
    <x:col min="4" max="4" width="59" hidden="0" customWidth="1"/>
    <x:col min="5" max="5" width="16" hidden="0" customWidth="1"/>
    <x:col min="6" max="6" width="16" hidden="0" customWidth="1"/>
    <x:col min="7" max="7" width="16" hidden="0" customWidth="1"/>
    <x:col min="8" max="8" width="16" hidden="0" customWidth="1"/>
    <x:col min="9" max="9" width="62" hidden="0" customWidth="1"/>
    <x:col min="10" max="10" width="70" hidden="0" customWidth="1"/>
    <x:col min="11" max="11" width="61" hidden="0" customWidth="1"/>
    <x:col min="12" max="12" width="65" hidden="0" customWidth="1"/>
    <x:col min="13" max="13" width="69" hidden="0" customWidth="1"/>
    <x:col min="14" max="14" width="65" hidden="0" customWidth="1"/>
    <x:col min="15" max="15" width="65" hidden="0" customWidth="1"/>
    <x:col min="16" max="16" width="68" hidden="0" customWidth="1"/>
    <x:col min="17" max="17" width="10" hidden="0" customWidth="1"/>
  </x:cols>
  <x:sheetData>
    <x:row r="1" ht="12" customHeight="1">
      <x:c r="A1" s="3"/>
      <x:c r="B1" s="3"/>
      <x:c r="C1" s="3"/>
      <x:c r="D1" s="3"/>
      <x:c r="E1" s="3"/>
      <x:c r="F1" s="3"/>
      <x:c r="G1" s="3"/>
      <x:c r="H1" s="3"/>
      <x:c r="I1" s="3"/>
      <x:c r="J1" s="3"/>
      <x:c r="K1" s="3"/>
      <x:c r="L1" s="3"/>
      <x:c r="M1" s="3"/>
      <x:c r="N1" s="3"/>
      <x:c r="O1" s="3"/>
      <x:c r="P1" s="3"/>
      <x:c r="Q1" s="3"/>
    </x:row>
    <x:row r="2" ht="29" customHeight="1">
      <x:c r="A2" s="4" t="str">
        <x:v>Grandes cartes et zones variables</x:v>
      </x:c>
      <x:c r="B2" s="3"/>
      <x:c r="C2" s="3"/>
      <x:c r="D2" s="3"/>
      <x:c r="E2" s="3"/>
      <x:c r="F2" s="3"/>
      <x:c r="G2" s="3"/>
      <x:c r="H2" s="3"/>
      <x:c r="I2" s="3"/>
      <x:c r="J2" s="3"/>
      <x:c r="K2" s="3"/>
      <x:c r="L2" s="3"/>
      <x:c r="M2" s="3"/>
      <x:c r="N2" s="3"/>
      <x:c r="O2" s="3"/>
      <x:c r="P2" s="3"/>
      <x:c r="Q2" s="3"/>
    </x:row>
    <x:row r="3" ht="8" customHeight="1">
      <x:c r="A3" s="5"/>
      <x:c r="B3" s="5"/>
      <x:c r="C3" s="5"/>
      <x:c r="D3" s="5"/>
      <x:c r="E3" s="5"/>
      <x:c r="F3" s="5"/>
      <x:c r="G3" s="5"/>
      <x:c r="H3" s="5"/>
      <x:c r="I3" s="5"/>
      <x:c r="J3" s="5"/>
      <x:c r="K3" s="5"/>
      <x:c r="L3" s="5"/>
      <x:c r="M3" s="5"/>
      <x:c r="N3" s="5"/>
      <x:c r="O3" s="5"/>
      <x:c r="P3" s="5"/>
      <x:c r="Q3" s="5"/>
    </x:row>
    <x:row r="4">
      <x:c r="A4" s="6" t="str">
        <x:v>Dimensions proposées en unités de jeu, à calibrer avec la vitesse et le streaming. Aucune conversion en mètres ni fidélité topographique certifiée.</x:v>
      </x:c>
      <x:c r="B4" s="3"/>
      <x:c r="C4" s="3"/>
      <x:c r="D4" s="3"/>
      <x:c r="E4" s="3"/>
      <x:c r="F4" s="3"/>
      <x:c r="G4" s="3"/>
      <x:c r="H4" s="3"/>
      <x:c r="I4" s="3"/>
      <x:c r="J4" s="3"/>
      <x:c r="K4" s="3"/>
      <x:c r="L4" s="3"/>
      <x:c r="M4" s="3"/>
      <x:c r="N4" s="3"/>
      <x:c r="O4" s="3"/>
      <x:c r="P4" s="3"/>
      <x:c r="Q4" s="3"/>
    </x:row>
    <x:row r="5">
      <x:c r="A5" s="7" t="str">
        <x:v>34 lignes</x:v>
      </x:c>
      <x:c r="B5" s="3"/>
      <x:c r="C5" s="3"/>
      <x:c r="D5" s="3"/>
      <x:c r="E5" s="3"/>
      <x:c r="F5" s="3"/>
      <x:c r="G5" s="3"/>
      <x:c r="H5" s="3"/>
      <x:c r="I5" s="3"/>
      <x:c r="J5" s="3"/>
      <x:c r="K5" s="3"/>
      <x:c r="L5" s="3"/>
      <x:c r="M5" s="3"/>
      <x:c r="N5" s="3"/>
      <x:c r="O5" s="3"/>
      <x:c r="P5" s="3"/>
      <x:c r="Q5" s="3"/>
    </x:row>
    <x:row r="6" ht="36" customHeight="1">
      <x:c r="A6" s="19" t="str">
        <x:v>ID</x:v>
      </x:c>
      <x:c r="B6" s="20" t="str">
        <x:v>Lieu</x:v>
      </x:c>
      <x:c r="C6" s="20" t="str">
        <x:v>Présence actuelle</x:v>
      </x:c>
      <x:c r="D6" s="20" t="str">
        <x:v>Périmètre de franchise</x:v>
      </x:c>
      <x:c r="E6" s="20" t="str">
        <x:v>Largeur cible (u)</x:v>
      </x:c>
      <x:c r="F6" s="20" t="str">
        <x:v>Longueur cible (u)</x:v>
      </x:c>
      <x:c r="G6" s="20" t="str">
        <x:v>Secteurs cibles</x:v>
      </x:c>
      <x:c r="H6" s="20" t="str">
        <x:v>Fronts cibles</x:v>
      </x:c>
      <x:c r="I6" s="20" t="str">
        <x:v>Tailles / variations des zones</x:v>
      </x:c>
      <x:c r="J6" s="20" t="str">
        <x:v>Connexions et circulation</x:v>
      </x:c>
      <x:c r="K6" s="20" t="str">
        <x:v>Repères</x:v>
      </x:c>
      <x:c r="L6" s="20" t="str">
        <x:v>Variation contrôlée</x:v>
      </x:c>
      <x:c r="M6" s="20" t="str">
        <x:v>Temps de trajet cible</x:v>
      </x:c>
      <x:c r="N6" s="20" t="str">
        <x:v>Vitesse de référence</x:v>
      </x:c>
      <x:c r="O6" s="20" t="str">
        <x:v>Sens des dimensions</x:v>
      </x:c>
      <x:c r="P6" s="20" t="str">
        <x:v>Critère de cohérence</x:v>
      </x:c>
      <x:c r="Q6" s="21" t="str">
        <x:v>Priorité</x:v>
      </x:c>
    </x:row>
    <x:row r="7" ht="49.5" customHeight="1">
      <x:c r="A7" s="9" t="str">
        <x:v>LD-01</x:v>
      </x:c>
      <x:c r="B7" s="9" t="str">
        <x:v>Gunnison : forêt, égouts, ville</x:v>
      </x:c>
      <x:c r="C7" s="9" t="str">
        <x:v>Main et branche validée : gunnison_forest</x:v>
      </x:c>
      <x:c r="D7" s="9" t="str">
        <x:v>AVPR, reconstitution de lieux + extension originale identifiée</x:v>
      </x:c>
      <x:c r="E7" s="27" t="n">
        <x:v>900</x:v>
      </x:c>
      <x:c r="F7" s="27" t="n">
        <x:v>1400</x:v>
      </x:c>
      <x:c r="G7" s="27" t="n">
        <x:v>12</x:v>
      </x:c>
      <x:c r="H7" s="27" t="n">
        <x:v>3</x:v>
      </x:c>
      <x:c r="I7" s="9" t="str">
        <x:v>Forêt220×320u ; rue100×180u ; égouts largeur10–20u ; hôpital80×160u</x:v>
      </x:c>
      <x:c r="J7" s="9" t="str">
        <x:v>Réseau forêt/égouts/rues ; deux routes humaines, galeries xénos et raccourcis Yautja</x:v>
      </x:c>
      <x:c r="K7" s="9" t="str">
        <x:v>Crash, cours d’eau, carrefour, station électrique, hôpital, extraction</x:v>
      </x:c>
      <x:c r="L7" s="9" t="str">
        <x:v>Heure, portes et foyers variables ; monuments et connexions fixes</x:v>
      </x:c>
      <x:c r="M7" s="9" t="str">
        <x:v>Cible de trajet entre deux objectifs voisins : 45–90 s hors combat. Les fronts plus éloignés nécessitent délégation ou transport, pas un délai de secours impossible.</x:v>
      </x:c>
      <x:c r="N7" s="9" t="str">
        <x:v>Profil de référence : 14 u/s à calibrer avec le chasseur lent, collisions et détours réels. Les unités de jeu ne sont pas des mètres.</x:v>
      </x:c>
      <x:c r="O7" s="9" t="str">
        <x:v>Boîte englobante proposée ; surface jouable partielle, plusieurs étages possibles. Les dimensions ne sont pas un plan canonique.</x:v>
      </x:c>
      <x:c r="P7" s="9" t="str">
        <x:v>Le même bâtiment conserve entrées, sortie et état depuis tous les secteurs</x:v>
      </x:c>
      <x:c r="Q7" s="9" t="str">
        <x:v>P1</x:v>
      </x:c>
    </x:row>
    <x:row r="8" ht="49.5" customHeight="1">
      <x:c r="A8" s="10" t="str">
        <x:v>LD-02</x:v>
      </x:c>
      <x:c r="B8" s="10" t="str">
        <x:v>Monde-ruche Xenomorph Prime</x:v>
      </x:c>
      <x:c r="C8" s="10" t="str">
        <x:v>Main et branche validée : xenomorph_prime</x:v>
      </x:c>
      <x:c r="D8" s="10" t="str">
        <x:v>Campagne originale ; continuité exacte du nom à documenter</x:v>
      </x:c>
      <x:c r="E8" s="28" t="n">
        <x:v>1600</x:v>
      </x:c>
      <x:c r="F8" s="28" t="n">
        <x:v>2200</x:v>
      </x:c>
      <x:c r="G8" s="28" t="n">
        <x:v>16</x:v>
      </x:c>
      <x:c r="H8" s="28" t="n">
        <x:v>4</x:v>
      </x:c>
      <x:c r="I8" s="10" t="str">
        <x:v>Couvoir120×200u ; galerie20–50u ; fosse220×300u ; chambre royale250×300u</x:v>
      </x:c>
      <x:c r="J8" s="10" t="str">
        <x:v>Trois branches d’invasion, anneau périphérique, chemin d’évacuation ; accès par taille</x:v>
      </x:c>
      <x:c r="K8" s="10" t="str">
        <x:v>Couvoirs, chambres d’hôtes, réserve organique, conduits, nid royal</x:v>
      </x:c>
      <x:c r="L8" s="10" t="str">
        <x:v>Réserves, ouvertures et ponts organiques ; pas redistribution arbitraire du nid</x:v>
      </x:c>
      <x:c r="M8" s="10" t="str">
        <x:v>Cible de trajet entre deux objectifs voisins : 45–90 s hors combat. Les fronts plus éloignés nécessitent délégation ou transport, pas un délai de secours impossible.</x:v>
      </x:c>
      <x:c r="N8" s="10" t="str">
        <x:v>Profil de référence : 14 u/s à calibrer avec le chasseur lent, collisions et détours réels. Les unités de jeu ne sont pas des mètres.</x:v>
      </x:c>
      <x:c r="O8" s="10" t="str">
        <x:v>Boîte englobante proposée ; surface jouable partielle, plusieurs étages possibles. Les dimensions ne sont pas un plan canonique.</x:v>
      </x:c>
      <x:c r="P8" s="10" t="str">
        <x:v>Pas d’impasse irréversible ; boss peut passer partout où le scénario le demande</x:v>
      </x:c>
      <x:c r="Q8" s="10" t="str">
        <x:v>P1</x:v>
      </x:c>
    </x:row>
    <x:row r="9" ht="49.5" customHeight="1">
      <x:c r="A9" s="9" t="str">
        <x:v>LD-03</x:v>
      </x:c>
      <x:c r="B9" s="9" t="str">
        <x:v>Pyramide antarctique et site de surface</x:v>
      </x:c>
      <x:c r="C9" s="9" t="str">
        <x:v>Main et branche validée : antarctic_pyramid</x:v>
      </x:c>
      <x:c r="D9" s="9" t="str">
        <x:v>AVP 2004 ; plan complet non déduit du seul film</x:v>
      </x:c>
      <x:c r="E9" s="27" t="n">
        <x:v>700</x:v>
      </x:c>
      <x:c r="F9" s="27" t="n">
        <x:v>900</x:v>
      </x:c>
      <x:c r="G9" s="27" t="n">
        <x:v>10</x:v>
      </x:c>
      <x:c r="H9" s="27" t="n">
        <x:v>3</x:v>
      </x:c>
      <x:c r="I9" s="9" t="str">
        <x:v>Cour80×140u ; galerie12–24u ; puits vertical ; sanctuaire160×220u</x:v>
      </x:c>
      <x:c r="J9" s="9" t="str">
        <x:v>Anneaux/chambres à mécanismes ; trajets temporisés mais toujours un chemin de sortie valide</x:v>
      </x:c>
      <x:c r="K9" s="9" t="str">
        <x:v>Entrée, sarcophages d’armes, chambres rituelles, accès surface</x:v>
      </x:c>
      <x:c r="L9" s="9" t="str">
        <x:v>Permutation de salles selon calendrier maîtrisé ; géométrie hors scènes explicitée</x:v>
      </x:c>
      <x:c r="M9" s="9" t="str">
        <x:v>Cible de trajet entre deux objectifs voisins : 45–90 s hors combat. Les fronts plus éloignés nécessitent délégation ou transport, pas un délai de secours impossible.</x:v>
      </x:c>
      <x:c r="N9" s="9" t="str">
        <x:v>Profil de référence : 14 u/s à calibrer avec le chasseur lent, collisions et détours réels. Les unités de jeu ne sont pas des mètres.</x:v>
      </x:c>
      <x:c r="O9" s="9" t="str">
        <x:v>Boîte englobante proposée ; surface jouable partielle, plusieurs étages possibles. Les dimensions ne sont pas un plan canonique.</x:v>
      </x:c>
      <x:c r="P9" s="9" t="str">
        <x:v>Les portes déplacées actualisent navigation de chaque faction et sauvegarde</x:v>
      </x:c>
      <x:c r="Q9" s="9" t="str">
        <x:v>P1</x:v>
      </x:c>
    </x:row>
    <x:row r="10" ht="49.5" customHeight="1">
      <x:c r="A10" s="10" t="str">
        <x:v>LD-04</x:v>
      </x:c>
      <x:c r="B10" s="10" t="str">
        <x:v>Los Angeles : rue, immeubles, métro, abattoir</x:v>
      </x:c>
      <x:c r="C10" s="10" t="str">
        <x:v>Main et branche validée : la_rooftops</x:v>
      </x:c>
      <x:c r="D10" s="10" t="str">
        <x:v>Predator 2 sorti en 1990, intrigue à Los Angeles en 1997 selon NECA ; distinguer les deux dates</x:v>
      </x:c>
      <x:c r="E10" s="28" t="n">
        <x:v>1000</x:v>
      </x:c>
      <x:c r="F10" s="28" t="n">
        <x:v>1400</x:v>
      </x:c>
      <x:c r="G10" s="28" t="n">
        <x:v>12</x:v>
      </x:c>
      <x:c r="H10" s="28" t="n">
        <x:v>3</x:v>
      </x:c>
      <x:c r="I10" s="10" t="str">
        <x:v>Toit60×100u ; avenue25–45u ; atrium80×100u ; métro15–25u</x:v>
      </x:c>
      <x:c r="J10" s="10" t="str">
        <x:v>Trois niveaux reliés par escaliers/échelles/canopée urbaine ; pas suites de toits identiques</x:v>
      </x:c>
      <x:c r="K10" s="10" t="str">
        <x:v>Métro, abattoir, tours, places, accès du vaisseau si scénario l’exige</x:v>
      </x:c>
      <x:c r="L10" s="10" t="str">
        <x:v>Factions humaines, voies d’intervention, météo ; bâtiments stables</x:v>
      </x:c>
      <x:c r="M10" s="10" t="str">
        <x:v>Cible de trajet entre deux objectifs voisins : 45–90 s hors combat. Les fronts plus éloignés nécessitent délégation ou transport, pas un délai de secours impossible.</x:v>
      </x:c>
      <x:c r="N10" s="10" t="str">
        <x:v>Profil de référence : 14 u/s à calibrer avec le chasseur lent, collisions et détours réels. Les unités de jeu ne sont pas des mètres.</x:v>
      </x:c>
      <x:c r="O10" s="10" t="str">
        <x:v>Boîte englobante proposée ; surface jouable partielle, plusieurs étages possibles. Les dimensions ne sont pas un plan canonique.</x:v>
      </x:c>
      <x:c r="P10" s="10" t="str">
        <x:v>Piétons/volumes/LOD concordent aux coutures ; chemin au sol pour IA humaine</x:v>
      </x:c>
      <x:c r="Q10" s="10" t="str">
        <x:v>P1</x:v>
      </x:c>
    </x:row>
    <x:row r="11" ht="49.5" customHeight="1">
      <x:c r="A11" s="9" t="str">
        <x:v>LD-05</x:v>
      </x:c>
      <x:c r="B11" s="9" t="str">
        <x:v>Jungle du film Predator</x:v>
      </x:c>
      <x:c r="C11" s="9" t="str">
        <x:v>Main et branche validée : val_verde_jungle</x:v>
      </x:c>
      <x:c r="D11" s="9" t="str">
        <x:v>Predator 1987 ; nom géographique à verrouiller par source</x:v>
      </x:c>
      <x:c r="E11" s="27" t="n">
        <x:v>1400</x:v>
      </x:c>
      <x:c r="F11" s="27" t="n">
        <x:v>1800</x:v>
      </x:c>
      <x:c r="G11" s="27" t="n">
        <x:v>14</x:v>
      </x:c>
      <x:c r="H11" s="27" t="n">
        <x:v>3</x:v>
      </x:c>
      <x:c r="I11" s="9" t="str">
        <x:v>Clairière150×250u ; piste10–25u ; gorge30–60u ; camp180×250u</x:v>
      </x:c>
      <x:c r="J11" s="9" t="str">
        <x:v>Rivière et crête structurent le monde ; deux chemins terrestres, canopée propre Yautja</x:v>
      </x:c>
      <x:c r="K11" s="9" t="str">
        <x:v>Camp, villages éventuels sourcés, clairière, rivière, site du duel</x:v>
      </x:c>
      <x:c r="L11" s="9" t="str">
        <x:v>Patrouilles/alertes et heure ; ne pas déplacer des lieux du film comme variantes aléatoires</x:v>
      </x:c>
      <x:c r="M11" s="9" t="str">
        <x:v>Cible de trajet entre deux objectifs voisins : 45–90 s hors combat. Les fronts plus éloignés nécessitent délégation ou transport, pas un délai de secours impossible.</x:v>
      </x:c>
      <x:c r="N11" s="9" t="str">
        <x:v>Profil de référence : 14 u/s à calibrer avec le chasseur lent, collisions et détours réels. Les unités de jeu ne sont pas des mètres.</x:v>
      </x:c>
      <x:c r="O11" s="9" t="str">
        <x:v>Boîte englobante proposée ; surface jouable partielle, plusieurs étages possibles. Les dimensions ne sont pas un plan canonique.</x:v>
      </x:c>
      <x:c r="P11" s="9" t="str">
        <x:v>Séparer reconstitution de la mission de guerre AVP avec ruche ajoutée</x:v>
      </x:c>
      <x:c r="Q11" s="9" t="str">
        <x:v>P1</x:v>
      </x:c>
    </x:row>
    <x:row r="12" ht="49.5" customHeight="1">
      <x:c r="A12" s="10" t="str">
        <x:v>LD-06</x:v>
      </x:c>
      <x:c r="B12" s="10" t="str">
        <x:v>Station Renaissance : Romulus et Remus</x:v>
      </x:c>
      <x:c r="C12" s="10" t="str">
        <x:v>Main et branche validée : romulus_station</x:v>
      </x:c>
      <x:c r="D12" s="10" t="str">
        <x:v>Alien: Romulus ; extension Yautja de scénario déclarée</x:v>
      </x:c>
      <x:c r="E12" s="28" t="n">
        <x:v>800</x:v>
      </x:c>
      <x:c r="F12" s="28" t="n">
        <x:v>1400</x:v>
      </x:c>
      <x:c r="G12" s="28" t="n">
        <x:v>12</x:v>
      </x:c>
      <x:c r="H12" s="28" t="n">
        <x:v>3</x:v>
      </x:c>
      <x:c r="I12" s="10" t="str">
        <x:v>Laboratoire60×120u ; couloir8–16u ; cryogénie100×140u ; hangar180×220u</x:v>
      </x:c>
      <x:c r="J12" s="10" t="str">
        <x:v>Boucles de service, sas, niveaux verticaux ; gravité/alimentation définies par zone</x:v>
      </x:c>
      <x:c r="K12" s="10" t="str">
        <x:v>Cryogénie, laboratoires, baies, liaison entre modules et extraction</x:v>
      </x:c>
      <x:c r="L12" s="10" t="str">
        <x:v>Pannes, gravité, sas ; pas de mélange avec Nostromo sans signaler variante</x:v>
      </x:c>
      <x:c r="M12" s="10" t="str">
        <x:v>Cible de trajet entre deux objectifs voisins : 45–90 s hors combat. Les fronts plus éloignés nécessitent délégation ou transport, pas un délai de secours impossible.</x:v>
      </x:c>
      <x:c r="N12" s="10" t="str">
        <x:v>Profil de référence : 14 u/s à calibrer avec le chasseur lent, collisions et détours réels. Les unités de jeu ne sont pas des mètres.</x:v>
      </x:c>
      <x:c r="O12" s="10" t="str">
        <x:v>Boîte englobante proposée ; surface jouable partielle, plusieurs étages possibles. Les dimensions ne sont pas un plan canonique.</x:v>
      </x:c>
      <x:c r="P12" s="10" t="str">
        <x:v>Règles acide/gravité et largeur boss cohérentes ; scénario ne confond pas échelle film/jeu</x:v>
      </x:c>
      <x:c r="Q12" s="10" t="str">
        <x:v>P1</x:v>
      </x:c>
    </x:row>
    <x:row r="13" ht="49.5" customHeight="1">
      <x:c r="A13" s="9" t="str">
        <x:v>LD-07</x:v>
      </x:c>
      <x:c r="B13" s="9" t="str">
        <x:v>Charon : complexe de Kleist</x:v>
      </x:c>
      <x:c r="C13" s="9" t="str">
        <x:v>Main seulement : charon_rogue_base</x:v>
      </x:c>
      <x:c r="D13" s="9" t="str">
        <x:v>Aliens: Rogue, continuité étendue distincte</x:v>
      </x:c>
      <x:c r="E13" s="27" t="n">
        <x:v>1200</x:v>
      </x:c>
      <x:c r="F13" s="27" t="n">
        <x:v>1600</x:v>
      </x:c>
      <x:c r="G13" s="27" t="n">
        <x:v>12</x:v>
      </x:c>
      <x:c r="H13" s="27" t="n">
        <x:v>3</x:v>
      </x:c>
      <x:c r="I13" s="9" t="str">
        <x:v>Labo80×120u ; enclos160×220u ; hangar200×300u ; tunnel20–35u</x:v>
      </x:c>
      <x:c r="J13" s="9" t="str">
        <x:v>Sécurité en couches, route de transfert, axe du sujet et circuit d’évacuation</x:v>
      </x:c>
      <x:c r="K13" s="9" t="str">
        <x:v>Laboratoire, cages, portes blindées, contrôle, zone de confrontation</x:v>
      </x:c>
      <x:c r="L13" s="9" t="str">
        <x:v>Niveau d’alarme et routes de sécurité ; expérience unique conservée</x:v>
      </x:c>
      <x:c r="M13" s="9" t="str">
        <x:v>Cible de trajet entre deux objectifs voisins : 45–90 s hors combat. Les fronts plus éloignés nécessitent délégation ou transport, pas un délai de secours impossible.</x:v>
      </x:c>
      <x:c r="N13" s="9" t="str">
        <x:v>Profil de référence : 14 u/s à calibrer avec le chasseur lent, collisions et détours réels. Les unités de jeu ne sont pas des mètres.</x:v>
      </x:c>
      <x:c r="O13" s="9" t="str">
        <x:v>Boîte englobante proposée ; surface jouable partielle, plusieurs étages possibles. Les dimensions ne sont pas un plan canonique.</x:v>
      </x:c>
      <x:c r="P13" s="9" t="str">
        <x:v>Consolider ce lieu dans architecture validée avant agrandissement</x:v>
      </x:c>
      <x:c r="Q13" s="9" t="str">
        <x:v>P2</x:v>
      </x:c>
    </x:row>
    <x:row r="14" ht="49.5" customHeight="1">
      <x:c r="A14" s="10" t="str">
        <x:v>LD-08</x:v>
      </x:c>
      <x:c r="B14" s="10" t="str">
        <x:v>Réserve de chasse des Super Predators</x:v>
      </x:c>
      <x:c r="C14" s="10" t="str">
        <x:v>Main seulement : game_preserve_planet</x:v>
      </x:c>
      <x:c r="D14" s="10" t="str">
        <x:v>Predators 2010 ; jungle étendue originale autour des scènes</x:v>
      </x:c>
      <x:c r="E14" s="28" t="n">
        <x:v>1800</x:v>
      </x:c>
      <x:c r="F14" s="28" t="n">
        <x:v>2400</x:v>
      </x:c>
      <x:c r="G14" s="28" t="n">
        <x:v>15</x:v>
      </x:c>
      <x:c r="H14" s="28" t="n">
        <x:v>3</x:v>
      </x:c>
      <x:c r="I14" s="10" t="str">
        <x:v>Plateau250×350u ; ravin30–80u ; camp160×240u ; refuge80×120u</x:v>
      </x:c>
      <x:c r="J14" s="10" t="str">
        <x:v>Plateaux connectés, route des chiens, perchoirs du drone, piste de survivants</x:v>
      </x:c>
      <x:c r="K14" s="10" t="str">
        <x:v>Camp, totems, falaises, refuge, zone du duel</x:v>
      </x:c>
      <x:c r="L14" s="10" t="str">
        <x:v>Trajets de chasse et positions des proies ; points iconiques fixes</x:v>
      </x:c>
      <x:c r="M14" s="10" t="str">
        <x:v>Cible de trajet entre deux objectifs voisins : 45–90 s hors combat. Les fronts plus éloignés nécessitent délégation ou transport, pas un délai de secours impossible.</x:v>
      </x:c>
      <x:c r="N14" s="10" t="str">
        <x:v>Profil de référence : 14 u/s à calibrer avec le chasseur lent, collisions et détours réels. Les unités de jeu ne sont pas des mètres.</x:v>
      </x:c>
      <x:c r="O14" s="10" t="str">
        <x:v>Boîte englobante proposée ; surface jouable partielle, plusieurs étages possibles. Les dimensions ne sont pas un plan canonique.</x:v>
      </x:c>
      <x:c r="P14" s="10" t="str">
        <x:v>Le trio de chasseurs ne respawn pas en officiers génériques à chaque zone</x:v>
      </x:c>
      <x:c r="Q14" s="10" t="str">
        <x:v>P1</x:v>
      </x:c>
    </x:row>
    <x:row r="15" ht="49.5" customHeight="1">
      <x:c r="A15" s="9" t="str">
        <x:v>LD-09</x:v>
      </x:c>
      <x:c r="B15" s="9" t="str">
        <x:v>Stargazer, forêt d’automne, site du vaisseau</x:v>
      </x:c>
      <x:c r="C15" s="9" t="str">
        <x:v>Main seulement : stargazer_facility</x:v>
      </x:c>
      <x:c r="D15" s="9" t="str">
        <x:v>The Predator 2018</x:v>
      </x:c>
      <x:c r="E15" s="27" t="n">
        <x:v>1200</x:v>
      </x:c>
      <x:c r="F15" s="27" t="n">
        <x:v>1800</x:v>
      </x:c>
      <x:c r="G15" s="27" t="n">
        <x:v>13</x:v>
      </x:c>
      <x:c r="H15" s="27" t="n">
        <x:v>3</x:v>
      </x:c>
      <x:c r="I15" s="9" t="str">
        <x:v>Base80×180u ; forêt200×350u ; route20–30u ; épave180×300u</x:v>
      </x:c>
      <x:c r="J15" s="9" t="str">
        <x:v>Base/forêt/épave forment une opération continue ; accès personnels et véhicule distincts</x:v>
      </x:c>
      <x:c r="K15" s="9" t="str">
        <x:v>Confinement, salle de contrôle, forêt, route, épave</x:v>
      </x:c>
      <x:c r="L15" s="9" t="str">
        <x:v>Alarmes et itinéraires de sécurité ; événements narratifs déterministes</x:v>
      </x:c>
      <x:c r="M15" s="9" t="str">
        <x:v>Cible de trajet entre deux objectifs voisins : 45–90 s hors combat. Les fronts plus éloignés nécessitent délégation ou transport, pas un délai de secours impossible.</x:v>
      </x:c>
      <x:c r="N15" s="9" t="str">
        <x:v>Profil de référence : 14 u/s à calibrer avec le chasseur lent, collisions et détours réels. Les unités de jeu ne sont pas des mètres.</x:v>
      </x:c>
      <x:c r="O15" s="9" t="str">
        <x:v>Boîte englobante proposée ; surface jouable partielle, plusieurs étages possibles. Les dimensions ne sont pas un plan canonique.</x:v>
      </x:c>
      <x:c r="P15" s="9" t="str">
        <x:v>Préserver v64 après réconciliation ; vérifier séquences et cause de chaque effet</x:v>
      </x:c>
      <x:c r="Q15" s="9" t="str">
        <x:v>P1</x:v>
      </x:c>
    </x:row>
    <x:row r="16" ht="49.5" customHeight="1">
      <x:c r="A16" s="10" t="str">
        <x:v>LD-10</x:v>
      </x:c>
      <x:c r="B16" s="10" t="str">
        <x:v>Territoire de Prey : camp, rivière, tourbière, forêt</x:v>
      </x:c>
      <x:c r="C16" s="10" t="str">
        <x:v>main v65 : prey_comanche_territory ; absent de la branche validée</x:v>
      </x:c>
      <x:c r="D16" s="10" t="str">
        <x:v>Prey (2022), nation comanche ; contexte filmique confirmé, plan complet et accessoires à vérifier</x:v>
      </x:c>
      <x:c r="E16" s="28" t="n">
        <x:v>1600</x:v>
      </x:c>
      <x:c r="F16" s="28" t="n">
        <x:v>2100</x:v>
      </x:c>
      <x:c r="G16" s="28" t="n">
        <x:v>14</x:v>
      </x:c>
      <x:c r="H16" s="28" t="n">
        <x:v>3</x:v>
      </x:c>
      <x:c r="I16" s="10" t="str">
        <x:v>Camp100×160u ; prairie250×400u ; rivière20–60u ; tourbière100×160u ; forêt180×300u</x:v>
      </x:c>
      <x:c r="J16" s="10" t="str">
        <x:v>Rivière, pistes et relief relient lieux de chasse ; contournements à pied et hauteurs accessibles au Feral</x:v>
      </x:c>
      <x:c r="K16" s="10" t="str">
        <x:v>Camp, gué, tourbière, site des trappeurs, lieux de piège et de duel à documenter</x:v>
      </x:c>
      <x:c r="L16" s="10" t="str">
        <x:v>Trajets et alertes modulables en mission originale ; chronologie et lieux du film verrouillés en reconstitution</x:v>
      </x:c>
      <x:c r="M16" s="10" t="str">
        <x:v>Cible de trajet entre deux objectifs voisins : 45–90 s hors combat. Les fronts plus éloignés nécessitent délégation ou transport, pas un délai de secours impossible.</x:v>
      </x:c>
      <x:c r="N16" s="10" t="str">
        <x:v>Profil de référence : 14 u/s à calibrer avec le chasseur lent, collisions et détours réels. Les unités de jeu ne sont pas des mètres.</x:v>
      </x:c>
      <x:c r="O16" s="10" t="str">
        <x:v>Boîte englobante proposée ; surface jouable partielle, plusieurs étages possibles. Les dimensions ne sont pas un plan canonique.</x:v>
      </x:c>
      <x:c r="P16" s="10" t="str">
        <x:v>Aucun équipement USCM, troupe moderne ou xénomorphe ajouté par spawn global ; valider pièges et masque sur références visuelles</x:v>
      </x:c>
      <x:c r="Q16" s="10" t="str">
        <x:v>P1</x:v>
      </x:c>
    </x:row>
    <x:row r="17" ht="49.5" customHeight="1">
      <x:c r="A17" s="9" t="str">
        <x:v>LD-11</x:v>
      </x:c>
      <x:c r="B17" s="9" t="str">
        <x:v>Colonie / processeur atmosphérique</x:v>
      </x:c>
      <x:c r="C17" s="9" t="str">
        <x:v>À ajouter ; aucun levelId dédié constaté</x:v>
      </x:c>
      <x:c r="D17" s="9" t="str">
        <x:v>Opération originale inspirée Aliens, nom et date propres</x:v>
      </x:c>
      <x:c r="E17" s="27" t="n">
        <x:v>1800</x:v>
      </x:c>
      <x:c r="F17" s="27" t="n">
        <x:v>2200</x:v>
      </x:c>
      <x:c r="G17" s="27" t="n">
        <x:v>18</x:v>
      </x:c>
      <x:c r="H17" s="27" t="n">
        <x:v>4</x:v>
      </x:c>
      <x:c r="I17" s="9" t="str">
        <x:v>Quartier180×240u ; usine300×450u ; galerie15–30u ; piste250×450u</x:v>
      </x:c>
      <x:c r="J17" s="9" t="str">
        <x:v>Quatre axes vers centre ; logistique, dortoirs et usine réellement reliés</x:v>
      </x:c>
      <x:c r="K17" s="9" t="str">
        <x:v>Réacteur, caserne, quartiers, infirmerie, pistes, tunnels de ruche</x:v>
      </x:c>
      <x:c r="L17" s="9" t="str">
        <x:v>Phase de contamination, itinéraire du convoi et réseaux techniques</x:v>
      </x:c>
      <x:c r="M17" s="9" t="str">
        <x:v>Cible de trajet entre deux objectifs voisins : 45–90 s hors combat. Les fronts plus éloignés nécessitent délégation ou transport, pas un délai de secours impossible.</x:v>
      </x:c>
      <x:c r="N17" s="9" t="str">
        <x:v>Profil de référence : 14 u/s à calibrer avec le chasseur lent, collisions et détours réels. Les unités de jeu ne sont pas des mètres.</x:v>
      </x:c>
      <x:c r="O17" s="9" t="str">
        <x:v>Boîte englobante proposée ; surface jouable partielle, plusieurs étages possibles. Les dimensions ne sont pas un plan canonique.</x:v>
      </x:c>
      <x:c r="P17" s="9" t="str">
        <x:v>Population/industries expliquent densité d’hôtes et infrastructure ; aucune copie prétendue du plan LV-426</x:v>
      </x:c>
      <x:c r="Q17" s="9" t="str">
        <x:v>P2</x:v>
      </x:c>
    </x:row>
    <x:row r="18" ht="49.5" customHeight="1">
      <x:c r="A18" s="10" t="str">
        <x:v>LD-12</x:v>
      </x:c>
      <x:c r="B18" s="10" t="str">
        <x:v>Citadelle attaquée / monde du clan</x:v>
      </x:c>
      <x:c r="C18" s="10" t="str">
        <x:v>Hub Yautja présent ; théâtre de siège non confirmé</x:v>
      </x:c>
      <x:c r="D18" s="10" t="str">
        <x:v>Création de guerre Yautja annoncée comme originale</x:v>
      </x:c>
      <x:c r="E18" s="28" t="n">
        <x:v>1600</x:v>
      </x:c>
      <x:c r="F18" s="28" t="n">
        <x:v>1800</x:v>
      </x:c>
      <x:c r="G18" s="28" t="n">
        <x:v>14</x:v>
      </x:c>
      <x:c r="H18" s="28" t="n">
        <x:v>4</x:v>
      </x:c>
      <x:c r="I18" s="10" t="str">
        <x:v>Cour160×220u ; forge100×160u ; rempart30–50u ; port250×400u</x:v>
      </x:c>
      <x:c r="J18" s="10" t="str">
        <x:v>Ville fonctionnelle, défense en profondeur, accès civil, passages de chasse</x:v>
      </x:c>
      <x:c r="K18" s="10" t="str">
        <x:v>Forge, archives, terrain rituel, port, quartiers, temple</x:v>
      </x:c>
      <x:c r="L18" s="10" t="str">
        <x:v>Front de brèche et renforts changent ; architecture du clan persistante</x:v>
      </x:c>
      <x:c r="M18" s="10" t="str">
        <x:v>Cible de trajet entre deux objectifs voisins : 45–90 s hors combat. Les fronts plus éloignés nécessitent délégation ou transport, pas un délai de secours impossible.</x:v>
      </x:c>
      <x:c r="N18" s="10" t="str">
        <x:v>Profil de référence : 14 u/s à calibrer avec le chasseur lent, collisions et détours réels. Les unités de jeu ne sont pas des mètres.</x:v>
      </x:c>
      <x:c r="O18" s="10" t="str">
        <x:v>Boîte englobante proposée ; surface jouable partielle, plusieurs étages possibles. Les dimensions ne sont pas un plan canonique.</x:v>
      </x:c>
      <x:c r="P18" s="10" t="str">
        <x:v>Citadelle ne devient pas une grille de six carrés identiques ; civils et combattants séparés</x:v>
      </x:c>
      <x:c r="Q18" s="10" t="str">
        <x:v>P2</x:v>
      </x:c>
    </x:row>
    <x:row r="19" ht="49.5" customHeight="1">
      <x:c r="A19" s="9" t="str">
        <x:v>LD-13</x:v>
      </x:c>
      <x:c r="B19" s="9" t="str">
        <x:v>Carte générée de guerre de ruche</x:v>
      </x:c>
      <x:c r="C19" s="9" t="str">
        <x:v>Générateur de topologie complet non constaté</x:v>
      </x:c>
      <x:c r="D19" s="9" t="str">
        <x:v>Création originale, profils de continuité explicites</x:v>
      </x:c>
      <x:c r="E19" s="27" t="n">
        <x:v>2000</x:v>
      </x:c>
      <x:c r="F19" s="27" t="n">
        <x:v>2400</x:v>
      </x:c>
      <x:c r="G19" s="27" t="n">
        <x:v>20</x:v>
      </x:c>
      <x:c r="H19" s="27" t="n">
        <x:v>5</x:v>
      </x:c>
      <x:c r="I19" s="9" t="str">
        <x:v>Familles organiques/industrielles, 3 échelles de zone, largeurs liées aux unités</x:v>
      </x:c>
      <x:c r="J19" s="9" t="str">
        <x:v>Graphe connecté contraint, 2 accès par objectif majeur et routes logistiques</x:v>
      </x:c>
      <x:c r="K19" s="9" t="str">
        <x:v>Points de repère nommés, ressources, points de passage persistants</x:v>
      </x:c>
      <x:c r="L19" s="9" t="str">
        <x:v>Seed déterministe ; tirage de modules compatibles ; distances contrôlées</x:v>
      </x:c>
      <x:c r="M19" s="9" t="str">
        <x:v>Cible de trajet entre deux objectifs voisins : 45–90 s hors combat. Les fronts plus éloignés nécessitent délégation ou transport, pas un délai de secours impossible.</x:v>
      </x:c>
      <x:c r="N19" s="9" t="str">
        <x:v>Profil de référence : 14 u/s à calibrer avec le chasseur lent, collisions et détours réels. Les unités de jeu ne sont pas des mètres.</x:v>
      </x:c>
      <x:c r="O19" s="9" t="str">
        <x:v>Boîte englobante proposée ; surface jouable partielle, plusieurs étages possibles. Les dimensions ne sont pas un plan canonique.</x:v>
      </x:c>
      <x:c r="P19" s="9" t="str">
        <x:v>100 seeds contrôlés pour connexité, spawn, taille boss, objectifs et retour ; impossible = rejet du seed</x:v>
      </x:c>
      <x:c r="Q19" s="9" t="str">
        <x:v>P3</x:v>
      </x:c>
    </x:row>
    <x:row r="20" ht="90" customHeight="1">
      <x:c r="A20" s="41" t="str">
        <x:v>LD-14</x:v>
      </x:c>
      <x:c r="B20" s="41" t="str">
        <x:v>Anneau des Trois Docks — raid de clan</x:v>
      </x:c>
      <x:c r="C20" s="41" t="str">
        <x:v>Nouvelle proposition de carte ; intégration au jeu à réaliser</x:v>
      </x:c>
      <x:c r="D20" s="41" t="str">
        <x:v>Scénario original de conflit entre deux clans Yautja inventés ; aucune guerre, coutume, hiérarchie ou règle de duel n’est présentée comme canonique ou universelle.</x:v>
      </x:c>
      <x:c r="E20" s="45" t="n">
        <x:v>1200</x:v>
      </x:c>
      <x:c r="F20" s="45" t="n">
        <x:v>1400</x:v>
      </x:c>
      <x:c r="G20" s="45" t="n">
        <x:v>10</x:v>
      </x:c>
      <x:c r="H20" s="45" t="n">
        <x:v>3</x:v>
      </x:c>
      <x:c r="I20" s="41" t="str">
        <x:v>Dépôt 180 × 240 u ; relais 90 × 140 u ; cale sèche 120 × 200 u ; corniches de 12–24 u ; passerelles de 8–12 u, avec refuges de croisement.</x:v>
      </x:c>
      <x:c r="J20" s="41" t="str">
        <x:v>Trois îlots reliés en boucle : dépôt A, relais B et départ C. Une passerelle basse et une corniche donnent deux entrées au dépôt ; la voie de fret est distincte du retour discret. La destruction d’un pont laisse une seconde route.</x:v>
      </x:c>
      <x:c r="K20" s="41" t="str">
        <x:v>Dépôt des archives saisies, antenne inclinée, coque en réparation, trois balises de marée, plate-forme de départ.</x:v>
      </x:c>
      <x:c r="L20" s="41" t="str">
        <x:v>Changer la ronde et l’îlot d’accostage ; conserver les routes, les accès et les abris. Les marées peuvent fermer une voie basse avec avertissement, jamais toutes les sorties.</x:v>
      </x:c>
      <x:c r="M20" s="41" t="str">
        <x:v>Cible : 45–90 s de trajet réel entre objectifs voisins, obstacles compris. Les objectifs éloignés se délèguent ; leurs délais de secours sont calculés depuis le chemin praticable.</x:v>
      </x:c>
      <x:c r="N20" s="41" t="str">
        <x:v>Référence de prototype : 14 u/s à recalibrer sur le chasseur lent et les détours. Les unités de jeu ne sont pas des mètres.</x:v>
      </x:c>
      <x:c r="O20" s="41" t="str">
        <x:v>Boîte englobante de conception, à profiler ; surface jouable partielle. Terrain, échelle et architecture sont des propositions originales.</x:v>
      </x:c>
      <x:c r="P20" s="41" t="str">
        <x:v>Trois fronts restent connectés. Une escouade de quatre peut se croiser sur les passages prévus. Les réserves arrivent par un quai contrôlé ; ni apparition dans le dépôt ni combat sous un plancher sans accès.
Opération liée : FR-14
Gabarit lié : EFF-09</x:v>
      </x:c>
      <x:c r="Q20" s="41" t="str">
        <x:v>P2</x:v>
      </x:c>
    </x:row>
    <x:row r="21" ht="90" customHeight="1">
      <x:c r="A21" s="40" t="str">
        <x:v>LD-15</x:v>
      </x:c>
      <x:c r="B21" s="40" t="str">
        <x:v>Ravines du Convoi gris — poursuite et interception</x:v>
      </x:c>
      <x:c r="C21" s="40" t="str">
        <x:v>Nouvelle proposition de carte ; intégration au jeu à réaliser</x:v>
      </x:c>
      <x:c r="D21" s="40" t="str">
        <x:v>Scénario original de conflit entre deux clans Yautja inventés ; aucune guerre, coutume, hiérarchie ou règle de duel n’est présentée comme canonique ou universelle.</x:v>
      </x:c>
      <x:c r="E21" s="44" t="n">
        <x:v>900</x:v>
      </x:c>
      <x:c r="F21" s="44" t="n">
        <x:v>2300</x:v>
      </x:c>
      <x:c r="G21" s="44" t="n">
        <x:v>11</x:v>
      </x:c>
      <x:c r="H21" s="44" t="n">
        <x:v>3</x:v>
      </x:c>
      <x:c r="I21" s="40" t="str">
        <x:v>Route de fret de 18–30 u ; gorge 100 × 260 u ; deux terrasses 160 × 240 u ; pont 16 × 90 u ; terminus 220 × 300 u ; dénivelés proposés de 6–18 u avec accès visibles.</x:v>
      </x:c>
      <x:c r="J21" s="40" t="str">
        <x:v>Ruban longitudinal avec deux raccourcis latéraux et trois portes de choix. A suit les modules de fret, B commande le prochain passage, C contrôle la sortie et le retour. Les fronts se déplacent par segments sans effacer les groupes précédents.</x:v>
      </x:c>
      <x:c r="K21" s="40" t="str">
        <x:v>Deux modules de fret, arche fendue, pont à verrou mécanique, belvédère de piste, terminus à deux sorties.</x:v>
      </x:c>
      <x:c r="L21" s="40" t="str">
        <x:v>Choisir la branche de convoi et un éboulement annoncé. Un éboulement ouvre un détour praticable ; aucune perte de cargaison par tirage aléatoire sans contre-action.</x:v>
      </x:c>
      <x:c r="M21" s="40" t="str">
        <x:v>Cible : 45–90 s de trajet réel entre objectifs voisins, obstacles compris. Les objectifs éloignés se délèguent ; leurs délais de secours sont calculés depuis le chemin praticable.</x:v>
      </x:c>
      <x:c r="N21" s="40" t="str">
        <x:v>Référence de prototype : 14 u/s à recalibrer sur le chasseur lent et les détours. Les unités de jeu ne sont pas des mètres.</x:v>
      </x:c>
      <x:c r="O21" s="40" t="str">
        <x:v>Boîte englobante de conception, à profiler ; surface jouable partielle. Terrain, échelle et architecture sont des propositions originales.</x:v>
      </x:c>
      <x:c r="P21" s="40" t="str">
        <x:v>Les raccourcis permettent d’intercepter le convoi avec le chasseur lent. Les pilotes font partie des escouades comptées ; les modules ne génèrent pas de combattants supplémentaires. Aucune zone de transition ne téléporte le convoi.
Opération liée : FR-16
Gabarit lié : EFF-09</x:v>
      </x:c>
      <x:c r="Q21" s="40" t="str">
        <x:v>P2</x:v>
      </x:c>
    </x:row>
    <x:row r="22" ht="76.5" customHeight="1">
      <x:c r="A22" s="41" t="str">
        <x:v>LD-16</x:v>
      </x:c>
      <x:c r="B22" s="41" t="str">
        <x:v>Col des Deux Balises — crise de frontière</x:v>
      </x:c>
      <x:c r="C22" s="41" t="str">
        <x:v>Nouvelle proposition de carte ; intégration au jeu à réaliser</x:v>
      </x:c>
      <x:c r="D22" s="41" t="str">
        <x:v>Scénario original de conflit entre deux clans Yautja inventés ; aucune guerre, coutume, hiérarchie ou règle de duel n’est présentée comme canonique ou universelle.</x:v>
      </x:c>
      <x:c r="E22" s="45" t="n">
        <x:v>1700</x:v>
      </x:c>
      <x:c r="F22" s="45" t="n">
        <x:v>1300</x:v>
      </x:c>
      <x:c r="G22" s="45" t="n">
        <x:v>12</x:v>
      </x:c>
      <x:c r="H22" s="45" t="n">
        <x:v>3</x:v>
      </x:c>
      <x:c r="I22" s="41" t="str">
        <x:v>Trois cols de 20–45 u ; plateau 240 × 320 u ; point de ravitaillement 120 × 180 u ; gué 18 × 100 u ; deux refuges 90 × 130 u ; dénivelés proposés de 4–16 u.</x:v>
      </x:c>
      <x:c r="J22" s="41" t="str">
        <x:v>Trois passages frontaliers reliés par deux chemins transversaux. A est le passage officiel, B la route de ravitaillement contestée, C le relais d’identification. Une ligne de frontière visible distingue observation, intrusion et attaque.</x:v>
      </x:c>
      <x:c r="K22" s="41" t="str">
        <x:v>Deux balises rivales, cairn brisé, réserve scellée, refuge de montagne, poste d’identification.</x:v>
      </x:c>
      <x:c r="L22" s="41" t="str">
        <x:v>Patrouilles, brouillard et direction d’arrivée changent. Frontière, droits de passage propres à cette mission et signaux visuels restent fixes.</x:v>
      </x:c>
      <x:c r="M22" s="41" t="str">
        <x:v>Cible : 45–90 s de trajet réel entre objectifs voisins, obstacles compris. Les objectifs éloignés se délèguent ; leurs délais de secours sont calculés depuis le chemin praticable.</x:v>
      </x:c>
      <x:c r="N22" s="41" t="str">
        <x:v>Référence de prototype : 14 u/s à recalibrer sur le chasseur lent et les détours. Les unités de jeu ne sont pas des mètres.</x:v>
      </x:c>
      <x:c r="O22" s="41" t="str">
        <x:v>Boîte englobante de conception, à profiler ; surface jouable partielle. Terrain, échelle et architecture sont des propositions originales.</x:v>
      </x:c>
      <x:c r="P22" s="41" t="str">
        <x:v>Toute incursion est détectable avant les hostilités. Les patrouilles peuvent se retirer sans entrer dans un autre combat forcé ; le joueur peut atteindre le relais avant une escalade annoncée.
Opération liée : FR-17
Gabarit lié : EFF-09</x:v>
      </x:c>
      <x:c r="Q22" s="41" t="str">
        <x:v>P2</x:v>
      </x:c>
    </x:row>
    <x:row r="23" ht="76.5" customHeight="1">
      <x:c r="A23" s="40" t="str">
        <x:v>LD-17</x:v>
      </x:c>
      <x:c r="B23" s="40" t="str">
        <x:v>Plateau des Arches silencieuses — accord sous tension</x:v>
      </x:c>
      <x:c r="C23" s="40" t="str">
        <x:v>Nouvelle proposition de carte ; intégration au jeu à réaliser</x:v>
      </x:c>
      <x:c r="D23" s="40" t="str">
        <x:v>Scénario original de conflit entre deux clans Yautja inventés ; aucune guerre, coutume, hiérarchie ou règle de duel n’est présentée comme canonique ou universelle.</x:v>
      </x:c>
      <x:c r="E23" s="44" t="n">
        <x:v>1000</x:v>
      </x:c>
      <x:c r="F23" s="44" t="n">
        <x:v>1200</x:v>
      </x:c>
      <x:c r="G23" s="44" t="n">
        <x:v>9</x:v>
      </x:c>
      <x:c r="H23" s="44" t="n">
        <x:v>3</x:v>
      </x:c>
      <x:c r="I23" s="40" t="str">
        <x:v>Espace de duel 140 × 180 u ; observatoire 90 × 140 u ; corridor de retrait 24–40 u ; aire de récupération 160 × 220 u ; trois arches naturelles et des abris périphériques.</x:v>
      </x:c>
      <x:c r="J23" s="40" t="str">
        <x:v>Boucle à trois pôles : duel A, retrait B, relais d’ordres C. Deux passages quittent l’espace de duel. Le joueur peut refuser ou interrompre le duel et rejoindre le relais, avec un coût stratégique explicite.</x:v>
      </x:c>
      <x:c r="K23" s="40" t="str">
        <x:v>Arche centrale, marques temporaires des deux délégations, deux signaux d’accord, rampe de départ, poste des gardes dissidents.</x:v>
      </x:c>
      <x:c r="L23" s="40" t="str">
        <x:v>Placer la délégation et les guetteurs sur des accès symétriques. Les règles d’arrêt du duel sont négociées pour cette opération ; la géométrie ne change pas pendant l’échange.</x:v>
      </x:c>
      <x:c r="M23" s="40" t="str">
        <x:v>Cible : 45–90 s de trajet réel entre objectifs voisins, obstacles compris. Les objectifs éloignés se délèguent ; leurs délais de secours sont calculés depuis le chemin praticable.</x:v>
      </x:c>
      <x:c r="N23" s="40" t="str">
        <x:v>Référence de prototype : 14 u/s à recalibrer sur le chasseur lent et les détours. Les unités de jeu ne sont pas des mètres.</x:v>
      </x:c>
      <x:c r="O23" s="40" t="str">
        <x:v>Boîte englobante de conception, à profiler ; surface jouable partielle. Terrain, échelle et architecture sont des propositions originales.</x:v>
      </x:c>
      <x:c r="P23" s="40" t="str">
        <x:v>Aucun verrou de caméra ne suspend B ou C. La victoire du duel n’efface aucune unité : l’ordre de retrait doit circuler. Les sorties restent utilisables en cas de rupture de l’accord.
Opération liée : FR-18
Gabarit lié : EFF-09</x:v>
      </x:c>
      <x:c r="Q23" s="40" t="str">
        <x:v>P2</x:v>
      </x:c>
    </x:row>
    <x:row r="24" ht="49.5" customHeight="1">
      <x:c r="A24" s="41" t="str">
        <x:v>LD-18</x:v>
      </x:c>
      <x:c r="B24" s="41" t="str">
        <x:v>Port de récupération — entrepôts, quais et zone de capture</x:v>
      </x:c>
      <x:c r="C24" s="41" t="str">
        <x:v>Nouvelle carte proposée ; aucune implémentation revendiquée par cet ajout d’audit</x:v>
      </x:c>
      <x:c r="D24" s="41" t="str">
        <x:v>Conflit contemporain original de Yautja contre une force humaine de capture ; ni reconstitution de Predator 2 ni site Stargazer canonique</x:v>
      </x:c>
      <x:c r="E24" s="45" t="n">
        <x:v>1200</x:v>
      </x:c>
      <x:c r="F24" s="45" t="n">
        <x:v>1600</x:v>
      </x:c>
      <x:c r="G24" s="45" t="n">
        <x:v>12</x:v>
      </x:c>
      <x:c r="H24" s="45" t="n">
        <x:v>3</x:v>
      </x:c>
      <x:c r="I24" s="41" t="str">
        <x:v>Quai180×320u ; entrepôt100×180u ; allée12–24u ; grue et passerelles ; cour de contrôle120×180u</x:v>
      </x:c>
      <x:c r="J24" s="41" t="str">
        <x:v>Trois axes reliés par routes de service ; passage bas pour les humains, passerelles pour chasseurs et voie de convoi. Les conteneurs laissent deux approches par objectif.</x:v>
      </x:c>
      <x:c r="K24" s="41" t="str">
        <x:v>Navire immobilisé, hangar scellé, poste radio, transformateur, grille douanière, quai d’extraction</x:v>
      </x:c>
      <x:c r="L24" s="41" t="str">
        <x:v>Position du convoi, équipes de patrouille et projecteurs variables ; les bâtiments, sas et quais gardent leur position</x:v>
      </x:c>
      <x:c r="M24" s="41" t="str">
        <x:v>Cible : 30–75 s entre objectifs voisins hors combat ; interruption de la route principale laisse un détour ou impose une délégation annoncée</x:v>
      </x:c>
      <x:c r="N24" s="41" t="str">
        <x:v>Référence de conception : 14 u/s à calibrer en jeu selon profil de chasseur, collisions, détours et verticalité</x:v>
      </x:c>
      <x:c r="O24" s="41" t="str">
        <x:v>Boîte englobante originale en unités de jeu ; plusieurs niveaux et zones non accessibles. Aucune dimension physique ni topographie de film revendiquée</x:v>
      </x:c>
      <x:c r="P24" s="41" t="str">
        <x:v>Routes de renfort et d’extraction praticables ; équipements contemporains ; plateformes et volumes visibles concordent avec les accès</x:v>
      </x:c>
      <x:c r="Q24" s="41" t="str">
        <x:v>P1</x:v>
      </x:c>
    </x:row>
    <x:row r="25" ht="49.5" customHeight="1">
      <x:c r="A25" s="40" t="str">
        <x:v>LD-19</x:v>
      </x:c>
      <x:c r="B25" s="40" t="str">
        <x:v>Bassin industriel sous contrat — usine, voies ferrées et dépôts</x:v>
      </x:c>
      <x:c r="C25" s="40" t="str">
        <x:v>Nouvelle carte proposée ; aucune implémentation revendiquée par cet ajout d’audit</x:v>
      </x:c>
      <x:c r="D25" s="40" t="str">
        <x:v>Époque contemporaine fictive ; société et mercenaires originaux, sans armes USCM ni technologie de station spatiale</x:v>
      </x:c>
      <x:c r="E25" s="44" t="n">
        <x:v>1400</x:v>
      </x:c>
      <x:c r="F25" s="44" t="n">
        <x:v>1900</x:v>
      </x:c>
      <x:c r="G25" s="44" t="n">
        <x:v>14</x:v>
      </x:c>
      <x:c r="H25" s="44" t="n">
        <x:v>3</x:v>
      </x:c>
      <x:c r="I25" s="40" t="str">
        <x:v>Atelier180×260u ; cour ferroviaire220×400u ; dépôt100×180u ; galerie12–22u ; poste de commande80×120u</x:v>
      </x:c>
      <x:c r="J25" s="40" t="str">
        <x:v>Production, dépôt et gare forment trois secteurs de combat liés par une boucle de desserte. Une ligne électrique et un réseau radio relient leurs défenses sans les rendre indestructibles.</x:v>
      </x:c>
      <x:c r="K25" s="40" t="str">
        <x:v>Halle d’assemblage, train de fret, centrale de service, silo d’archives, pont roulant, sortie de maintenance</x:v>
      </x:c>
      <x:c r="L25" s="40" t="str">
        <x:v>Horaires du convoi, accès condamnés et positions de surveillance changent ; logique industrielle et liaisons de transport persistent</x:v>
      </x:c>
      <x:c r="M25" s="40" t="str">
        <x:v>Cible : 35–80 s entre objectifs voisins ; les grands axes favorisent un transport identifié, les galeries offrent un détour plus sûr et plus lent</x:v>
      </x:c>
      <x:c r="N25" s="40" t="str">
        <x:v>Référence : 14 u/s ; temps mesuré sur les routes réellement accessibles, sans conversion automatique en mètres</x:v>
      </x:c>
      <x:c r="O25" s="40" t="str">
        <x:v>Enveloppe de théâtre original en unités de jeu ; surface jouable partielle et niveaux d’ateliers. Les tailles sont des propositions à profiler</x:v>
      </x:c>
      <x:c r="P25" s="40" t="str">
        <x:v>Aucun convoyeur décoratif utilisé comme route sans collision ; véhicules dans leur gabarit ; arrêt de l’énergie modifie réellement projecteurs et portails</x:v>
      </x:c>
      <x:c r="Q25" s="40" t="str">
        <x:v>P1</x:v>
      </x:c>
    </x:row>
    <x:row r="26" ht="49.5" customHeight="1">
      <x:c r="A26" s="41" t="str">
        <x:v>LD-20</x:v>
      </x:c>
      <x:c r="B26" s="41" t="str">
        <x:v>Chantier orbital — anneau de service, modules et quais d’embarquement</x:v>
      </x:c>
      <x:c r="C26" s="41" t="str">
        <x:v>Nouvelle carte proposée ; aucune implémentation revendiquée par cet ajout d’audit</x:v>
      </x:c>
      <x:c r="D26" s="41" t="str">
        <x:v>Futur spatial original inspiré du périmètre Alien/Predator ; station, société et plan inventés, distincts de Renaissance et du Nostromo</x:v>
      </x:c>
      <x:c r="E26" s="45" t="n">
        <x:v>1000</x:v>
      </x:c>
      <x:c r="F26" s="45" t="n">
        <x:v>1800</x:v>
      </x:c>
      <x:c r="G26" s="45" t="n">
        <x:v>14</x:v>
      </x:c>
      <x:c r="H26" s="45" t="n">
        <x:v>4</x:v>
      </x:c>
      <x:c r="I26" s="41" t="str">
        <x:v>Baie180×300u ; atelier80×150u ; coursive10–18u ; sas20×35u ; noyau de service100×180u ; plusieurs ponts</x:v>
      </x:c>
      <x:c r="J26" s="41" t="str">
        <x:v>Deux anneaux de circulation relient quatre fronts ; ascenseurs de service, sas et conduits ont des connexions persistantes. Pression et gravité sont des états par compartiment.</x:v>
      </x:c>
      <x:c r="K26" s="41" t="str">
        <x:v>Navette immobilisée, contrôle d’amarrage, relais énergétique, coffre de données, quai de départ, refuge de personnel</x:v>
      </x:c>
      <x:c r="L26" s="41" t="str">
        <x:v>Pannes, itinéraires d’embarquement et arrivée des transports militaires ; la disposition des compartiments et leur pression restent traçables</x:v>
      </x:c>
      <x:c r="M26" s="41" t="str">
        <x:v>Cible : 30–70 s entre objectifs voisins, sas compris ; les délais de fermeture sont annoncés et préservent une autre liaison ou un protocole de secours</x:v>
      </x:c>
      <x:c r="N26" s="41" t="str">
        <x:v>Référence au sol : 14 u/s à calibrer ; changements de gravité documentés séparément, sans bonus implicite dans les temps de trajet</x:v>
      </x:c>
      <x:c r="O26" s="41" t="str">
        <x:v>Boîte englobante des modules en unités de jeu, répartis sur plusieurs ponts ; aucun plan ni volume canonique prétendu</x:v>
      </x:c>
      <x:c r="P26" s="41" t="str">
        <x:v>Pas d’APC dans les coursives ; humains, chasseurs et matériel possèdent des routes de taille adaptée. Une décompression ne traverse pas un sas fermé sans règle physique explicite.</x:v>
      </x:c>
      <x:c r="Q26" s="41" t="str">
        <x:v>P1</x:v>
      </x:c>
    </x:row>
    <x:row r="27" ht="49.5" customHeight="1">
      <x:c r="A27" s="40" t="str">
        <x:v>LD-21</x:v>
      </x:c>
      <x:c r="B27" s="40" t="str">
        <x:v>Cité-port en évacuation — quartiers, centre médical et terminal</x:v>
      </x:c>
      <x:c r="C27" s="40" t="str">
        <x:v>Nouvelle carte proposée ; aucune implémentation revendiquée par cet ajout d’audit</x:v>
      </x:c>
      <x:c r="D27" s="40" t="str">
        <x:v>Ville coloniale future originale ; conflit Yautja contre un cordon militaire humain, avec civils neutres et sans alliance automatique</x:v>
      </x:c>
      <x:c r="E27" s="44" t="n">
        <x:v>1800</x:v>
      </x:c>
      <x:c r="F27" s="44" t="n">
        <x:v>2400</x:v>
      </x:c>
      <x:c r="G27" s="44" t="n">
        <x:v>18</x:v>
      </x:c>
      <x:c r="H27" s="44" t="n">
        <x:v>4</x:v>
      </x:c>
      <x:c r="I27" s="40" t="str">
        <x:v>Quartier180×260u ; boulevard25–45u ; centre médical100×180u ; terminal250×400u ; passerelles et cours de service</x:v>
      </x:c>
      <x:c r="J27" s="40" t="str">
        <x:v>Quatre axes entre zone de confinement, commandement, évacuation et terminal. Les routes militaires et civiles se croisent en points contrôlables ; toits et sous-sols offrent des détours cohérents.</x:v>
      </x:c>
      <x:c r="K27" s="40" t="str">
        <x:v>Centre médical, poste de commandement, dépôt logistique, pont urbain, refuges civils, terminal d’embarquement</x:v>
      </x:c>
      <x:c r="L27" s="40" t="str">
        <x:v>Ordre d’évacuation, itinéraire de convoi et barrages ; mêmes immeubles et accès entre phases, aucun quartier téléporté</x:v>
      </x:c>
      <x:c r="M27" s="40" t="str">
        <x:v>Cible : 40–90 s entre objectifs voisins ; les fronts éloignés nécessitent affectation d’alliés ou transports, avec délais de secours calibrés</x:v>
      </x:c>
      <x:c r="N27" s="40" t="str">
        <x:v>Référence : 14 u/s à vérifier avec le profil lent et les routes encombrées ; convoyage et marche civile possèdent leurs propres vitesses</x:v>
      </x:c>
      <x:c r="O27" s="40" t="str">
        <x:v>Enveloppe de ville originale en unités de jeu ; seuls les quartiers utiles sont parcourables. Pas de mètres ni de copie d’une ville filmique revendiqués</x:v>
      </x:c>
      <x:c r="P27" s="40" t="str">
        <x:v>Les civils conservent une route crédible vers leurs refuges ; destructions, barrages et trafic modifient les parcours sans effacer les habitants</x:v>
      </x:c>
      <x:c r="Q27" s="40" t="str">
        <x:v>P2</x:v>
      </x:c>
    </x:row>
    <x:row r="28" ht="63" customHeight="1">
      <x:c r="A28" s="71" t="str">
        <x:v>LD-22</x:v>
      </x:c>
      <x:c r="B28" s="71" t="str">
        <x:v>Sevastopol — réseaux publics et techniques</x:v>
      </x:c>
      <x:c r="C28" s="71" t="str">
        <x:v>Nouvelle carte proposée ; aucune implémentation certifiée</x:v>
      </x:c>
      <x:c r="D28" s="71" t="str">
        <x:v>Alien: Isolation ; insertion Yautja entièrement originale Lieu sourcé : H-L01 ; X-L05.</x:v>
      </x:c>
      <x:c r="E28" s="75" t="n">
        <x:v>800</x:v>
      </x:c>
      <x:c r="F28" s="75" t="n">
        <x:v>1200</x:v>
      </x:c>
      <x:c r="G28" s="75" t="n">
        <x:v>12</x:v>
      </x:c>
      <x:c r="H28" s="75" t="n">
        <x:v>3</x:v>
      </x:c>
      <x:c r="I28" s="71" t="str">
        <x:v>Hall 80×120 u ; maintenance 8–14 u ; atelier 60×100 u ; sas 25×45 u</x:v>
      </x:c>
      <x:c r="J28" s="71" t="str">
        <x:v>Deux boucles piétonnes et un réseau de maintenance ; entrées distinctes pour humains et Xénomorphes, passages Yautja ajoutés visibles</x:v>
      </x:c>
      <x:c r="K28" s="71" t="str">
        <x:v>Relais, atelier, transit, refuge, accès d’extraction</x:v>
      </x:c>
      <x:c r="L28" s="71" t="str">
        <x:v>Etat des alarmes et accès ; même station, pas de salles déplacées aléatoirement</x:v>
      </x:c>
      <x:c r="M28" s="71" t="str">
        <x:v>Cible 40–90 s entre objectifs voisins, mesurée sur routes réelles ; axes éloignés couverts par alliés ou transport.</x:v>
      </x:c>
      <x:c r="N28" s="71" t="str">
        <x:v>Référence 14 u/s à calibrer ; marche humaine, secours et gabarits lourds distincts.</x:v>
      </x:c>
      <x:c r="O28" s="71" t="str">
        <x:v>Enveloppe en unités de jeu, pas des mètres. Extensions, géométrie et dimensions originales ; pas un relevé exact de l’œuvre.</x:v>
      </x:c>
      <x:c r="P28" s="71" t="str">
        <x:v>Maintenir faible densité et menace persistante ; deux Xénomorphes détaillés au plus selon EFF-15. Vérifier portes, navigation par gabarit et état identique en revenant sur zone.
Lieux documentés : H-L01 — Sevastopol ; X-L05 — Sevastopol</x:v>
      </x:c>
      <x:c r="Q28" s="71" t="str">
        <x:v>P1</x:v>
      </x:c>
    </x:row>
    <x:row r="29" ht="76.5" customHeight="1">
      <x:c r="A29" s="70" t="str">
        <x:v>LD-23</x:v>
      </x:c>
      <x:c r="B29" s="70" t="str">
        <x:v>Lethe — colonie, usine et accès de ruche</x:v>
      </x:c>
      <x:c r="C29" s="70" t="str">
        <x:v>Nouvelle carte proposée ; aucune implémentation certifiée</x:v>
      </x:c>
      <x:c r="D29" s="70" t="str">
        <x:v>Dark Descent ; opération étendue et présence Yautja originales Lieu sourcé : H-L02 ; X-L04.</x:v>
      </x:c>
      <x:c r="E29" s="74" t="n">
        <x:v>1800</x:v>
      </x:c>
      <x:c r="F29" s="74" t="n">
        <x:v>2400</x:v>
      </x:c>
      <x:c r="G29" s="74" t="n">
        <x:v>18</x:v>
      </x:c>
      <x:c r="H29" s="74" t="n">
        <x:v>4</x:v>
      </x:c>
      <x:c r="I29" s="70" t="str">
        <x:v>Colonie 180×260 u ; usine 300×420 u ; galerie 15–30 u ; zone de poser 220×350 u</x:v>
      </x:c>
      <x:c r="J29" s="70" t="str">
        <x:v>Axes vers colonie, alimentation et ruche ; une route de retour reste récupérable ; l’Otago est une base liée, pas une pièce du même bâtiment</x:v>
      </x:c>
      <x:c r="K29" s="70" t="str">
        <x:v>Portail industriel, relais, habitat, piste, tunnels</x:v>
      </x:c>
      <x:c r="L29" s="70" t="str">
        <x:v>Barrages et foyers changent selon pertes ; géographie, habitants et destructions persistent</x:v>
      </x:c>
      <x:c r="M29" s="70" t="str">
        <x:v>Cible 40–90 s entre objectifs voisins, mesurée sur routes réelles ; axes éloignés couverts par alliés ou transport.</x:v>
      </x:c>
      <x:c r="N29" s="70" t="str">
        <x:v>Référence 14 u/s à calibrer ; marche humaine, secours et gabarits lourds distincts.</x:v>
      </x:c>
      <x:c r="O29" s="70" t="str">
        <x:v>Enveloppe en unités de jeu, pas des mètres. Extensions, géométrie et dimensions originales ; pas un relevé exact de l’œuvre.</x:v>
      </x:c>
      <x:c r="P29" s="70" t="str">
        <x:v>Pioneer Station reste un site distinct ; les variantes humaine et Yautja ne partagent pas le même joueur par accident. Vérifier portes, navigation par gabarit et état identique en revenant sur zone.
Lieux documentés : H-L02 — Lethe ; X-L04 — Lethe — colonie et liaison Pioneer</x:v>
      </x:c>
      <x:c r="Q29" s="70" t="str">
        <x:v>P1</x:v>
      </x:c>
    </x:row>
    <x:row r="30" ht="63" customHeight="1">
      <x:c r="A30" s="71" t="str">
        <x:v>LD-24</x:v>
      </x:c>
      <x:c r="B30" s="71" t="str">
        <x:v>Freya Prospect — complexe, ruines et extraction</x:v>
      </x:c>
      <x:c r="C30" s="71" t="str">
        <x:v>Nouvelle carte proposée ; aucune implémentation certifiée</x:v>
      </x:c>
      <x:c r="D30" s="71" t="str">
        <x:v>Aliens vs. Predator 2010 ; guerre musou originale dans ce cadre Lieu sourcé : Y-L02.</x:v>
      </x:c>
      <x:c r="E30" s="75" t="n">
        <x:v>2000</x:v>
      </x:c>
      <x:c r="F30" s="75" t="n">
        <x:v>2600</x:v>
      </x:c>
      <x:c r="G30" s="75" t="n">
        <x:v>20</x:v>
      </x:c>
      <x:c r="H30" s="75" t="n">
        <x:v>4</x:v>
      </x:c>
      <x:c r="I30" s="71" t="str">
        <x:v>Complexe 220×350 u ; jungle 300×500 u ; ruines 180×260 u ; galeries 12–30 u</x:v>
      </x:c>
      <x:c r="J30" s="71" t="str">
        <x:v>Trois réseaux reliés : logistique humaine au sol, accès de ruche et routes hautes Yautja ; deux accès par objectif majeur</x:v>
      </x:c>
      <x:c r="K30" s="71" t="str">
        <x:v>Complexe Weyland-Yutani, ruines, relais et piste proposés</x:v>
      </x:c>
      <x:c r="L30" s="71" t="str">
        <x:v>Routes de renfort et contrôle des postes ; repères et lieux ne changent pas de place</x:v>
      </x:c>
      <x:c r="M30" s="71" t="str">
        <x:v>Cible 40–90 s entre objectifs voisins, mesurée sur routes réelles ; axes éloignés couverts par alliés ou transport.</x:v>
      </x:c>
      <x:c r="N30" s="71" t="str">
        <x:v>Référence 14 u/s à calibrer ; marche humaine, secours et gabarits lourds distincts.</x:v>
      </x:c>
      <x:c r="O30" s="71" t="str">
        <x:v>Enveloppe en unités de jeu, pas des mètres. Extensions, géométrie et dimensions originales ; pas un relevé exact de l’œuvre.</x:v>
      </x:c>
      <x:c r="P30" s="71" t="str">
        <x:v>Les trois camps se battent hors caméra ; aucun équipement Fireteam ou Pathogen ajouté par hasard. Vérifier portes, navigation par gabarit et état identique en revenant sur zone.
Lieux documentés : Y-L02 — Freya Prospect et environs</x:v>
      </x:c>
      <x:c r="Q30" s="71" t="str">
        <x:v>P1</x:v>
      </x:c>
    </x:row>
    <x:row r="31" ht="76.5" customHeight="1">
      <x:c r="A31" s="70" t="str">
        <x:v>LD-25</x:v>
      </x:c>
      <x:c r="B31" s="70" t="str">
        <x:v>LV-895 — périphérie industrielle et ruines</x:v>
      </x:c>
      <x:c r="C31" s="70" t="str">
        <x:v>Nouvelle carte proposée ; aucune implémentation certifiée</x:v>
      </x:c>
      <x:c r="D31" s="70" t="str">
        <x:v>Fireteam Elite ; campagne alternative Yautja, preset standard hors Pathogen Lieu sourcé : X-L03.</x:v>
      </x:c>
      <x:c r="E31" s="74" t="n">
        <x:v>2200</x:v>
      </x:c>
      <x:c r="F31" s="74" t="n">
        <x:v>2800</x:v>
      </x:c>
      <x:c r="G31" s="74" t="n">
        <x:v>20</x:v>
      </x:c>
      <x:c r="H31" s="74" t="n">
        <x:v>4</x:v>
      </x:c>
      <x:c r="I31" s="70" t="str">
        <x:v>Cour 250×400 u ; ruine 180×250 u ; galerie 15–25 u ; terrain ouvert 350×550 u</x:v>
      </x:c>
      <x:c r="J31" s="70" t="str">
        <x:v>Boucle extérieure, accès industriels et parcours des ruines ; routes synthétiques distinctes des galeries Xénomorphes</x:v>
      </x:c>
      <x:c r="K31" s="70" t="str">
        <x:v>Relais de commande, ruines, sas logistique et extraction proposés</x:v>
      </x:c>
      <x:c r="L31" s="70" t="str">
        <x:v>Alarme et contrôle des routes ; la variante Pathogen demande un profil séparé</x:v>
      </x:c>
      <x:c r="M31" s="70" t="str">
        <x:v>Cible 40–90 s entre objectifs voisins, mesurée sur routes réelles ; axes éloignés couverts par alliés ou transport.</x:v>
      </x:c>
      <x:c r="N31" s="70" t="str">
        <x:v>Référence 14 u/s à calibrer ; marche humaine, secours et gabarits lourds distincts.</x:v>
      </x:c>
      <x:c r="O31" s="70" t="str">
        <x:v>Enveloppe en unités de jeu, pas des mètres. Extensions, géométrie et dimensions originales ; pas un relevé exact de l’œuvre.</x:v>
      </x:c>
      <x:c r="P31" s="70" t="str">
        <x:v>Le foyer Pathogen reste absent de cette opération standard ; ne pas mélanger chaque mutation dans les vagues. Vérifier portes, navigation par gabarit et état identique en revenant sur zone.
Lieux documentés : X-L03 — LV-895 — ruines des Engineers et foyer Pathogen</x:v>
      </x:c>
      <x:c r="Q31" s="70" t="str">
        <x:v>P1</x:v>
      </x:c>
    </x:row>
    <x:row r="32" ht="76.5" customHeight="1">
      <x:c r="A32" s="71" t="str">
        <x:v>LD-26</x:v>
      </x:c>
      <x:c r="B32" s="71" t="str">
        <x:v>Prodigy City — cordon autour du Maginot</x:v>
      </x:c>
      <x:c r="C32" s="71" t="str">
        <x:v>Nouvelle carte proposée ; aucune implémentation certifiée</x:v>
      </x:c>
      <x:c r="D32" s="71" t="str">
        <x:v>Alien: Earth ; variante de guerre et intrusion Yautja originales Lieu sourcé : H-L05 ; X-L08.</x:v>
      </x:c>
      <x:c r="E32" s="75" t="n">
        <x:v>1600</x:v>
      </x:c>
      <x:c r="F32" s="75" t="n">
        <x:v>2000</x:v>
      </x:c>
      <x:c r="G32" s="75" t="n">
        <x:v>16</x:v>
      </x:c>
      <x:c r="H32" s="75" t="n">
        <x:v>4</x:v>
      </x:c>
      <x:c r="I32" s="71" t="str">
        <x:v>Epave 120×300 u ; place 180×240 u ; rue 18–30 u ; service 10–20 u</x:v>
      </x:c>
      <x:c r="J32" s="71" t="str">
        <x:v>Cordon urbain, épave compartimentée et axe de secours ; chemins civils et routes tactiques séparés puis recoupés à des points contrôlables</x:v>
      </x:c>
      <x:c r="K32" s="71" t="str">
        <x:v>Epave, poste de secours, relais, accès de laboratoire proposés</x:v>
      </x:c>
      <x:c r="L32" s="71" t="str">
        <x:v>Horaires d’extraction, portes, incendies et ordres corporatistes ; population persistante</x:v>
      </x:c>
      <x:c r="M32" s="71" t="str">
        <x:v>Cible 40–90 s entre objectifs voisins, mesurée sur routes réelles ; axes éloignés couverts par alliés ou transport.</x:v>
      </x:c>
      <x:c r="N32" s="71" t="str">
        <x:v>Référence 14 u/s à calibrer ; marche humaine, secours et gabarits lourds distincts.</x:v>
      </x:c>
      <x:c r="O32" s="71" t="str">
        <x:v>Enveloppe en unités de jeu, pas des mètres. Extensions, géométrie et dimensions originales ; pas un relevé exact de l’œuvre.</x:v>
      </x:c>
      <x:c r="P32" s="71" t="str">
        <x:v>Conserver le cadre 2120 ; aucune escouade de Wendy, aucun bataillon USCM ; autres organismes gérés individuellement. Vérifier portes, navigation par gabarit et état identique en revenant sur zone.
Lieux documentés : H-L05 — Prodigy City et épave de l’USCSS Maginot ; X-L08 — USCSS Maginot — confinement des spécimens</x:v>
      </x:c>
      <x:c r="Q32" s="71" t="str">
        <x:v>P2</x:v>
      </x:c>
    </x:row>
    <x:row r="33" ht="63" customHeight="1">
      <x:c r="A33" s="70" t="str">
        <x:v>LD-27</x:v>
      </x:c>
      <x:c r="B33" s="70" t="str">
        <x:v>Tobler-9 — avant-poste, refuge et sous-sol</x:v>
      </x:c>
      <x:c r="C33" s="70" t="str">
        <x:v>Nouvelle carte proposée ; aucune implémentation certifiée</x:v>
      </x:c>
      <x:c r="D33" s="70" t="str">
        <x:v>Alien Marvel 2022 ; intervention Yautja et grands effectifs originaux Lieu sourcé : H-L06.</x:v>
      </x:c>
      <x:c r="E33" s="74" t="n">
        <x:v>1800</x:v>
      </x:c>
      <x:c r="F33" s="74" t="n">
        <x:v>2400</x:v>
      </x:c>
      <x:c r="G33" s="74" t="n">
        <x:v>18</x:v>
      </x:c>
      <x:c r="H33" s="74" t="n">
        <x:v>3</x:v>
      </x:c>
      <x:c r="I33" s="70" t="str">
        <x:v>Refuge 120×180 u ; installation 240×350 u ; tunnel 15–35 u ; nid 180×280 u</x:v>
      </x:c>
      <x:c r="J33" s="70" t="str">
        <x:v>Deux chemins de secours, un accès industriel et réseau souterrain ; le refuge reste une vraie destination depuis tous les secteurs</x:v>
      </x:c>
      <x:c r="K33" s="70" t="str">
        <x:v>Avant-poste, filtre d’air, ascenseur et refuge proposés</x:v>
      </x:c>
      <x:c r="L33" s="70" t="str">
        <x:v>Etat du pacte, accès techniques et pression de ruche</x:v>
      </x:c>
      <x:c r="M33" s="70" t="str">
        <x:v>Cible 40–90 s entre objectifs voisins, mesurée sur routes réelles ; axes éloignés couverts par alliés ou transport.</x:v>
      </x:c>
      <x:c r="N33" s="70" t="str">
        <x:v>Référence 14 u/s à calibrer ; marche humaine, secours et gabarits lourds distincts.</x:v>
      </x:c>
      <x:c r="O33" s="70" t="str">
        <x:v>Enveloppe en unités de jeu, pas des mètres. Extensions, géométrie et dimensions originales ; pas un relevé exact de l’œuvre.</x:v>
      </x:c>
      <x:c r="P33" s="70" t="str">
        <x:v>Séparer survivants, synthétiques et Xénomorphes ; aucun membre nommé Steel Team cloné ou ressuscité. Vérifier portes, navigation par gabarit et état identique en revenant sur zone.
Lieux documentés : H-L06 — Tobler-9</x:v>
      </x:c>
      <x:c r="Q33" s="70" t="str">
        <x:v>P1</x:v>
      </x:c>
    </x:row>
    <x:row r="34" ht="76.5" customHeight="1">
      <x:c r="A34" s="71" t="str">
        <x:v>LD-28</x:v>
      </x:c>
      <x:c r="B34" s="71" t="str">
        <x:v>Station Epsilon — sas, laboratoires et quai</x:v>
      </x:c>
      <x:c r="C34" s="71" t="str">
        <x:v>Nouvelle carte proposée ; aucune implémentation certifiée</x:v>
      </x:c>
      <x:c r="D34" s="71" t="str">
        <x:v>Alien Marvel 2021 ; récupération Yautja originale Lieu sourcé : H-L07.</x:v>
      </x:c>
      <x:c r="E34" s="75" t="n">
        <x:v>900</x:v>
      </x:c>
      <x:c r="F34" s="75" t="n">
        <x:v>1400</x:v>
      </x:c>
      <x:c r="G34" s="75" t="n">
        <x:v>12</x:v>
      </x:c>
      <x:c r="H34" s="75" t="n">
        <x:v>3</x:v>
      </x:c>
      <x:c r="I34" s="71" t="str">
        <x:v>Quai 160×240 u ; labo 70×120 u ; sas 20×40 u ; couloir 8–16 u</x:v>
      </x:c>
      <x:c r="J34" s="71" t="str">
        <x:v>Boucles de sécurité, services et extraction ; transferts visibles entre secteurs, lignes de tir interrompues par sas</x:v>
      </x:c>
      <x:c r="K34" s="71" t="str">
        <x:v>Contrôle, laboratoire, refuge et quai proposés</x:v>
      </x:c>
      <x:c r="L34" s="71" t="str">
        <x:v>Alimentation et verrouillage persistants ; matériel et humains ne se téléportent pas entre postes</x:v>
      </x:c>
      <x:c r="M34" s="71" t="str">
        <x:v>Cible 40–90 s entre objectifs voisins, mesurée sur routes réelles ; axes éloignés couverts par alliés ou transport.</x:v>
      </x:c>
      <x:c r="N34" s="71" t="str">
        <x:v>Référence 14 u/s à calibrer ; marche humaine, secours et gabarits lourds distincts.</x:v>
      </x:c>
      <x:c r="O34" s="71" t="str">
        <x:v>Enveloppe en unités de jeu, pas des mètres. Extensions, géométrie et dimensions originales ; pas un relevé exact de l’œuvre.</x:v>
      </x:c>
      <x:c r="P34" s="71" t="str">
        <x:v>Utiliser le budget localisé EFF-15 ; huit adultes alloués au maximum dans cette variante, sans prétendre au nombre du comic. Vérifier portes, navigation par gabarit et état identique en revenant sur zone.
Lieux documentés : H-L07 — Station Epsilon</x:v>
      </x:c>
      <x:c r="Q34" s="71" t="str">
        <x:v>P1</x:v>
      </x:c>
    </x:row>
    <x:row r="35" ht="103.5" customHeight="1">
      <x:c r="A35" s="70" t="str">
        <x:v>LD-29</x:v>
      </x:c>
      <x:c r="B35" s="70" t="str">
        <x:v>Neonopolis — récupération technologique dans les quartiers industriels</x:v>
      </x:c>
      <x:c r="C35" s="70" t="str">
        <x:v>Nouvelle carte proposée ; aucune implémentation ni nouvelle mesure du code revendiquée</x:v>
      </x:c>
      <x:c r="D35" s="70" t="str">
        <x:v>Lieu média Y-L03 ; Concrete Jungle (2005). NECA confirme Neonopolis et la récupération technologique de Scarface : https://store.necaonline.com/blogs/behind-the-scenes/closer-look-video-game-appearance-ultimate-scarface-predator . Scénario et personnages additionnels originaux, non reconstitution du déroulement de l’œuvre. Effectifs, objectifs, groupes et dimensions sont des propositions de jeu.</x:v>
      </x:c>
      <x:c r="E35" s="74" t="n">
        <x:v>2400</x:v>
      </x:c>
      <x:c r="F35" s="74" t="n">
        <x:v>3000</x:v>
      </x:c>
      <x:c r="G35" s="74" t="n">
        <x:v>20</x:v>
      </x:c>
      <x:c r="H35" s="74" t="n">
        <x:v>4</x:v>
      </x:c>
      <x:c r="I35" s="70" t="str">
        <x:v>Quartiers de 180–360 u ; cours industrielles de 120–240 u ; rues de 20–40 u ; passages de service de 8–16 u ; accès aux toits conditionnés par les bâtiments.</x:v>
      </x:c>
      <x:c r="J35" s="70" t="str">
        <x:v>Quatre axes reliés : dépôt technologique A, registre des transferts B, gare logistique C et poste électrique/sortie D. Routes piétonnes, itinéraire de convoi et parcours de toiture se rencontrent à des points de contrôle destructibles.</x:v>
      </x:c>
      <x:c r="K35" s="70" t="str">
        <x:v>Dépôt sous surveillance, centre de données, gare de fret, sous-station, accès aux toits et refuges civils — disposition originale.</x:v>
      </x:c>
      <x:c r="L35" s="70" t="str">
        <x:v>Voie de convoi et portes initialement fermées ; les mêmes bâtiments persistent entre phases. La coupure électrique affecte les seuls systèmes raccordés.</x:v>
      </x:c>
      <x:c r="M35" s="70" t="str">
        <x:v>Cible proposée : 40–90 s entre objectifs voisins ; les fronts éloignés exigent des affectations distinctes, avec délais d’alerte et de secours compatibles.</x:v>
      </x:c>
      <x:c r="N35" s="70" t="str">
        <x:v>Référence de conception : 14 u/s à vérifier avec le profil lent ; civils, convois et terrain difficile possèdent leurs propres vitesses.</x:v>
      </x:c>
      <x:c r="O35" s="70" t="str">
        <x:v>Enveloppe proposée en unités de jeu, pas en mètres. Les secteurs parcourables, leur relief et leurs connexions doivent être relevés dans l’œuvre puis prototypés ; aucune restitution spatiale 1:1 revendiquée.</x:v>
      </x:c>
      <x:c r="P35" s="70" t="str">
        <x:v>Le transport du module reste physiquement possible ; les accès de toiture possèdent retours et contre-approches ; aucun bâtiment canonique n’est déduit de cette disposition originale.</x:v>
      </x:c>
      <x:c r="Q35" s="70" t="str">
        <x:v>P1</x:v>
      </x:c>
    </x:row>
    <x:row r="36" ht="103.5" customHeight="1">
      <x:c r="A36" s="71" t="str">
        <x:v>LD-30</x:v>
      </x:c>
      <x:c r="B36" s="71" t="str">
        <x:v>Genna — trois voies de récupération d’une balise de clan</x:v>
      </x:c>
      <x:c r="C36" s="71" t="str">
        <x:v>Nouvelle carte proposée ; aucune implémentation ni nouvelle mesure du code revendiquée</x:v>
      </x:c>
      <x:c r="D36" s="71" t="str">
        <x:v>Lieu média Y-L01 ; Badlands (2025). Disney+ nomme Genna : https://www.disneyplus.com/explore/articles/predator-badlands-movie . Guerre entre deux clans inventés, hors histoire de Dek ; Scénario et personnages additionnels originaux, non reconstitution du déroulement de l’œuvre. Effectifs, objectifs, groupes et dimensions sont des propositions de jeu.</x:v>
      </x:c>
      <x:c r="E36" s="75" t="n">
        <x:v>2600</x:v>
      </x:c>
      <x:c r="F36" s="75" t="n">
        <x:v>2200</x:v>
      </x:c>
      <x:c r="G36" s="75" t="n">
        <x:v>15</x:v>
      </x:c>
      <x:c r="H36" s="75" t="n">
        <x:v>3</x:v>
      </x:c>
      <x:c r="I36" s="71" t="str">
        <x:v>Bassins de 250–500 u ; corniches de 8–20 u ; passages rocheux de 12–30 u ; refuges espacés de 350–700 u ; silhouettes et biomes à comparer aux scènes.</x:v>
      </x:c>
      <x:c r="J36" s="71" t="str">
        <x:v>A approche et ravin, B balise sur un plateau, C camp et départ. Une voie basse et une voie haute rejoignent chaque axe ; les franchissements ont un détour connu, jamais une téléportation de renfort.</x:v>
      </x:c>
      <x:c r="K36" s="71" t="str">
        <x:v>Plateau de récupération, franchissement, refuge et camp de départ originaux ; les formes visuelles proviennent ensuite d’un relevé du film.</x:v>
      </x:c>
      <x:c r="L36" s="71" t="str">
        <x:v>Accès temporairement fermé et signal de balise variable ; ne pas inventer de plante ou d’animal canonique pour justifier une règle de terrain.</x:v>
      </x:c>
      <x:c r="M36" s="71" t="str">
        <x:v>Cible proposée : 40–90 s entre objectifs voisins ; les fronts éloignés exigent des affectations distinctes, avec délais d’alerte et de secours compatibles.</x:v>
      </x:c>
      <x:c r="N36" s="71" t="str">
        <x:v>Référence de conception : 14 u/s à vérifier avec le profil lent ; civils, convois et terrain difficile possèdent leurs propres vitesses.</x:v>
      </x:c>
      <x:c r="O36" s="71" t="str">
        <x:v>Enveloppe proposée en unités de jeu, pas en mètres. Les secteurs parcourables, leur relief et leurs connexions doivent être relevés dans l’œuvre puis prototypés ; aucune restitution spatiale 1:1 revendiquée.</x:v>
      </x:c>
      <x:c r="P36" s="71" t="str">
        <x:v>Le relief permet un déplacement lisible des grands acteurs ; chaque groupe garde une route de repli. Le preset exclut Dek, Thia et tout animal nommé du film.</x:v>
      </x:c>
      <x:c r="Q36" s="71" t="str">
        <x:v>P2</x:v>
      </x:c>
    </x:row>
    <x:row r="37" ht="103.5" customHeight="1">
      <x:c r="A37" s="70" t="str">
        <x:v>LD-31</x:v>
      </x:c>
      <x:c r="B37" s="70" t="str">
        <x:v>Réserve de The Last Hunt — opération de libération alternative</x:v>
      </x:c>
      <x:c r="C37" s="70" t="str">
        <x:v>Nouvelle carte proposée ; aucune implémentation ni nouvelle mesure du code revendiquée</x:v>
      </x:c>
      <x:c r="D37" s="70" t="str">
        <x:v>Lieu média Y-L04 ; Predator: The Last Hunt (2024), notice Marvel : https://www.marvel.com/comics/collection/110461/predator_the_last_hunt_trade_paperback . Site exact à vérifier dans les pages ; Scénario et personnages additionnels originaux, non reconstitution du déroulement de l’œuvre. Effectifs, objectifs, groupes et dimensions sont des propositions de jeu.</x:v>
      </x:c>
      <x:c r="E37" s="74" t="n">
        <x:v>2200</x:v>
      </x:c>
      <x:c r="F37" s="74" t="n">
        <x:v>1800</x:v>
      </x:c>
      <x:c r="G37" s="74" t="n">
        <x:v>14</x:v>
      </x:c>
      <x:c r="H37" s="74" t="n">
        <x:v>3</x:v>
      </x:c>
      <x:c r="I37" s="70" t="str">
        <x:v>Enclos proposés de 80–160 u ; clairières de 180–320 u ; chemins de 10–24 u ; zones d’abri distinctes pour les captifs ; aucun dispositif de stase affirmé sans preuve.</x:v>
      </x:c>
      <x:c r="J37" s="70" t="str">
        <x:v>A accès aux deux premiers groupes de captifs, B route de mise à l’abri et troisième groupe, C commande de verrouillage et quai de départ. Les gardes peuvent circuler entre les postes par un chemin extérieur.</x:v>
      </x:c>
      <x:c r="K37" s="70" t="str">
        <x:v>Trois abris de captivité de huit humains, relais de commande, abri intermédiaire et point de départ ; tous ces emplacements sont une disposition originale.</x:v>
      </x:c>
      <x:c r="L37" s="70" t="str">
        <x:v>Le gardien peut déplacer un groupe de captifs en suivant une route ; les captifs gardent leurs identités, leur état et une destination réelle.</x:v>
      </x:c>
      <x:c r="M37" s="70" t="str">
        <x:v>Cible proposée : 40–90 s entre objectifs voisins ; les fronts éloignés exigent des affectations distinctes, avec délais d’alerte et de secours compatibles.</x:v>
      </x:c>
      <x:c r="N37" s="70" t="str">
        <x:v>Référence de conception : 14 u/s à vérifier avec le profil lent ; civils, convois et terrain difficile possèdent leurs propres vitesses.</x:v>
      </x:c>
      <x:c r="O37" s="70" t="str">
        <x:v>Enveloppe proposée en unités de jeu, pas en mètres. Les secteurs parcourables, leur relief et leurs connexions doivent être relevés dans l’œuvre puis prototypés ; aucune restitution spatiale 1:1 revendiquée.</x:v>
      </x:c>
      <x:c r="P37" s="70" t="str">
        <x:v>Une fermeture coupe une route précise sans enfermer arbitrairement les civils ; le registre réconcilie 24 captifs entre rétention, déplacement, secours et pertes. Ne pas fusionner plusieurs planètes du comic.</x:v>
      </x:c>
      <x:c r="Q37" s="70" t="str">
        <x:v>P2</x:v>
      </x:c>
    </x:row>
    <x:row r="38" ht="90" customHeight="1">
      <x:c r="A38" s="71" t="str">
        <x:v>LD-32</x:v>
      </x:c>
      <x:c r="B38" s="71" t="str">
        <x:v>Planète de toundra — épave de Theta et approche de l’avant-poste</x:v>
      </x:c>
      <x:c r="C38" s="71" t="str">
        <x:v>Nouvelle carte proposée ; aucune implémentation ni nouvelle mesure du code revendiquée</x:v>
      </x:c>
      <x:c r="D38" s="71" t="str">
        <x:v>Lieu média H-L09 ; Predator (2022) #2. Marvel décrit Theta échouée, une marche vers un avant-poste et une traque : https://www.marvel.com/comics/issue/89619/predator . Scénario et personnages additionnels originaux, non reconstitution du déroulement de l’œuvre. Effectifs, objectifs, groupes et dimensions sont des propositions de jeu.</x:v>
      </x:c>
      <x:c r="E38" s="75" t="n">
        <x:v>1800</x:v>
      </x:c>
      <x:c r="F38" s="75" t="n">
        <x:v>2400</x:v>
      </x:c>
      <x:c r="G38" s="75" t="n">
        <x:v>12</x:v>
      </x:c>
      <x:c r="H38" s="75" t="n">
        <x:v>3</x:v>
      </x:c>
      <x:c r="I38" s="71" t="str">
        <x:v>Plaines ouvertes de 300–600 u ; replis de terrain de 40–120 u ; couloirs abrités de 10–30 u ; épave et avant-poste à relever dans les pages, sans coordonnées fictivement canoniques.</x:v>
      </x:c>
      <x:c r="J38" s="71" t="str">
        <x:v>A épave et balise, B itinéraire protégé par le relief, C avant-poste et liaison. Trois objectifs parallèles très peu peuplés ; lignes de vue longues mais occultées par des obstacles lisibles.</x:v>
      </x:c>
      <x:c r="K38" s="71" t="str">
        <x:v>Épave de Theta et avant-poste attestés ; balise Yautja, stations de repérage et circuit d’alimentation sont des ajouts de scénario.</x:v>
      </x:c>
      <x:c r="L38" s="71" t="str">
        <x:v>Visibilité et ouverture des passages varient ; les gardes et Theta restent les mêmes acteurs, sans patrouilles générées à l’infini.</x:v>
      </x:c>
      <x:c r="M38" s="71" t="str">
        <x:v>Cible proposée : 60–120 s entre objectifs voisins. La faible densité sert une traque ; les délais de déplacement sont compatibles avec la progression autonome de Theta vers C.</x:v>
      </x:c>
      <x:c r="N38" s="71" t="str">
        <x:v>Référence de conception : 14 u/s à vérifier avec le profil lent ; civils, convois et terrain difficile possèdent leurs propres vitesses.</x:v>
      </x:c>
      <x:c r="O38" s="71" t="str">
        <x:v>Enveloppe proposée en unités de jeu, pas en mètres. Les secteurs parcourables, leur relief et leurs connexions doivent être relevés dans l’œuvre puis prototypés ; aucune restitution spatiale 1:1 revendiquée.</x:v>
      </x:c>
      <x:c r="P38" s="71" t="str">
        <x:v>Chaque camp peut rejoindre l’objectif sans sprint obligatoire ; les traces se dégradent sans fournir une détection parfaite. Theta demeure unique et les sept gardes originaux sont distincts.</x:v>
      </x:c>
      <x:c r="Q38" s="71" t="str">
        <x:v>P2</x:v>
      </x:c>
    </x:row>
    <x:row r="39" ht="63" customHeight="1">
      <x:c r="A39" s="70" t="str">
        <x:v>LD-33</x:v>
      </x:c>
      <x:c r="B39" s="70" t="str">
        <x:v>Lune des Spinners — habitat et terraformation</x:v>
      </x:c>
      <x:c r="C39" s="70" t="str">
        <x:v>Nouvelle carte proposée ; aucune implémentation certifiée</x:v>
      </x:c>
      <x:c r="D39" s="70" t="str">
        <x:v>Alien Marvel 2021 ; nom du lieu à confirmer, secours Yautja original Lieu sourcé : H-L08.</x:v>
      </x:c>
      <x:c r="E39" s="74" t="n">
        <x:v>2000</x:v>
      </x:c>
      <x:c r="F39" s="74" t="n">
        <x:v>2600</x:v>
      </x:c>
      <x:c r="G39" s="74" t="n">
        <x:v>18</x:v>
      </x:c>
      <x:c r="H39" s="74" t="n">
        <x:v>3</x:v>
      </x:c>
      <x:c r="I39" s="70" t="str">
        <x:v>Habitat 180×250 u ; chantier 300×450 u ; conduit 15–25 u ; abri 80×140 u</x:v>
      </x:c>
      <x:c r="J39" s="70" t="str">
        <x:v>Habitat, chantier et extraction forment un triangle connecté par deux routes ; infrastructure explique les déplacements et la population</x:v>
      </x:c>
      <x:c r="K39" s="70" t="str">
        <x:v>Habitat, chantier de terraformation, passerelle et zone d’embarquement proposés</x:v>
      </x:c>
      <x:c r="L39" s="70" t="str">
        <x:v>Foyers, état du chantier et progression du convoi ; relief stable</x:v>
      </x:c>
      <x:c r="M39" s="70" t="str">
        <x:v>Cible 40–90 s entre objectifs voisins, mesurée sur routes réelles ; axes éloignés couverts par alliés ou transport.</x:v>
      </x:c>
      <x:c r="N39" s="70" t="str">
        <x:v>Référence 14 u/s à calibrer ; marche humaine, secours et gabarits lourds distincts.</x:v>
      </x:c>
      <x:c r="O39" s="70" t="str">
        <x:v>Enveloppe en unités de jeu, pas des mètres. Extensions, géométrie et dimensions originales ; pas un relevé exact de l’œuvre.</x:v>
      </x:c>
      <x:c r="P39" s="70" t="str">
        <x:v>Nom de lune non inventé ; Spinners civils distincts d’une garnison ajoutée par conception. Vérifier portes, navigation par gabarit et état identique en revenant sur zone.
Lieux documentés : H-L08 — Lune des Spinners — nom à confirmer</x:v>
      </x:c>
      <x:c r="Q39" s="70" t="str">
        <x:v>P2</x:v>
      </x:c>
    </x:row>
    <x:row r="40" ht="157.5" customHeight="1">
      <x:c r="A40" s="71" t="str">
        <x:v>LD-34</x:v>
      </x:c>
      <x:c r="B40" s="71" t="str">
        <x:v>LV-742 — bassin atmosphérique et ruche des failles</x:v>
      </x:c>
      <x:c r="C40" s="71" t="str">
        <x:v>Nouvelle carte proposée à partir du théâtre officiel Extinction ; aucune implémentation ni mesure de performance revendiquée</x:v>
      </x:c>
      <x:c r="D40" s="71"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x:v>
      </x:c>
      <x:c r="E40" s="75" t="n">
        <x:v>1800</x:v>
      </x:c>
      <x:c r="F40" s="75" t="n">
        <x:v>1600</x:v>
      </x:c>
      <x:c r="G40" s="75" t="n">
        <x:v>16</x:v>
      </x:c>
      <x:c r="H40" s="75" t="n">
        <x:v>4</x:v>
      </x:c>
      <x:c r="I40" s="71" t="str">
        <x:v>Cour industrielle 180 × 240 u ; défilé 25–45 u ; bassin ouvert 350 × 400 u ; galeries 10–18 u ; sanctuaire 160 × 220 u ; deux profondeurs de cavernes reliées par rampes</x:v>
      </x:c>
      <x:c r="J40" s="71" t="str">
        <x:v>Boucle A→B→C→D→A : A au nord-est (atmos et débarquement humain), B au sud-est (col logistique), C au sud-ouest (ruche), D au nord-ouest (sanctuaire et sortie Yautja). Deux passages relient chaque paire de secteurs voisins ; une galerie A↔C se débloque par une action locale et ne traverse pas l’arène de la reine. Le plateau D↔B offre un détour aux petites escouades, inaccessible au fret lourd.</x:v>
      </x:c>
      <x:c r="K40" s="71" t="str">
        <x:v>Tour atmosphérique visible depuis B, épave-pont du col, ouverture de ruche dans la falaise, dalle lumineuse du sanctuaire, fumée des balises humaines, deux antennes de commande</x:v>
      </x:c>
      <x:c r="L40" s="71" t="str">
        <x:v>Varier les conduits accessibles, l’état de réparation des atmos et l’itinéraire des convois. Géométrie générale stable ; aucune rotation magique de la vallée ni apparition sans accès. L’éclairage et la météo modifient détection et lignes de tir après profilage.</x:v>
      </x:c>
      <x:c r="M40" s="71" t="str">
        <x:v>Cible 45–90 s entre objectifs voisins avec la vitesse lente du joueur et les obstacles ; franchir toute la carte reste coûteux et impose des ordres aux alliés. Les délais d’alarme dépendent du chemin réel.</x:v>
      </x:c>
      <x:c r="N40" s="71" t="str">
        <x:v>Référence de prototype 14 u/s, à recalibrer ; locomotions du joueur, des Marines, des Xénomorphes et des dispositifs mobiles distinctes.</x:v>
      </x:c>
      <x:c r="O40" s="71" t="str">
        <x:v>Enveloppe de conception en unités de jeu, pas des mètres certifiés ; surface jouable partielle et secteurs chargés selon proximité. Aucun plan officiel 1:1 revendiqué.</x:v>
      </x:c>
      <x:c r="P40" s="71" t="str">
        <x:v>Chaque front possède au moins deux routes praticables ; tout blocage conserve un détour mesurable. La taille des galeries filtre les grosses unités. Renforts humains par balise, Xénomorphes par conduits tracés, Yautja par route du sanctuaire. La reine ne bouche pas l’unique sortie.
Opération liée : FR-40
Gabarit lié : EFF-14
Lieux documentés : X-L01 — LV-742 — zones de guerre d’Extinction
X-S01 — Aliens versus Predator: Extinction — manuel officiel PS2
https://gamingalexandria.com/ps2/Aliens%20Versus%20Predator%20Extinction/Aliens%20Versus%20Predator%20Extinction%20-%20Manual.pdf</x:v>
      </x:c>
      <x:c r="Q40" s="71" t="str">
        <x:v>P1</x:v>
      </x:c>
    </x:row>
  </x:sheetData>
  <x:conditionalFormatting sqref="Q7:Q19">
    <x:cfRule type="cellIs" dxfId="13" priority="1" operator="equal">
      <x:formula>"P0"</x:formula>
    </x:cfRule>
    <x:cfRule type="cellIs" dxfId="14" priority="2" operator="equal">
      <x:formula>"P1"</x:formula>
    </x:cfRule>
    <x:cfRule type="cellIs" dxfId="15" priority="3" operator="equal">
      <x:formula>"P2"</x:formula>
    </x:cfRule>
  </x:conditionalFormatting>
  <x:conditionalFormatting sqref="Q20:Q27">
    <x:cfRule type="cellIs" dxfId="31" priority="4" operator="equal">
      <x:formula>"P0"</x:formula>
    </x:cfRule>
    <x:cfRule type="cellIs" dxfId="32" priority="5" operator="equal">
      <x:formula>"P1"</x:formula>
    </x:cfRule>
    <x:cfRule type="cellIs" dxfId="33" priority="6" operator="equal">
      <x:formula>"P2"</x:formula>
    </x:cfRule>
  </x:conditionalFormatting>
  <x:conditionalFormatting sqref="Q28:Q40">
    <x:cfRule type="cellIs" dxfId="61" priority="7" operator="equal">
      <x:formula>"P0"</x:formula>
    </x:cfRule>
    <x:cfRule type="cellIs" dxfId="62" priority="8" operator="equal">
      <x:formula>"P1"</x:formula>
    </x:cfRule>
    <x:cfRule type="cellIs" dxfId="63" priority="9" operator="equal">
      <x:formula>"P2"</x:formula>
    </x:cfRule>
  </x:conditionalFormatting>
  <x:dataValidations count="3">
    <x:dataValidation type="list" sqref="Q7:Q19">
      <x:formula1>"P0,P1,P2,P3"</x:formula1>
    </x:dataValidation>
    <x:dataValidation type="list" sqref="Q20:Q27">
      <x:formula1>"P0,P1,P2,P3"</x:formula1>
    </x:dataValidation>
    <x:dataValidation type="list" sqref="Q28:Q40">
      <x:formula1>"P0,P1,P2,P3"</x:formula1>
    </x:dataValidation>
  </x:dataValidations>
  <x:pageMargins left="0.7" right="0.7" top="0.75" bottom="0.75" header="0.3" footer="0.3"/>
  <x:tableParts count="1">
    <x:tablePart xmlns:r="http://schemas.openxmlformats.org/officeDocument/2006/relationships" r:id="R53f68c40272c4e8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3" hidden="0" customWidth="1"/>
    <x:col min="3" max="3" width="30" hidden="0" customWidth="1"/>
    <x:col min="4" max="4" width="61" hidden="0" customWidth="1"/>
    <x:col min="5" max="5" width="36" hidden="0" customWidth="1"/>
    <x:col min="6" max="6" width="60" hidden="0" customWidth="1"/>
    <x:col min="7" max="7" width="63" hidden="0" customWidth="1"/>
    <x:col min="8" max="8" width="72" hidden="0" customWidth="1"/>
    <x:col min="9" max="9" width="65" hidden="0" customWidth="1"/>
    <x:col min="10" max="10" width="67" hidden="0" customWidth="1"/>
    <x:col min="11" max="11" width="57" hidden="0" customWidth="1"/>
    <x:col min="12" max="12" width="70" hidden="0" customWidth="1"/>
    <x:col min="13" max="13" width="10" hidden="0" customWidth="1"/>
    <x:col min="14" max="14" width="18" hidden="0" customWidth="1"/>
    <x:col min="15" max="15" width="50" hidden="0" customWidth="1"/>
    <x:col min="16" max="16" width="65" hidden="0" customWidth="1"/>
  </x:cols>
  <x:sheetData>
    <x:row r="1" ht="12" customHeight="1">
      <x:c r="A1" s="3"/>
      <x:c r="B1" s="3"/>
      <x:c r="C1" s="3"/>
      <x:c r="D1" s="3"/>
      <x:c r="E1" s="3"/>
      <x:c r="F1" s="3"/>
      <x:c r="G1" s="3"/>
      <x:c r="H1" s="3"/>
      <x:c r="I1" s="3"/>
      <x:c r="J1" s="3"/>
      <x:c r="K1" s="3"/>
      <x:c r="L1" s="3"/>
      <x:c r="M1" s="3"/>
      <x:c r="N1" s="3"/>
      <x:c r="O1" s="3"/>
      <x:c r="P1" s="3"/>
    </x:row>
    <x:row r="2" ht="29" customHeight="1">
      <x:c r="A2" s="4" t="str">
        <x:v>Boss, mini-boss et chefs de groupe</x:v>
      </x:c>
      <x:c r="B2" s="3"/>
      <x:c r="C2" s="3"/>
      <x:c r="D2" s="3"/>
      <x:c r="E2" s="3"/>
      <x:c r="F2" s="3"/>
      <x:c r="G2" s="3"/>
      <x:c r="H2" s="3"/>
      <x:c r="I2" s="3"/>
      <x:c r="J2" s="3"/>
      <x:c r="K2" s="3"/>
      <x:c r="L2" s="3"/>
      <x:c r="M2" s="3"/>
      <x:c r="N2" s="3"/>
      <x:c r="O2" s="3"/>
      <x:c r="P2" s="3"/>
    </x:row>
    <x:row r="3" ht="8" customHeight="1">
      <x:c r="A3" s="5"/>
      <x:c r="B3" s="5"/>
      <x:c r="C3" s="5"/>
      <x:c r="D3" s="5"/>
      <x:c r="E3" s="5"/>
      <x:c r="F3" s="5"/>
      <x:c r="G3" s="5"/>
      <x:c r="H3" s="5"/>
      <x:c r="I3" s="5"/>
      <x:c r="J3" s="5"/>
      <x:c r="K3" s="5"/>
      <x:c r="L3" s="5"/>
      <x:c r="M3" s="5"/>
      <x:c r="N3" s="5"/>
      <x:c r="O3" s="5"/>
      <x:c r="P3" s="5"/>
    </x:row>
    <x:row r="4">
      <x:c r="A4" s="6" t="str">
        <x:v>Fiches de conception et écarts connus. Les personnages uniques restent uniques dans leur reconstitution.</x:v>
      </x:c>
      <x:c r="B4" s="3"/>
      <x:c r="C4" s="3"/>
      <x:c r="D4" s="3"/>
      <x:c r="E4" s="3"/>
      <x:c r="F4" s="3"/>
      <x:c r="G4" s="3"/>
      <x:c r="H4" s="3"/>
      <x:c r="I4" s="3"/>
      <x:c r="J4" s="3"/>
      <x:c r="K4" s="3"/>
      <x:c r="L4" s="3"/>
      <x:c r="M4" s="3"/>
      <x:c r="N4" s="3"/>
      <x:c r="O4" s="3"/>
      <x:c r="P4" s="3"/>
    </x:row>
    <x:row r="5">
      <x:c r="A5" s="7" t="str">
        <x:v>39 lignes</x:v>
      </x:c>
      <x:c r="B5" s="3"/>
      <x:c r="C5" s="3"/>
      <x:c r="D5" s="3"/>
      <x:c r="E5" s="3"/>
      <x:c r="F5" s="3"/>
      <x:c r="G5" s="3"/>
      <x:c r="H5" s="3"/>
      <x:c r="I5" s="3"/>
      <x:c r="J5" s="3"/>
      <x:c r="K5" s="3"/>
      <x:c r="L5" s="3"/>
      <x:c r="M5" s="3"/>
      <x:c r="N5" s="3"/>
      <x:c r="O5" s="3"/>
      <x:c r="P5" s="3"/>
    </x:row>
    <x:row r="6" ht="36" customHeight="1">
      <x:c r="A6" s="19" t="str">
        <x:v>ID</x:v>
      </x:c>
      <x:c r="B6" s="20" t="str">
        <x:v>Rencontre</x:v>
      </x:c>
      <x:c r="C6" s="20" t="str">
        <x:v>Niveau de rencontre</x:v>
      </x:c>
      <x:c r="D6" s="20" t="str">
        <x:v>État actuel</x:v>
      </x:c>
      <x:c r="E6" s="20" t="str">
        <x:v>Identifiant / système</x:v>
      </x:c>
      <x:c r="F6" s="20" t="str">
        <x:v>Œuvre / statut</x:v>
      </x:c>
      <x:c r="G6" s="20" t="str">
        <x:v>Rôle dans la bataille</x:v>
      </x:c>
      <x:c r="H6" s="20" t="str">
        <x:v>Comportements et phases</x:v>
      </x:c>
      <x:c r="I6" s="20" t="str">
        <x:v>Réponses du joueur</x:v>
      </x:c>
      <x:c r="J6" s="20" t="str">
        <x:v>Effet sur les armées</x:v>
      </x:c>
      <x:c r="K6" s="20" t="str">
        <x:v>Fréquence cible</x:v>
      </x:c>
      <x:c r="L6" s="20" t="str">
        <x:v>Vérification de fidélité</x:v>
      </x:c>
      <x:c r="M6" s="20" t="str">
        <x:v>Priorité</x:v>
      </x:c>
      <x:c r="N6" s="20" t="str">
        <x:v>PV déclarés main</x:v>
      </x:c>
      <x:c r="O6" s="20" t="str">
        <x:v>Preuve du profil actuel</x:v>
      </x:c>
      <x:c r="P6" s="21" t="str">
        <x:v>Liens de code</x:v>
      </x:c>
    </x:row>
    <x:row r="7" ht="36" customHeight="1">
      <x:c r="A7" s="9" t="str">
        <x:v>BOS-01</x:v>
      </x:c>
      <x:c r="B7" s="9" t="str">
        <x:v>Officier de ruche</x:v>
      </x:c>
      <x:c r="C7" s="9" t="str">
        <x:v>Élite de groupe</x:v>
      </x:c>
      <x:c r="D7" s="9" t="str">
        <x:v>Spawn de HiveOfficer déjà présent ; identité de caste à définir</x:v>
      </x:c>
      <x:c r="E7" s="9" t="str">
        <x:v>spawnHiveOfficer</x:v>
      </x:c>
      <x:c r="F7" s="9" t="str">
        <x:v>Adaptation musou originale à rattacher à un modèle de l’œuvre</x:v>
      </x:c>
      <x:c r="G7" s="9" t="str">
        <x:v>Coordonner une seule poussée, garder un passage</x:v>
      </x:c>
      <x:c r="H7" s="9" t="str">
        <x:v>Deux attaques lisibles, appel limité de renforts depuis tunnel et repli vers nid</x:v>
      </x:c>
      <x:c r="I7" s="9" t="str">
        <x:v>Interrompre signal, contourner escorte, casser posture</x:v>
      </x:c>
      <x:c r="J7" s="9" t="str">
        <x:v>Perte du chef réduit coordination de ce groupe, pas mort automatique de toute la ruche</x:v>
      </x:c>
      <x:c r="K7" s="9" t="str">
        <x:v>Cible : 1 par groupe majeur, pas dans chaque paquet</x:v>
      </x:c>
      <x:c r="L7" s="9" t="str">
        <x:v>Le rôle de chef de jeu ne prouve pas une caste canonique militaire</x:v>
      </x:c>
      <x:c r="M7" s="9" t="str">
        <x:v>P0</x:v>
      </x:c>
      <x:c r="N7" s="27" t="str">
        <x:v>n.a.</x:v>
      </x:c>
      <x:c r="O7" s="9" t="str">
        <x:v>Voir le registre Manquants pour les systèmes associés. Fiche de conception non testée en jeu.</x:v>
      </x:c>
      <x:c r="P7" s="22" t="str"/>
    </x:row>
    <x:row r="8" ht="130.5" customHeight="1">
      <x:c r="A8" s="10" t="str">
        <x:v>BOS-02</x:v>
      </x:c>
      <x:c r="B8" s="10" t="str">
        <x:v>Prétorien</x:v>
      </x:c>
      <x:c r="C8" s="10" t="str">
        <x:v>Mini-boss de secteur</x:v>
      </x:c>
      <x:c r="D8" s="10" t="str">
        <x:v>Type praetorian de la carte jungle non reconnu par flags main ; mapping dédié dans branche validée</x:v>
      </x:c>
      <x:c r="E8" s="10" t="str">
        <x:v>praetorian</x:v>
      </x:c>
      <x:c r="F8" s="10" t="str">
        <x:v>Jeu AVP / Fireteam Elite précisément sélectionné</x:v>
      </x:c>
      <x:c r="G8" s="10" t="str">
        <x:v>Protéger un nœud du nid ou une reine</x:v>
      </x:c>
      <x:c r="H8" s="10" t="str">
        <x:v>Charge télégraphiée, balayage de queue, défense de son seuil ; rotation adaptée à sa masse</x:v>
      </x:c>
      <x:c r="I8" s="10" t="str">
        <x:v>Déborder après charge, utiliser couvert ou couper escorte</x:v>
      </x:c>
      <x:c r="J8" s="10" t="str">
        <x:v>Défaite ouvre une voie et fait reculer l’escorte survivante</x:v>
      </x:c>
      <x:c r="K8" s="10" t="str">
        <x:v>Cible de guerre : 1–3 par opération, pas copie illimitée</x:v>
      </x:c>
      <x:c r="L8" s="10" t="str">
        <x:v>Ne pas le présenter comme habitant du film Predator 1987</x:v>
      </x:c>
      <x:c r="M8" s="10" t="str">
        <x:v>P0</x:v>
      </x:c>
      <x:c r="N8" s="28" t="n">
        <x:v>3000</x:v>
      </x:c>
      <x:c r="O8" s="10" t="str">
        <x:v>0f37cc52f9d8 : js/entities/Bosses.js : lignes 23-36
0f37cc52f9d8 : js/entities/Bosses.js : lignes 773-799
1d52d9ff91db : js/entities/Bosses.js : lignes 57-61</x:v>
      </x:c>
      <x:c r="P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9" ht="130.5" customHeight="1">
      <x:c r="A9" s="9" t="str">
        <x:v>BOS-03</x:v>
      </x:c>
      <x:c r="B9" s="9" t="str">
        <x:v>Reine xénomorphe</x:v>
      </x:c>
      <x:c r="C9" s="9" t="str">
        <x:v>Boss d’opération</x:v>
      </x:c>
      <x:c r="D9" s="9" t="str">
        <x:v>xenomorph_queen présent, constructeur générique adapté reine</x:v>
      </x:c>
      <x:c r="E9" s="9" t="str">
        <x:v>xenomorph_queen</x:v>
      </x:c>
      <x:c r="F9" s="9" t="str">
        <x:v>Aliens / AVP : incarnation et morphologie à verrouiller</x:v>
      </x:c>
      <x:c r="G9" s="9" t="str">
        <x:v>Défendre le nid final et déclencher la dernière phase d’évacuation</x:v>
      </x:c>
      <x:c r="H9" s="9" t="str">
        <x:v>Phases : défendre ponte, quitter emplacement, poursuivre par routes de grand gabarit ; escortes reliées aux foyers encore actifs</x:v>
      </x:c>
      <x:c r="I9" s="9" t="str">
        <x:v>Interrompre attaques lourdes, exploiter la géométrie et couper routes de renfort</x:v>
      </x:c>
      <x:c r="J9" s="9" t="str">
        <x:v>Sa chute modifie pression de ruche selon scénario, sans supprimer arbitrairement tous les adultes</x:v>
      </x:c>
      <x:c r="K9" s="9" t="str">
        <x:v>Cible : 1 reine principale par foyer documenté</x:v>
      </x:c>
      <x:c r="L9" s="9" t="str">
        <x:v>Anatomie, échelle, ovipositeur et animation propres à l’incarnation ; actions inventées étiquetées</x:v>
      </x:c>
      <x:c r="M9" s="9" t="str">
        <x:v>P1</x:v>
      </x:c>
      <x:c r="N9" s="27" t="n">
        <x:v>3000</x:v>
      </x:c>
      <x:c r="O9" s="9" t="str">
        <x:v>0f37cc52f9d8 : js/entities/Bosses.js : lignes 23-36
0f37cc52f9d8 : js/entities/Bosses.js : lignes 773-799
1d52d9ff91db : js/entities/Bosses.js : lignes 57-61</x:v>
      </x:c>
      <x:c r="P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0" ht="36" customHeight="1">
      <x:c r="A10" s="10" t="str">
        <x:v>BOS-04</x:v>
      </x:c>
      <x:c r="B10" s="10" t="str">
        <x:v>Predalien de Gunnison</x:v>
      </x:c>
      <x:c r="C10" s="10" t="str">
        <x:v>Boss de traque</x:v>
      </x:c>
      <x:c r="D10" s="10" t="str">
        <x:v>predalien_queen reconnu ; prédalien de LA nommé predalien devient générique dans main</x:v>
      </x:c>
      <x:c r="E10" s="10" t="str">
        <x:v>predalien_queen / predalien</x:v>
      </x:c>
      <x:c r="F10" s="10" t="str">
        <x:v>AVP Requiem, attribution confirmée ; scènes à vérifier</x:v>
      </x:c>
      <x:c r="G10" s="10" t="str">
        <x:v>Menace mobile qui change de foyer avant le duel</x:v>
      </x:c>
      <x:c r="H10" s="10" t="str">
        <x:v>Poursuite par bâtiments/égouts ; attaque caudale, corps-à-corps, reproduction seulement selon référence retenue</x:v>
      </x:c>
      <x:c r="I10" s="10" t="str">
        <x:v>Renseignement, neutralisation des zones de contact et duel dans espace lisible</x:v>
      </x:c>
      <x:c r="J10" s="10" t="str">
        <x:v>Sa présence intensifie certains foyers ; décision de poursuite abandonne un autre objectif</x:v>
      </x:c>
      <x:c r="K10" s="10" t="str">
        <x:v>1 individu nommé dans le scénario de reconstitution</x:v>
      </x:c>
      <x:c r="L10" s="10" t="str">
        <x:v>Le suffixe queen interne ne certifie pas une classification ; pas dans Los Angeles Predator 2 fidèle</x:v>
      </x:c>
      <x:c r="M10" s="10" t="str">
        <x:v>P0</x:v>
      </x:c>
      <x:c r="N10" s="28" t="str">
        <x:v>n.a.</x:v>
      </x:c>
      <x:c r="O10" s="10" t="str">
        <x:v>Voir le registre Manquants pour les systèmes associés. Fiche de conception non testée en jeu.</x:v>
      </x:c>
      <x:c r="P10" s="23" t="str"/>
    </x:row>
    <x:row r="11" ht="130.5" customHeight="1">
      <x:c r="A11" s="9" t="str">
        <x:v>BOS-05</x:v>
      </x:c>
      <x:c r="B11" s="9" t="str">
        <x:v>Matriarche / Empress</x:v>
      </x:c>
      <x:c r="C11" s="9" t="str">
        <x:v>Boss majeur</x:v>
      </x:c>
      <x:c r="D11" s="9" t="str">
        <x:v>empress_matriarch existe ; effets vol/vortex à auditer</x:v>
      </x:c>
      <x:c r="E11" s="9" t="str">
        <x:v>empress_matriarch</x:v>
      </x:c>
      <x:c r="F11" s="9" t="str">
        <x:v>Univers étendu à identifier, sinon création originale</x:v>
      </x:c>
      <x:c r="G11" s="9" t="str">
        <x:v>Commandement d’un grand théâtre de ruche original</x:v>
      </x:c>
      <x:c r="H11" s="9" t="str">
        <x:v>Phases lourdes sur un sol navigable ; appels de cohortes consommant la réserve de bataille</x:v>
      </x:c>
      <x:c r="I11" s="9" t="str">
        <x:v>Détruire relais de ruche, ouvrir un flanc, exploiter fenêtres de récupération</x:v>
      </x:c>
      <x:c r="J11" s="9" t="str">
        <x:v>Coupure des relais diminue ses renforts et les appuis de fronts</x:v>
      </x:c>
      <x:c r="K11" s="9" t="str">
        <x:v>Cible : 1 par grande opération</x:v>
      </x:c>
      <x:c r="L11" s="9" t="str">
        <x:v>Vol, magie apparente, vortex et nom ne sont pas validés par présence dans code</x:v>
      </x:c>
      <x:c r="M11" s="9" t="str">
        <x:v>P1</x:v>
      </x:c>
      <x:c r="N11" s="27" t="n">
        <x:v>6000</x:v>
      </x:c>
      <x:c r="O11" s="9" t="str">
        <x:v>0f37cc52f9d8 : js/entities/Bosses.js : lignes 23-36
0f37cc52f9d8 : js/entities/Bosses.js : lignes 773-799
1d52d9ff91db : js/entities/Bosses.js : lignes 57-61</x:v>
      </x:c>
      <x:c r="P1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2" ht="130.5" customHeight="1">
      <x:c r="A12" s="10" t="str">
        <x:v>BOS-06</x:v>
      </x:c>
      <x:c r="B12" s="10" t="str">
        <x:v>Imperial Queen</x:v>
      </x:c>
      <x:c r="C12" s="10" t="str">
        <x:v>Boss alternatif</x:v>
      </x:c>
      <x:c r="D12" s="10" t="str">
        <x:v>Flag imperial_queen avec PV différenciés</x:v>
      </x:c>
      <x:c r="E12" s="10" t="str">
        <x:v>imperial_queen</x:v>
      </x:c>
      <x:c r="F12" s="10" t="str">
        <x:v>Référence d’œuvre non établie par cet audit</x:v>
      </x:c>
      <x:c r="G12" s="10" t="str">
        <x:v>Variante de rencontre distincte uniquement si source ou scénario explicite</x:v>
      </x:c>
      <x:c r="H12" s="10" t="str">
        <x:v>Réutilisation raisonnée du socle reine, silhouette/attaques propres à la référence</x:v>
      </x:c>
      <x:c r="I12" s="10" t="str">
        <x:v>Contres liés aux propriétés prouvées ; pas simple multiplicateur de PV</x:v>
      </x:c>
      <x:c r="J12" s="10" t="str">
        <x:v>Conséquence d’objectif choisie dans scénario</x:v>
      </x:c>
      <x:c r="K12" s="10" t="str">
        <x:v>Au plus 1 variante de reine au climax sauf œuvre qui en justifie plusieurs</x:v>
      </x:c>
      <x:c r="L12" s="10" t="str">
        <x:v>Garder dans mode original si source d’identité non trouvée</x:v>
      </x:c>
      <x:c r="M12" s="10" t="str">
        <x:v>P2</x:v>
      </x:c>
      <x:c r="N12" s="28" t="n">
        <x:v>8000</x:v>
      </x:c>
      <x:c r="O12" s="10" t="str">
        <x:v>0f37cc52f9d8 : js/entities/Bosses.js : lignes 23-36
0f37cc52f9d8 : js/entities/Bosses.js : lignes 773-799
1d52d9ff91db : js/entities/Bosses.js : lignes 57-61</x:v>
      </x:c>
      <x:c r="P1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3" ht="130.5" customHeight="1">
      <x:c r="A13" s="9" t="str">
        <x:v>BOS-07</x:v>
      </x:c>
      <x:c r="B13" s="9" t="str">
        <x:v>Predalien Abomination</x:v>
      </x:c>
      <x:c r="C13" s="9" t="str">
        <x:v>Boss alternatif</x:v>
      </x:c>
      <x:c r="D13" s="9" t="str">
        <x:v>Flag predalien_abomination et attaques spécifiques existants</x:v>
      </x:c>
      <x:c r="E13" s="9" t="str">
        <x:v>predalien_abomination</x:v>
      </x:c>
      <x:c r="F13" s="9" t="str">
        <x:v>Œuvre/version à verrouiller, ne pas fusionner toutes les incarnations</x:v>
      </x:c>
      <x:c r="G13" s="9" t="str">
        <x:v>Rencontre spéciale d’un chapitre autorisé</x:v>
      </x:c>
      <x:c r="H13" s="9" t="str">
        <x:v>Fiche séparée de l’individu AVPR ; phases selon anatomie et scène source</x:v>
      </x:c>
      <x:c r="I13" s="9" t="str">
        <x:v>Faiblesses propres, rythme de duel, caméra adaptée</x:v>
      </x:c>
      <x:c r="J13" s="9" t="str">
        <x:v>Appui perdu ou route libérée, décision persistante</x:v>
      </x:c>
      <x:c r="K13" s="9" t="str">
        <x:v>1 rencontre scénarisée</x:v>
      </x:c>
      <x:c r="L13" s="9" t="str">
        <x:v>Le mot Abomination seul ne suffit pas à établir identité et pouvoirs</x:v>
      </x:c>
      <x:c r="M13" s="9" t="str">
        <x:v>P2</x:v>
      </x:c>
      <x:c r="N13" s="27" t="n">
        <x:v>6500</x:v>
      </x:c>
      <x:c r="O13" s="9" t="str">
        <x:v>0f37cc52f9d8 : js/entities/Bosses.js : lignes 23-36
0f37cc52f9d8 : js/entities/Bosses.js : lignes 773-799
1d52d9ff91db : js/entities/Bosses.js : lignes 57-61</x:v>
      </x:c>
      <x:c r="P1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4" ht="130.5" customHeight="1">
      <x:c r="A14" s="10" t="str">
        <x:v>BOS-08</x:v>
      </x:c>
      <x:c r="B14" s="10" t="str">
        <x:v>Predalien Matriarch Titan</x:v>
      </x:c>
      <x:c r="C14" s="10" t="str">
        <x:v>Boss original potentiel</x:v>
      </x:c>
      <x:c r="D14" s="10" t="str">
        <x:v>Présent ; forcé à vague 5 indépendamment carte</x:v>
      </x:c>
      <x:c r="E14" s="10" t="str">
        <x:v>predalien_matriarch_titan</x:v>
      </x:c>
      <x:c r="F14" s="10" t="str">
        <x:v>Création originale jusqu’à source vérifiée</x:v>
      </x:c>
      <x:c r="G14" s="10" t="str">
        <x:v>Boss de défi ou scénario alternatif explicite</x:v>
      </x:c>
      <x:c r="H14" s="10" t="str">
        <x:v>Déclenchement par événement déclaré ; arena de grand gabarit et phases justifiées</x:v>
      </x:c>
      <x:c r="I14" s="10" t="str">
        <x:v>Alertes, zones sûres, interruptions cohérentes</x:v>
      </x:c>
      <x:c r="J14" s="10" t="str">
        <x:v>Réserve et menace changent réellement si défi accepté</x:v>
      </x:c>
      <x:c r="K14" s="10" t="str">
        <x:v>1 événement optionnel, jamais injection automatique sur toutes les cartes</x:v>
      </x:c>
      <x:c r="L14" s="10" t="str">
        <x:v>Ne pas certifier 1:1 ; conserver en contenu original distinct</x:v>
      </x:c>
      <x:c r="M14" s="10" t="str">
        <x:v>P0</x:v>
      </x:c>
      <x:c r="N14" s="28" t="n">
        <x:v>10000</x:v>
      </x:c>
      <x:c r="O14" s="10" t="str">
        <x:v>0f37cc52f9d8 : js/entities/Bosses.js : lignes 23-36
0f37cc52f9d8 : js/entities/Bosses.js : lignes 773-799
1d52d9ff91db : js/entities/Bosses.js : lignes 57-61</x:v>
      </x:c>
      <x:c r="P1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5" ht="130.5" customHeight="1">
      <x:c r="A15" s="9" t="str">
        <x:v>BOS-09</x:v>
      </x:c>
      <x:c r="B15" s="9" t="str">
        <x:v>Rogue / création de Kleist</x:v>
      </x:c>
      <x:c r="C15" s="9" t="str">
        <x:v>Boss de laboratoire</x:v>
      </x:c>
      <x:c r="D15" s="9" t="str">
        <x:v>rogue_king_prime possède constructeur et profil dédiés</x:v>
      </x:c>
      <x:c r="E15" s="9" t="str">
        <x:v>rogue_king_prime</x:v>
      </x:c>
      <x:c r="F15" s="9" t="str">
        <x:v>Aliens: Rogue, roman / BD à distinguer</x:v>
      </x:c>
      <x:c r="G15" s="9" t="str">
        <x:v>Résultat d’expérience, menace pour plusieurs camps à Charon</x:v>
      </x:c>
      <x:c r="H15" s="9" t="str">
        <x:v>Arène connectée au laboratoire et route de transfert ; destructions ciblées</x:v>
      </x:c>
      <x:c r="I15" s="9" t="str">
        <x:v>Mécanismes du laboratoire et positionnement, seulement éléments sourcés ou explicitement originaux</x:v>
      </x:c>
      <x:c r="J15" s="9" t="str">
        <x:v>Échec confinement change la zone et les relations, sans faire du Rogue un officier de ruche générique</x:v>
      </x:c>
      <x:c r="K15" s="9" t="str">
        <x:v>1 sujet expérimental par scénario</x:v>
      </x:c>
      <x:c r="L15" s="9" t="str">
        <x:v>Charon et Kleist établis par Titan ; nom King Prime, mensurations et mouvements à comparer à l’œuvre</x:v>
      </x:c>
      <x:c r="M15" s="9" t="str">
        <x:v>P1</x:v>
      </x:c>
      <x:c r="N15" s="27" t="n">
        <x:v>9500</x:v>
      </x:c>
      <x:c r="O15" s="9" t="str">
        <x:v>0f37cc52f9d8 : js/entities/Bosses.js : lignes 23-36
0f37cc52f9d8 : js/entities/Bosses.js : lignes 773-799
1d52d9ff91db : js/entities/Bosses.js : lignes 57-61</x:v>
      </x:c>
      <x:c r="P1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6" ht="130.5" customHeight="1">
      <x:c r="A16" s="10" t="str">
        <x:v>BOS-10</x:v>
      </x:c>
      <x:c r="B16" s="10" t="str">
        <x:v>Offspring</x:v>
      </x:c>
      <x:c r="C16" s="10" t="str">
        <x:v>Boss de climax</x:v>
      </x:c>
      <x:c r="D16" s="10" t="str">
        <x:v>the_offspring reconnu dans main et carte Renaissance</x:v>
      </x:c>
      <x:c r="E16" s="10" t="str">
        <x:v>the_offspring</x:v>
      </x:c>
      <x:c r="F16" s="10" t="str">
        <x:v>Alien: Romulus</x:v>
      </x:c>
      <x:c r="G16" s="10" t="str">
        <x:v>Menace unique d’un événement narratif de station</x:v>
      </x:c>
      <x:c r="H16" s="10" t="str">
        <x:v>Poursuite et corps-à-corps spécifiques ; rencontre déclenchée par conditions scénarisées</x:v>
      </x:c>
      <x:c r="I16" s="10" t="str">
        <x:v>Espace, sas et extraction ; aucune faiblesse inventée présentée comme canon</x:v>
      </x:c>
      <x:c r="J16" s="10" t="str">
        <x:v>La fin de bataille devient fuite/confinement selon scénario</x:v>
      </x:c>
      <x:c r="K16" s="10" t="str">
        <x:v>1 individu ; aucun pack de clones</x:v>
      </x:c>
      <x:c r="L16" s="10" t="str">
        <x:v>Rattacher à la transformation et au lieu de Romulus ; montage de combat Yautja = fiction originale</x:v>
      </x:c>
      <x:c r="M16" s="10" t="str">
        <x:v>P1</x:v>
      </x:c>
      <x:c r="N16" s="28" t="n">
        <x:v>4500</x:v>
      </x:c>
      <x:c r="O16" s="10" t="str">
        <x:v>0f37cc52f9d8 : js/entities/Bosses.js : lignes 23-36
0f37cc52f9d8 : js/entities/Bosses.js : lignes 773-799
1d52d9ff91db : js/entities/Bosses.js : lignes 57-61</x:v>
      </x:c>
      <x:c r="P1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7" ht="130.5" customHeight="1">
      <x:c r="A17" s="9" t="str">
        <x:v>BOS-11</x:v>
      </x:c>
      <x:c r="B17" s="9" t="str">
        <x:v>Ingénieur éveillé</x:v>
      </x:c>
      <x:c r="C17" s="9" t="str">
        <x:v>Boss scénarisé</x:v>
      </x:c>
      <x:c r="D17" s="9" t="str">
        <x:v>awakened_engineer dédié dans main</x:v>
      </x:c>
      <x:c r="E17" s="9" t="str">
        <x:v>awakened_engineer</x:v>
      </x:c>
      <x:c r="F17" s="9" t="str">
        <x:v>Prometheus / scénario original compatible</x:v>
      </x:c>
      <x:c r="G17" s="9" t="str">
        <x:v>Gardien/antagoniste d’un site, indépendant de ruche</x:v>
      </x:c>
      <x:c r="H17" s="9" t="str">
        <x:v>Animation humanoïde et environnement de l’œuvre ; capacités et armes documentées</x:v>
      </x:c>
      <x:c r="I17" s="9" t="str">
        <x:v>Objets/contre-fenêtres crédibles plutôt qu’armure magique générique</x:v>
      </x:c>
      <x:c r="J17" s="9" t="str">
        <x:v>Systèmes du site et accès changent à son réveil ou sa défaite</x:v>
      </x:c>
      <x:c r="K17" s="9" t="str">
        <x:v>1 scène par site autorisé</x:v>
      </x:c>
      <x:c r="L17" s="9" t="str">
        <x:v>Pas d’Ingénieur universel dans tous les niveaux ; identité et équipement à sourcer</x:v>
      </x:c>
      <x:c r="M17" s="9" t="str">
        <x:v>P2</x:v>
      </x:c>
      <x:c r="N17" s="27" t="n">
        <x:v>8500</x:v>
      </x:c>
      <x:c r="O17" s="9" t="str">
        <x:v>0f37cc52f9d8 : js/entities/Bosses.js : lignes 23-36
0f37cc52f9d8 : js/entities/Bosses.js : lignes 773-799
1d52d9ff91db : js/entities/Bosses.js : lignes 57-61</x:v>
      </x:c>
      <x:c r="P17"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8" ht="130.5" customHeight="1">
      <x:c r="A18" s="10" t="str">
        <x:v>BOS-12</x:v>
      </x:c>
      <x:c r="B18" s="10" t="str">
        <x:v>Trilobite</x:v>
      </x:c>
      <x:c r="C18" s="10" t="str">
        <x:v>Menace unique / boss de confinement</x:v>
      </x:c>
      <x:c r="D18" s="10" t="str">
        <x:v>trilobite_prime possède constructeur spécifique</x:v>
      </x:c>
      <x:c r="E18" s="10" t="str">
        <x:v>trilobite_prime</x:v>
      </x:c>
      <x:c r="F18" s="10" t="str">
        <x:v>Prometheus ; suffixe Prime original non certifié</x:v>
      </x:c>
      <x:c r="G18" s="10" t="str">
        <x:v>Créer un obstacle biologique de scénario</x:v>
      </x:c>
      <x:c r="H18" s="10" t="str">
        <x:v>Déplacement/ancrage, emprise, contact et limites spatiales propres à la scène</x:v>
      </x:c>
      <x:c r="I18" s="10" t="str">
        <x:v>Éviter emprise, exploiter fermeture/itinéraire, coopération si prévue</x:v>
      </x:c>
      <x:c r="J18" s="10" t="str">
        <x:v>Coupe temporairement une voie sans commander la ruche</x:v>
      </x:c>
      <x:c r="K18" s="10" t="str">
        <x:v>1 spécimen dans le contexte autorisé</x:v>
      </x:c>
      <x:c r="L18" s="10" t="str">
        <x:v>Morphologie détaillée et nombre d’appendices à valider sur référence, pas sur commentaire code</x:v>
      </x:c>
      <x:c r="M18" s="10" t="str">
        <x:v>P2</x:v>
      </x:c>
      <x:c r="N18" s="28" t="n">
        <x:v>7000</x:v>
      </x:c>
      <x:c r="O18" s="10" t="str">
        <x:v>0f37cc52f9d8 : js/entities/Bosses.js : lignes 23-36
0f37cc52f9d8 : js/entities/Bosses.js : lignes 773-799
1d52d9ff91db : js/entities/Bosses.js : lignes 57-61</x:v>
      </x:c>
      <x:c r="P1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19" ht="130.5" customHeight="1">
      <x:c r="A19" s="9" t="str">
        <x:v>BOS-13</x:v>
      </x:c>
      <x:c r="B19" s="9" t="str">
        <x:v>Berserker / Mr. Black</x:v>
      </x:c>
      <x:c r="C19" s="9" t="str">
        <x:v>Boss chasseur</x:v>
      </x:c>
      <x:c r="D19" s="9" t="str">
        <x:v>berserker_super_predator dédié main</x:v>
      </x:c>
      <x:c r="E19" s="9" t="str">
        <x:v>berserker_super_predator</x:v>
      </x:c>
      <x:c r="F19" s="9" t="str">
        <x:v>Predators 2010</x:v>
      </x:c>
      <x:c r="G19" s="9" t="str">
        <x:v>Chef de la chasse de la réserve</x:v>
      </x:c>
      <x:c r="H19" s="9" t="str">
        <x:v>Séquence de traque, puis duel ; masque, plasma et mêlée correspondant à cette incarnation</x:v>
      </x:c>
      <x:c r="I19" s="9" t="str">
        <x:v>Renseignement, pièges et ouvertures ; conserver risque au contact</x:v>
      </x:c>
      <x:c r="J19" s="9" t="str">
        <x:v>Fin de commandement affecte sa cellule, chiens et drone selon survivants</x:v>
      </x:c>
      <x:c r="K19" s="9" t="str">
        <x:v>1 Berserker nommé, pas plusieurs clones officiers</x:v>
      </x:c>
      <x:c r="L19" s="9" t="str">
        <x:v>Arsenal et proportions à valider sur scènes/objets licenciés ; musou ajouté = règle de jeu</x:v>
      </x:c>
      <x:c r="M19" s="9" t="str">
        <x:v>P1</x:v>
      </x:c>
      <x:c r="N19" s="27" t="n">
        <x:v>8800</x:v>
      </x:c>
      <x:c r="O19" s="9" t="str">
        <x:v>0f37cc52f9d8 : js/entities/Bosses.js : lignes 23-36
0f37cc52f9d8 : js/entities/Bosses.js : lignes 773-799
1d52d9ff91db : js/entities/Bosses.js : lignes 57-61</x:v>
      </x:c>
      <x:c r="P1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20" ht="130.5" customHeight="1">
      <x:c r="A20" s="10" t="str">
        <x:v>BOS-14</x:v>
      </x:c>
      <x:c r="B20" s="10" t="str">
        <x:v>Upgrade / Assassin Predator</x:v>
      </x:c>
      <x:c r="C20" s="10" t="str">
        <x:v>Boss chasseur renforcé</x:v>
      </x:c>
      <x:c r="D20" s="10" t="str">
        <x:v>ultimate_upgrade_predator dédié et carte Stargazer</x:v>
      </x:c>
      <x:c r="E20" s="10" t="str">
        <x:v>ultimate_upgrade_predator</x:v>
      </x:c>
      <x:c r="F20" s="10" t="str">
        <x:v>The Predator 2018</x:v>
      </x:c>
      <x:c r="G20" s="10" t="str">
        <x:v>Menace poursuivant sa propre cible au milieu du conflit</x:v>
      </x:c>
      <x:c r="H20" s="10" t="str">
        <x:v>Force, poursuite, transformations/équipement uniquement selon références ; séquences v64 à vérifier</x:v>
      </x:c>
      <x:c r="I20" s="10" t="str">
        <x:v>Utiliser la topologie et contre-fenêtres explicites, pas invulnérabilité arbitraire</x:v>
      </x:c>
      <x:c r="J20" s="10" t="str">
        <x:v>Déplace pression de la base vers forêt/épave selon événement</x:v>
      </x:c>
      <x:c r="K20" s="10" t="str">
        <x:v>1 individu du scénario</x:v>
      </x:c>
      <x:c r="L20" s="10" t="str">
        <x:v>Taille annoncée dans commentaires, pouvoirs et effets doivent être prouvés séparément</x:v>
      </x:c>
      <x:c r="M20" s="10" t="str">
        <x:v>P1</x:v>
      </x:c>
      <x:c r="N20" s="28" t="n">
        <x:v>9200</x:v>
      </x:c>
      <x:c r="O20" s="10" t="str">
        <x:v>0f37cc52f9d8 : js/entities/Bosses.js : lignes 23-36
0f37cc52f9d8 : js/entities/Bosses.js : lignes 773-799
1d52d9ff91db : js/entities/Bosses.js : lignes 57-61</x:v>
      </x:c>
      <x:c r="P20"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21" ht="36" customHeight="1">
      <x:c r="A21" s="9" t="str">
        <x:v>BOS-15</x:v>
      </x:c>
      <x:c r="B21" s="9" t="str">
        <x:v>Chef Bad Blood original</x:v>
      </x:c>
      <x:c r="C21" s="9" t="str">
        <x:v>Mini-boss / rival</x:v>
      </x:c>
      <x:c r="D21" s="9" t="str">
        <x:v>BadBloodEncounter présent ; intégration à front à concevoir</x:v>
      </x:c>
      <x:c r="E21" s="9" t="str">
        <x:v>BadBloodEncounter</x:v>
      </x:c>
      <x:c r="F21" s="9" t="str">
        <x:v>Univers étendu choisi ou chasseur original</x:v>
      </x:c>
      <x:c r="G21" s="9" t="str">
        <x:v>Tendre une embuscade, voler un trophée ou saboter un relais</x:v>
      </x:c>
      <x:c r="H21" s="9" t="str">
        <x:v>Profil de chasse unique, équipement limité, retraite vers route réelle</x:v>
      </x:c>
      <x:c r="I21" s="9" t="str">
        <x:v>Détection et piège de sa retraite, duel sans reset des fronts</x:v>
      </x:c>
      <x:c r="J21" s="9" t="str">
        <x:v>Sa défaite retire une tactique ou restitue une ressource</x:v>
      </x:c>
      <x:c r="K21" s="9" t="str">
        <x:v>Cible : 1–2 rivaux originaux sur une mission de guerre</x:v>
      </x:c>
      <x:c r="L21" s="9" t="str">
        <x:v>Éviter associer tous les Super Predators à Bad Blood sans source</x:v>
      </x:c>
      <x:c r="M21" s="9" t="str">
        <x:v>P1</x:v>
      </x:c>
      <x:c r="N21" s="27" t="str">
        <x:v>n.a.</x:v>
      </x:c>
      <x:c r="O21" s="9" t="str">
        <x:v>Voir le registre Manquants pour les systèmes associés. Fiche de conception non testée en jeu.</x:v>
      </x:c>
      <x:c r="P21" s="22" t="str"/>
    </x:row>
    <x:row r="22" ht="36" customHeight="1">
      <x:c r="A22" s="10" t="str">
        <x:v>BOS-16</x:v>
      </x:c>
      <x:c r="B22" s="10" t="str">
        <x:v>Chef humain de section</x:v>
      </x:c>
      <x:c r="C22" s="10" t="str">
        <x:v>Chef tactique</x:v>
      </x:c>
      <x:c r="D22" s="10" t="str">
        <x:v>Pas de hiérarchie tactique indépendante constatée dans Marines</x:v>
      </x:c>
      <x:c r="E22" s="10" t="str">
        <x:v>À créer</x:v>
      </x:c>
      <x:c r="F22" s="10" t="str">
        <x:v>Faction et période de la carte</x:v>
      </x:c>
      <x:c r="G22" s="10" t="str">
        <x:v>Ordonner défense, tir croisé et repli</x:v>
      </x:c>
      <x:c r="H22" s="10" t="str">
        <x:v>Reste de taille humaine ; se couvre, appelle renforts, change de poste</x:v>
      </x:c>
      <x:c r="I22" s="10" t="str">
        <x:v>Flanc, suppression, couper radio ou véhicule</x:v>
      </x:c>
      <x:c r="J22" s="10" t="str">
        <x:v>Ordres deviennent limités ; survivants continuent combat selon discipline</x:v>
      </x:c>
      <x:c r="K22" s="10" t="str">
        <x:v>Cible : 1 chef pour une section de 8–10</x:v>
      </x:c>
      <x:c r="L22" s="10" t="str">
        <x:v>Ne pas en faire un boss géant résistant à des centaines de lames</x:v>
      </x:c>
      <x:c r="M22" s="10" t="str">
        <x:v>P1</x:v>
      </x:c>
      <x:c r="N22" s="28" t="str">
        <x:v>n.a.</x:v>
      </x:c>
      <x:c r="O22" s="10" t="str">
        <x:v>Voir le registre Manquants pour les systèmes associés. Fiche de conception non testée en jeu.</x:v>
      </x:c>
      <x:c r="P22" s="23" t="str"/>
    </x:row>
    <x:row r="23" ht="36" customHeight="1">
      <x:c r="A23" s="9" t="str">
        <x:v>BOS-17</x:v>
      </x:c>
      <x:c r="B23" s="9" t="str">
        <x:v>Spécialiste smartgun</x:v>
      </x:c>
      <x:c r="C23" s="9" t="str">
        <x:v>Élite de groupe</x:v>
      </x:c>
      <x:c r="D23" s="9" t="str">
        <x:v>Smartgunner existe dans Marines</x:v>
      </x:c>
      <x:c r="E23" s="9" t="str">
        <x:v>smartgunner</x:v>
      </x:c>
      <x:c r="F23" s="9" t="str">
        <x:v>Colonial Marines futur cohérent</x:v>
      </x:c>
      <x:c r="G23" s="9" t="str">
        <x:v>Ancrer une ligne de suppression</x:v>
      </x:c>
      <x:c r="H23" s="9" t="str">
        <x:v>Arc de tir, surchauffe/munitions, couverture par fusiliers</x:v>
      </x:c>
      <x:c r="I23" s="9" t="str">
        <x:v>Briser visibilité, contourner, attendre recharge</x:v>
      </x:c>
      <x:c r="J23" s="9" t="str">
        <x:v>Le groupe perd couverture et doit se repositionner</x:v>
      </x:c>
      <x:c r="K23" s="9" t="str">
        <x:v>Cible : 1 pour 4–10 humains selon mission</x:v>
      </x:c>
      <x:c r="L23" s="9" t="str">
        <x:v>Respecter arme, harnais et époque ; pas toutes les troupes en smartgun</x:v>
      </x:c>
      <x:c r="M23" s="9" t="str">
        <x:v>P1</x:v>
      </x:c>
      <x:c r="N23" s="27" t="str">
        <x:v>n.a.</x:v>
      </x:c>
      <x:c r="O23" s="9" t="str">
        <x:v>Voir le registre Manquants pour les systèmes associés. Fiche de conception non testée en jeu.</x:v>
      </x:c>
      <x:c r="P23" s="22" t="str"/>
    </x:row>
    <x:row r="24" ht="36" customHeight="1">
      <x:c r="A24" s="10" t="str">
        <x:v>BOS-18</x:v>
      </x:c>
      <x:c r="B24" s="10" t="str">
        <x:v>Responsable sécurité synthétique</x:v>
      </x:c>
      <x:c r="C24" s="10" t="str">
        <x:v>Mini-boss d’objectif</x:v>
      </x:c>
      <x:c r="D24" s="10" t="str">
        <x:v>Synthetics comporte working_joe/weyland_combat ; commandement séparé absent</x:v>
      </x:c>
      <x:c r="E24" s="10" t="str">
        <x:v>À spécialiser</x:v>
      </x:c>
      <x:c r="F24" s="10" t="str">
        <x:v>Fabricant, modèle et continuité verrouillés</x:v>
      </x:c>
      <x:c r="G24" s="10" t="str">
        <x:v>Maintenir les verrouillages et protocole du laboratoire</x:v>
      </x:c>
      <x:c r="H24" s="10" t="str">
        <x:v>Robustesse/localisation des dégâts adaptées au modèle, actions d’alarme et réparation</x:v>
      </x:c>
      <x:c r="I24" s="10" t="str">
        <x:v>Accès technique, panne d’énergie ou combat direct ; EMP seulement si justifié</x:v>
      </x:c>
      <x:c r="J24" s="10" t="str">
        <x:v>Porte/alarme change, autres synthétiques poursuivent leurs ordres connus</x:v>
      </x:c>
      <x:c r="K24" s="10" t="str">
        <x:v>Cible : 1 par noyau sécurité</x:v>
      </x:c>
      <x:c r="L24" s="10" t="str">
        <x:v>Ne pas traiter tous les synthétiques comme soldats WY identiques</x:v>
      </x:c>
      <x:c r="M24" s="10" t="str">
        <x:v>P1</x:v>
      </x:c>
      <x:c r="N24" s="28" t="str">
        <x:v>n.a.</x:v>
      </x:c>
      <x:c r="O24" s="10" t="str">
        <x:v>Voir le registre Manquants pour les systèmes associés. Fiche de conception non testée en jeu.</x:v>
      </x:c>
      <x:c r="P24" s="23" t="str"/>
    </x:row>
    <x:row r="25" ht="36" customHeight="1">
      <x:c r="A25" s="9" t="str">
        <x:v>BOS-19</x:v>
      </x:c>
      <x:c r="B25" s="9" t="str">
        <x:v>Réseau de sentinelles</x:v>
      </x:c>
      <x:c r="C25" s="9" t="str">
        <x:v>Objectif fortifié</x:v>
      </x:c>
      <x:c r="D25" s="9" t="str">
        <x:v>SentryGun et placement existent ; système de base à créer</x:v>
      </x:c>
      <x:c r="E25" s="9" t="str">
        <x:v>SentryGun</x:v>
      </x:c>
      <x:c r="F25" s="9" t="str">
        <x:v>Aliens / futur, dispositif original</x:v>
      </x:c>
      <x:c r="G25" s="9" t="str">
        <x:v>Protéger un verrou de carte</x:v>
      </x:c>
      <x:c r="H25" s="9" t="str">
        <x:v>Tourelles avec couverture partielle, alimentation et réserves de munitions</x:v>
      </x:c>
      <x:c r="I25" s="9" t="str">
        <x:v>Saboter alimentation, flanc hors arc ou intervention technique</x:v>
      </x:c>
      <x:c r="J25" s="9" t="str">
        <x:v>Perte du verrou ouvre route et modifie rapports de force</x:v>
      </x:c>
      <x:c r="K25" s="9" t="str">
        <x:v>Cible : 1–3 matériels par point fort</x:v>
      </x:c>
      <x:c r="L25" s="9" t="str">
        <x:v>Matériel détruit ≠ ennemi vivant tué ; pas unique hitbox de boss invisible</x:v>
      </x:c>
      <x:c r="M25" s="9" t="str">
        <x:v>P2</x:v>
      </x:c>
      <x:c r="N25" s="27" t="str">
        <x:v>n.a.</x:v>
      </x:c>
      <x:c r="O25" s="9" t="str">
        <x:v>Voir le registre Manquants pour les systèmes associés. Fiche de conception non testée en jeu.</x:v>
      </x:c>
      <x:c r="P25" s="22" t="str"/>
    </x:row>
    <x:row r="26" ht="36" customHeight="1">
      <x:c r="A26" s="10" t="str">
        <x:v>BOS-20</x:v>
      </x:c>
      <x:c r="B26" s="10" t="str">
        <x:v>Lourd de percée licencié</x:v>
      </x:c>
      <x:c r="C26" s="10" t="str">
        <x:v>Mini-boss spécialisé</x:v>
      </x:c>
      <x:c r="D26" s="10" t="str">
        <x:v>Plusieurs castes présentes ; incarnation/source à sélectionner</x:v>
      </x:c>
      <x:c r="E26" s="10" t="str">
        <x:v>Selon profil de faction</x:v>
      </x:c>
      <x:c r="F26" s="10" t="str">
        <x:v>Jeu AVP/Alien précis à vérifier</x:v>
      </x:c>
      <x:c r="G26" s="10" t="str">
        <x:v>Ouvrir barricade ou changer route de bataille</x:v>
      </x:c>
      <x:c r="H26" s="10" t="str">
        <x:v>Charge, récupération, obstacle destructible et espace de retournement</x:v>
      </x:c>
      <x:c r="I26" s="10" t="str">
        <x:v>Appât vers obstacle puis flanc ; blocage de route préparé</x:v>
      </x:c>
      <x:c r="J26" s="10" t="str">
        <x:v>Nouvelle brèche persiste, groupes amis/ennemis peuvent l’utiliser</x:v>
      </x:c>
      <x:c r="K26" s="10" t="str">
        <x:v>Cible : 0–2 par front selon théâtre</x:v>
      </x:c>
      <x:c r="L26" s="10" t="str">
        <x:v>Choisir une seule version documentée du lourd ; ne pas inventer caste universelle</x:v>
      </x:c>
      <x:c r="M26" s="10" t="str">
        <x:v>P2</x:v>
      </x:c>
      <x:c r="N26" s="28" t="str">
        <x:v>n.a.</x:v>
      </x:c>
      <x:c r="O26" s="10" t="str">
        <x:v>Voir le registre Manquants pour les systèmes associés. Fiche de conception non testée en jeu.</x:v>
      </x:c>
      <x:c r="P26" s="23" t="str"/>
    </x:row>
    <x:row r="27" ht="63" customHeight="1">
      <x:c r="A27" s="9" t="str">
        <x:v>BOS-21</x:v>
      </x:c>
      <x:c r="B27" s="9" t="str">
        <x:v>Tracker et meute</x:v>
      </x:c>
      <x:c r="C27" s="9" t="str">
        <x:v>Mini-boss de chasse</x:v>
      </x:c>
      <x:c r="D27" s="9" t="str">
        <x:v>Meute alliée invocable par le joueur et accessoires Tracker présents ; Tracker combattant hostile non constaté (Environment.js ; preuves détaillées AUD du registre des manquants, SHA 0f37cc52)</x:v>
      </x:c>
      <x:c r="E27" s="9" t="str">
        <x:v>HellHounds / Tracker à identifier</x:v>
      </x:c>
      <x:c r="F27" s="9" t="str">
        <x:v>Predators 2010</x:v>
      </x:c>
      <x:c r="G27" s="9" t="str">
        <x:v>Traquer un groupe sur un axe secondaire</x:v>
      </x:c>
      <x:c r="H27" s="9" t="str">
        <x:v>Tracker et chiens ont perception, rappel et routes ; blessures persistantes</x:v>
      </x:c>
      <x:c r="I27" s="9" t="str">
        <x:v>Couper l’axe, détourner meute, atteindre le chasseur</x:v>
      </x:c>
      <x:c r="J27" s="9" t="str">
        <x:v>Réduction de la pression de poursuite et accès au refuge</x:v>
      </x:c>
      <x:c r="K27" s="9" t="str">
        <x:v>Tracker unique ; meute finie définie par scénario</x:v>
      </x:c>
      <x:c r="L27" s="9" t="str">
        <x:v>Séparer ces chiens du Lobo de The Predator 2018</x:v>
      </x:c>
      <x:c r="M27" s="9" t="str">
        <x:v>P1</x:v>
      </x:c>
      <x:c r="N27" s="27" t="str">
        <x:v>n.a.</x:v>
      </x:c>
      <x:c r="O27" s="9" t="str">
        <x:v>Voir le registre Manquants pour les systèmes associés. Fiche de conception non testée en jeu.</x:v>
      </x:c>
      <x:c r="P27" s="22" t="str"/>
    </x:row>
    <x:row r="28" ht="49.5" customHeight="1">
      <x:c r="A28" s="10" t="str">
        <x:v>BOS-22</x:v>
      </x:c>
      <x:c r="B28" s="10" t="str">
        <x:v>Falconer et drone</x:v>
      </x:c>
      <x:c r="C28" s="10" t="str">
        <x:v>Mini-boss de renseignement</x:v>
      </x:c>
      <x:c r="D28" s="10" t="str">
        <x:v>Drone de soutien du joueur présent ; Falconer combattant hostile non constaté (Environment.js et FalconDrone.js ; preuves détaillées AUD du registre des manquants, SHA 0f37cc52)</x:v>
      </x:c>
      <x:c r="E28" s="10" t="str">
        <x:v>FalconDrone / Falconer à identifier</x:v>
      </x:c>
      <x:c r="F28" s="10" t="str">
        <x:v>Predators 2010</x:v>
      </x:c>
      <x:c r="G28" s="10" t="str">
        <x:v>Repérer le joueur et donner information au camp</x:v>
      </x:c>
      <x:c r="H28" s="10" t="str">
        <x:v>Drone patrouille depuis un perchoir, a une portée et transmet après délai</x:v>
      </x:c>
      <x:c r="I28" s="10" t="str">
        <x:v>Détruire, leurrer ou quitter couverture visible</x:v>
      </x:c>
      <x:c r="J28" s="10" t="str">
        <x:v>Couper la reconnaissance affaiblit embuscades sans tuer instantanément chasseurs</x:v>
      </x:c>
      <x:c r="K28" s="10" t="str">
        <x:v>1 Falconer, drone matériel séparé</x:v>
      </x:c>
      <x:c r="L28" s="10" t="str">
        <x:v>Pas d’interchangeabilité entre film 2010 et gadgets génériques</x:v>
      </x:c>
      <x:c r="M28" s="10" t="str">
        <x:v>P1</x:v>
      </x:c>
      <x:c r="N28" s="28" t="str">
        <x:v>n.a.</x:v>
      </x:c>
      <x:c r="O28" s="10" t="str">
        <x:v>Voir le registre Manquants pour les systèmes associés. Fiche de conception non testée en jeu.</x:v>
      </x:c>
      <x:c r="P28" s="23" t="str"/>
    </x:row>
    <x:row r="29" ht="36" customHeight="1">
      <x:c r="A29" s="9" t="str">
        <x:v>BOS-23</x:v>
      </x:c>
      <x:c r="B29" s="9" t="str">
        <x:v>Duel rituel contre un vétéran</x:v>
      </x:c>
      <x:c r="C29" s="9" t="str">
        <x:v>Défi allié / rival</x:v>
      </x:c>
      <x:c r="D29" s="9" t="str">
        <x:v>Combat d’entraînement dédié non constaté</x:v>
      </x:c>
      <x:c r="E29" s="9" t="str">
        <x:v>À créer</x:v>
      </x:c>
      <x:c r="F29" s="9" t="str">
        <x:v>Campagne originale du clan</x:v>
      </x:c>
      <x:c r="G29" s="9" t="str">
        <x:v>Valider maîtrise d’armes et promotion</x:v>
      </x:c>
      <x:c r="H29" s="9" t="str">
        <x:v>Duel avec règles déclarées, arrêt ou issue choisie ; fond de guerre suspendu seulement si fiction l’explique</x:v>
      </x:c>
      <x:c r="I29" s="9" t="str">
        <x:v>Parade, posture, choix d’arme et lecture des attaques</x:v>
      </x:c>
      <x:c r="J29" s="9" t="str">
        <x:v>Lien, rang ou commandement évolue ; pas perte fictive d’une armée entière</x:v>
      </x:c>
      <x:c r="K29" s="9" t="str">
        <x:v>1 défi optionnel par étape de progression</x:v>
      </x:c>
      <x:c r="L29" s="9" t="str">
        <x:v>Création de jeu ; pas rite universel déclaré sans référence</x:v>
      </x:c>
      <x:c r="M29" s="9" t="str">
        <x:v>P2</x:v>
      </x:c>
      <x:c r="N29" s="27" t="str">
        <x:v>n.a.</x:v>
      </x:c>
      <x:c r="O29" s="9" t="str">
        <x:v>Voir le registre Manquants pour les systèmes associés. Fiche de conception non testée en jeu.</x:v>
      </x:c>
      <x:c r="P29" s="22" t="str"/>
    </x:row>
    <x:row r="30" ht="36" customHeight="1">
      <x:c r="A30" s="10" t="str">
        <x:v>BOS-24</x:v>
      </x:c>
      <x:c r="B30" s="10" t="str">
        <x:v>Commandement final multi-fronts</x:v>
      </x:c>
      <x:c r="C30" s="10" t="str">
        <x:v>Structure de rencontre</x:v>
      </x:c>
      <x:c r="D30" s="10" t="str">
        <x:v>BossManager activeBoss unique ; transition retire le précédent</x:v>
      </x:c>
      <x:c r="E30" s="10" t="str">
        <x:v>BossManager</x:v>
      </x:c>
      <x:c r="F30" s="10" t="str">
        <x:v>Adaptation de conception</x:v>
      </x:c>
      <x:c r="G30" s="10" t="str">
        <x:v>Relier boss final, deux mini-boss et plusieurs fronts</x:v>
      </x:c>
      <x:c r="H30" s="10" t="str">
        <x:v>Chaque rencontre a son identifiant et son état ; seul le boss final clôt la mission</x:v>
      </x:c>
      <x:c r="I30" s="10" t="str">
        <x:v>Alliés affectés à un mini-boss, sabotage des renforts ou assaut direct</x:v>
      </x:c>
      <x:c r="J30" s="10" t="str">
        <x:v>Le résultat des fronts modifie escortes, ressources et extraction du climax</x:v>
      </x:c>
      <x:c r="K30" s="10" t="str">
        <x:v>Cible : 1 final + 2 mini-boss simultanés dans le pilote</x:v>
      </x:c>
      <x:c r="L30" s="10" t="str">
        <x:v>Ne pas confondre nombre de gestionnaires et nombre d’individus canoniques</x:v>
      </x:c>
      <x:c r="M30" s="10" t="str">
        <x:v>P0</x:v>
      </x:c>
      <x:c r="N30" s="28" t="str">
        <x:v>n.a.</x:v>
      </x:c>
      <x:c r="O30" s="10" t="str">
        <x:v>Voir le registre Manquants pour les systèmes associés. Fiche de conception non testée en jeu.</x:v>
      </x:c>
      <x:c r="P30" s="23" t="str"/>
    </x:row>
    <x:row r="31" ht="130.5" customHeight="1">
      <x:c r="A31" s="9" t="str">
        <x:v>BOS-25</x:v>
      </x:c>
      <x:c r="B31" s="9" t="str">
        <x:v>Feral Predator de Prey</x:v>
      </x:c>
      <x:c r="C31" s="9" t="str">
        <x:v>Boss chasseur</x:v>
      </x:c>
      <x:c r="D31" s="9" t="str">
        <x:v>Ajout v65 : feral_predator_boss reconnu, constructeur spécifique et 8 600 PV de gameplay. Combat à corriger : spawnAcidSpit sans définition trouvée, attaques génériques acide/queue héritées, piège du masque = 1 500 PV retirés directement (AUD-125)</x:v>
      </x:c>
      <x:c r="E31" s="9" t="str">
        <x:v>feral_predator_boss</x:v>
      </x:c>
      <x:c r="F31" s="9" t="str">
        <x:v>Prey 2022 ; incarnation déjà également sélectionnable dans le registre</x:v>
      </x:c>
      <x:c r="G31" s="9" t="str">
        <x:v>Traque spécifique de 1719, puis duel dépendant des préparatifs et du terrain</x:v>
      </x:c>
      <x:c r="H31" s="9" t="str">
        <x:v>Bouclier, lance et arme à traits avec réactions du masque documentées ; limiter les effets aux références confirmées</x:v>
      </x:c>
      <x:c r="I31" s="9" t="str">
        <x:v>Pistage, topologie, piège préparé et fenêtre après attaque ; valider la relation exacte masque/projectiles</x:v>
      </x:c>
      <x:c r="J31" s="9" t="str">
        <x:v>Sa route menace les groupes humains ; les préparatifs changent la dernière rencontre</x:v>
      </x:c>
      <x:c r="K31" s="9" t="str">
        <x:v>1 individu en reconstitution ; miroir joueur/boss réservé au mode libre annoncé</x:v>
      </x:c>
      <x:c r="L31" s="9" t="str">
        <x:v>Le commentaire 3,1 m, la capacité Sariska, le pistolet et les pouvoirs exigent preuve scène/échelle ; 8 600 PV est une règle de jeu, pas du canon. Interactions Prey à recetter : bonus Taabe, arc/hache, fleur et pistolet (AUD-126)</x:v>
      </x:c>
      <x:c r="M31" s="9" t="str">
        <x:v>P0</x:v>
      </x:c>
      <x:c r="N31" s="27" t="n">
        <x:v>8600</x:v>
      </x:c>
      <x:c r="O31" s="9" t="str">
        <x:v>0f37cc52f9d8 : js/entities/Bosses.js : lignes 23-36
0f37cc52f9d8 : js/entities/Bosses.js : lignes 773-799
1d52d9ff91db : js/entities/Bosses.js : lignes 57-61</x:v>
      </x:c>
      <x:c r="P3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32" ht="49.5" customHeight="1">
      <x:c r="A32" s="41" t="str">
        <x:v>BOS-26</x:v>
      </x:c>
      <x:c r="B32" s="41" t="str">
        <x:v>Kher, pisteur des Lames de Basalte</x:v>
      </x:c>
      <x:c r="C32" s="41" t="str">
        <x:v>Commandant de détachement</x:v>
      </x:c>
      <x:c r="D32" s="41" t="str">
        <x:v>Nouvelle proposition originale ; intégration à réaliser</x:v>
      </x:c>
      <x:c r="E32" s="41" t="str">
        <x:v>proposition_kher_tracker</x:v>
      </x:c>
      <x:c r="F32" s="41" t="str">
        <x:v>Scénario original de conflit entre deux clans Yautja inventés ; aucune guerre, coutume, hiérarchie ou règle de duel n’est présentée comme canonique ou universelle.</x:v>
      </x:c>
      <x:c r="G32" s="41" t="str">
        <x:v>Déplacer les gardes vers un accès découvert, protéger les archives ou un convoi selon l’opération.</x:v>
      </x:c>
      <x:c r="H32" s="41" t="str">
        <x:v>Observer puis marquer une route, déclencher une interception bornée par la réserve et changer de couvert. À forte pression, tenter un retrait vers une escouade existante.</x:v>
      </x:c>
      <x:c r="I32" s="41" t="str">
        <x:v>Couper le relais, prendre une route non observée, interrompre le marquage ou capturer le passage de repli. Sa portée et ses fenêtres restent celles d’un chasseur, pas d’un géant.</x:v>
      </x:c>
      <x:c r="J32" s="41" t="str">
        <x:v>Capture ou retrait de Kher ralentit les nouvelles interceptions ; les gardes déjà engagés conservent leurs ordres. Un successeur anonyme peut transmettre un repli, sans recréer Kher.</x:v>
      </x:c>
      <x:c r="K32" s="41" t="str">
        <x:v>Un individu unique dans GRP-36 ; réutilisable dans une autre opération seulement si son état de campagne le permet.</x:v>
      </x:c>
      <x:c r="L32" s="41" t="str">
        <x:v>Nom, rôle et tactique originaux. Pas de pouvoir psychique, de téléportation ni de rang Yautja universel déduits du rôle.</x:v>
      </x:c>
      <x:c r="M32" s="41" t="str">
        <x:v>P1</x:v>
      </x:c>
      <x:c r="N32" s="45" t="str">
        <x:v>n.a.</x:v>
      </x:c>
      <x:c r="O32" s="41" t="str">
        <x:v>Voir le registre Manquants pour les systèmes associés. Fiche de conception non testée en jeu.</x:v>
      </x:c>
      <x:c r="P32" s="46" t="str"/>
    </x:row>
    <x:row r="33" ht="63" customHeight="1">
      <x:c r="A33" s="40" t="str">
        <x:v>BOS-27</x:v>
      </x:c>
      <x:c r="B33" s="40" t="str">
        <x:v>Raan, commandante du siège</x:v>
      </x:c>
      <x:c r="C33" s="40" t="str">
        <x:v>Commandante majeure de mission</x:v>
      </x:c>
      <x:c r="D33" s="40" t="str">
        <x:v>Nouvelle proposition originale ; intégration à réaliser</x:v>
      </x:c>
      <x:c r="E33" s="40" t="str">
        <x:v>proposition_raan_siege_commander</x:v>
      </x:c>
      <x:c r="F33" s="40" t="str">
        <x:v>Scénario original de conflit entre deux clans Yautja inventés ; aucune guerre, coutume, hiérarchie ou règle de duel n’est présentée comme canonique ou universelle.</x:v>
      </x:c>
      <x:c r="G33" s="40" t="str">
        <x:v>Arbitrer brèche, ravitaillement et retrait pendant l’attaque de la Citadelle.</x:v>
      </x:c>
      <x:c r="H33" s="40" t="str">
        <x:v>Tenir un poste mobile protégé, engager un appui limité puis changer d’objectif si une route de fret tombe. Une rupture de couverture ouvre une courte occasion de duel ou capture.</x:v>
      </x:c>
      <x:c r="I33" s="40" t="str">
        <x:v>Couper sa logistique, détourner son escorte vers un objectif crédible, détruire un relais puis choisir capture ou pression sur le port.</x:v>
      </x:c>
      <x:c r="J33" s="40" t="str">
        <x:v>La chaîne de commandement change de priorité : arrêt des nouvelles vagues, regroupement puis retrait par des sorties connues. Les groupes isolés doivent recevoir l’ordre ; la victoire ne les efface pas.</x:v>
      </x:c>
      <x:c r="K33" s="40" t="str">
        <x:v>Une Raan par opération, incluse dans le GRP-36 rival. Le front est défini par l’opération : D dans AFF-02, B dans AFF-12. Sa mort, sa capture ou son retrait persistent si les missions sont liées en campagne.</x:v>
      </x:c>
      <x:c r="L33" s="40" t="str">
        <x:v>Fonction de commandement inventée pour ce conflit. Sa taille, ses armes et ses défenses restent à vérifier contre le profil Yautja choisi ; aucun rang canonique nouveau.</x:v>
      </x:c>
      <x:c r="M33" s="40" t="str">
        <x:v>P1</x:v>
      </x:c>
      <x:c r="N33" s="44" t="str">
        <x:v>n.a.</x:v>
      </x:c>
      <x:c r="O33" s="40" t="str">
        <x:v>Voir le registre Manquants pour les systèmes associés. Fiche de conception non testée en jeu.</x:v>
      </x:c>
      <x:c r="P33" s="47" t="str"/>
    </x:row>
    <x:row r="34" ht="49.5" customHeight="1">
      <x:c r="A34" s="41" t="str">
        <x:v>BOS-28</x:v>
      </x:c>
      <x:c r="B34" s="41" t="str">
        <x:v>Sel, porte-parole armée du clan rival</x:v>
      </x:c>
      <x:c r="C34" s="41" t="str">
        <x:v>Adversaire de duel et décision stratégique</x:v>
      </x:c>
      <x:c r="D34" s="41" t="str">
        <x:v>Nouvelle proposition originale ; intégration à réaliser</x:v>
      </x:c>
      <x:c r="E34" s="41" t="str">
        <x:v>proposition_sel_negotiator</x:v>
      </x:c>
      <x:c r="F34" s="41" t="str">
        <x:v>Scénario original de conflit entre deux clans Yautja inventés ; aucune guerre, coutume, hiérarchie ou règle de duel n’est présentée comme canonique ou universelle.</x:v>
      </x:c>
      <x:c r="G34" s="41" t="str">
        <x:v>Engager sa délégation sur un accord qui doit ensuite être reçu par les fronts encore actifs.</x:v>
      </x:c>
      <x:c r="H34" s="41" t="str">
        <x:v>Alterner garde, feinte et engagement court ; demander un arrêt aux seuils négociés. La rencontre peut se conclure par désarmement, concession ou repli sans mise à mort.</x:v>
      </x:c>
      <x:c r="I34" s="41" t="str">
        <x:v>Lire la posture, contrôler la distance, respecter ou refuser explicitement les conditions de l’échange. Secourir le relais peut coûter une concession dans la négociation.</x:v>
      </x:c>
      <x:c r="J34" s="41" t="str">
        <x:v>Le résultat autorise un ordre de cessation ; son relais et son exécution sur B et C déterminent la fin réelle de la bataille. L’échec d’un signal n’annule pas magiquement l’accord.</x:v>
      </x:c>
      <x:c r="K34" s="41" t="str">
        <x:v>Une seule Sel, incluse dans le GRP-36 du front A. Un arrêt met fin à son attaque mais conserve sa position, son escorte et son état.</x:v>
      </x:c>
      <x:c r="L34" s="41" t="str">
        <x:v>Duel et limites convenus par ces deux délégations fictives ; aucune obligation de duel ni règle d’honneur présentée comme commune à tous les Yautja.</x:v>
      </x:c>
      <x:c r="M34" s="41" t="str">
        <x:v>P1</x:v>
      </x:c>
      <x:c r="N34" s="45" t="str">
        <x:v>n.a.</x:v>
      </x:c>
      <x:c r="O34" s="41" t="str">
        <x:v>Voir le registre Manquants pour les systèmes associés. Fiche de conception non testée en jeu.</x:v>
      </x:c>
      <x:c r="P34" s="46" t="str"/>
    </x:row>
    <x:row r="35" ht="49.5" customHeight="1">
      <x:c r="A35" s="40" t="str">
        <x:v>BOS-29</x:v>
      </x:c>
      <x:c r="B35" s="40" t="str">
        <x:v>Commandant de la force de capture</x:v>
      </x:c>
      <x:c r="C35" s="40" t="str">
        <x:v>Mini-boss humain tactique</x:v>
      </x:c>
      <x:c r="D35" s="40" t="str">
        <x:v>Nouvelle rencontre proposée dans l’audit ; aucune présence dans le code revendiquée</x:v>
      </x:c>
      <x:c r="E35" s="40" t="str">
        <x:v>À créer — commandant_capture_original</x:v>
      </x:c>
      <x:c r="F35" s="40" t="str">
        <x:v>Personnage humain contemporain original, distinct de tout officier nommé de la franchise</x:v>
      </x:c>
      <x:c r="G35" s="40" t="str">
        <x:v>Déclencher le transfert du matériel Yautja saisi et réaffecter les équipes de capture</x:v>
      </x:c>
      <x:c r="H35" s="40" t="str">
        <x:v>Commander depuis couvert, appeler une escorte finie, déplacer le dispositif de capture puis tenter une retraite par la route de service ; combat humain soumis aux dégâts normaux</x:v>
      </x:c>
      <x:c r="I35" s="40" t="str">
        <x:v>Couper les communications, interrompre le départ du convoi, contourner l’escorte ou accepter une reddition si le scénario l’autorise</x:v>
      </x:c>
      <x:c r="J35" s="40" t="str">
        <x:v>Sa neutralisation empêche de nouveaux ordres centralisés ; les groupes gardent leurs ordres locaux, les renforts en route restent suivis et la récupération du matériel reste nécessaire</x:v>
      </x:c>
      <x:c r="K35" s="40" t="str">
        <x:v>1 individu dans AFF-06, inclus dans la cellule GRP-42 déjà comptée</x:v>
      </x:c>
      <x:c r="L35" s="40" t="str">
        <x:v>Création originale ; équipements contemporains. Difficulté issue du terrain, du commandement et des gardes, sans invulnérabilité ni PV de monstre.</x:v>
      </x:c>
      <x:c r="M35" s="40" t="str">
        <x:v>P1</x:v>
      </x:c>
      <x:c r="N35" s="44" t="str">
        <x:v>n.a.</x:v>
      </x:c>
      <x:c r="O35" s="40" t="str">
        <x:v>Voir le registre Manquants pour les systèmes associés. Fiche de conception non testée en jeu.</x:v>
      </x:c>
      <x:c r="P35" s="47" t="str"/>
    </x:row>
    <x:row r="36" ht="49.5" customHeight="1">
      <x:c r="A36" s="41" t="str">
        <x:v>BOS-30</x:v>
      </x:c>
      <x:c r="B36" s="41" t="str">
        <x:v>Responsable tactique de sécurité</x:v>
      </x:c>
      <x:c r="C36" s="41" t="str">
        <x:v>Mini-boss humain de contrôle du site</x:v>
      </x:c>
      <x:c r="D36" s="41" t="str">
        <x:v>Nouvel archétype de rencontre proposé ; aucune implémentation revendiquée</x:v>
      </x:c>
      <x:c r="E36" s="41" t="str">
        <x:v>À créer — responsable_securite_original</x:v>
      </x:c>
      <x:c r="F36" s="41" t="str">
        <x:v>Deux incarnations originales séparées : directeur de sécurité contemporain AFF-07, officier de sûreté orbitale futur AFF-09</x:v>
      </x:c>
      <x:c r="G36" s="41" t="str">
        <x:v>Protéger le chargement ou la navette saisis en commandant portes, alarmes et escortes du site</x:v>
      </x:c>
      <x:c r="H36" s="41" t="str">
        <x:v>Prendre couvert, transférer son poste quand un relais tombe, demander un détachement disponible ; les commandes exigent liaison et énergie effectives</x:v>
      </x:c>
      <x:c r="I36" s="41" t="str">
        <x:v>Sabotage ciblé du relais, prise du poste secondaire, intervention technique ou affrontement humain direct</x:v>
      </x:c>
      <x:c r="J36" s="41" t="str">
        <x:v>Perte de coordination et de verrouillage sur les seuls systèmes encore reliés au poste ; pas extinction magique de toutes les défenses ni disparition des gardes</x:v>
      </x:c>
      <x:c r="K36" s="41" t="str">
        <x:v>1 responsable propre à chaque opération ; un des 8 membres GRP-42, aucun clone simultané</x:v>
      </x:c>
      <x:c r="L36" s="41" t="str">
        <x:v>Les deux périodes partagent un rôle de conception, pas la même identité ni le même équipement. Toute résistance provient de couverts ou protections visibles destructibles.</x:v>
      </x:c>
      <x:c r="M36" s="41" t="str">
        <x:v>P1</x:v>
      </x:c>
      <x:c r="N36" s="45" t="str">
        <x:v>n.a.</x:v>
      </x:c>
      <x:c r="O36" s="41" t="str">
        <x:v>Voir le registre Manquants pour les systèmes associés. Fiche de conception non testée en jeu.</x:v>
      </x:c>
      <x:c r="P36" s="46" t="str"/>
    </x:row>
    <x:row r="37" ht="63" customHeight="1">
      <x:c r="A37" s="40" t="str">
        <x:v>BOS-31</x:v>
      </x:c>
      <x:c r="B37" s="40" t="str">
        <x:v>Commandant expéditionnaire de la force humaine</x:v>
      </x:c>
      <x:c r="C37" s="40" t="str">
        <x:v>Chef d’opération humain</x:v>
      </x:c>
      <x:c r="D37" s="40" t="str">
        <x:v>Nouvel archétype proposé pour les conflits futurs ; aucune présence dans le code revendiquée</x:v>
      </x:c>
      <x:c r="E37" s="40" t="str">
        <x:v>À créer — commandant_expeditionnaire_original</x:v>
      </x:c>
      <x:c r="F37" s="40" t="str">
        <x:v>Officiers originaux distincts selon l’opération future (AFF-08, AFF-10, AFF-11 et AFF-12). Le profil de rencontre est réutilisable ; un individu mort ou capturé ne réapparaît pas dans une campagne liée.</x:v>
      </x:c>
      <x:c r="G37" s="40" t="str">
        <x:v>Coordonner les contre-attaques, préserver le cordon ou transférer un objectif sous protection</x:v>
      </x:c>
      <x:c r="H37" s="40" t="str">
        <x:v>Donner des ordres depuis un véhicule ou poste accessible, changer de lieu avec son escorte puis défendre une voie de repli ; blessures et ligne de vue réelles</x:v>
      </x:c>
      <x:c r="I37" s="40" t="str">
        <x:v>Couper la logistique, bloquer la voie de repli, neutraliser l’antenne ou l’affronter quand son couvert est perdu</x:v>
      </x:c>
      <x:c r="J37" s="40" t="str">
        <x:v>Réserves non engagées retardées ou annulées selon leur source ; les sections déjà déployées gardent une autonomie locale. La victoire exige encore récupération et extraction.</x:v>
      </x:c>
      <x:c r="K37" s="40" t="str">
        <x:v>1 commandant par opération, inclus dans GRP-42 ; officier distinct d’une opération à l’autre</x:v>
      </x:c>
      <x:c r="L37" s="40" t="str">
        <x:v>Pas de personnage canonique transformé en antagoniste sans scénario. Armure, taille et dégâts humains ; aucun commandant géant à santé artificiellement illimitée.</x:v>
      </x:c>
      <x:c r="M37" s="40" t="str">
        <x:v>P1</x:v>
      </x:c>
      <x:c r="N37" s="44" t="str">
        <x:v>n.a.</x:v>
      </x:c>
      <x:c r="O37" s="40" t="str">
        <x:v>Voir le registre Manquants pour les systèmes associés. Fiche de conception non testée en jeu.</x:v>
      </x:c>
      <x:c r="P37" s="47" t="str"/>
    </x:row>
    <x:row r="38" ht="49.5" customHeight="1">
      <x:c r="A38" s="71" t="str">
        <x:v>BOS-32</x:v>
      </x:c>
      <x:c r="B38" s="71" t="str">
        <x:v>Praetorian du passage de Lethe</x:v>
      </x:c>
      <x:c r="C38" s="71" t="str">
        <x:v>Mini-boss de défense</x:v>
      </x:c>
      <x:c r="D38" s="71" t="str">
        <x:v>Nouvelle rencontre de conception ; profils de base partiels selon Bestiaire_medias</x:v>
      </x:c>
      <x:c r="E38" s="71" t="str">
        <x:v>A créer — rencontre_medias_32</x:v>
      </x:c>
      <x:c r="F38" s="71" t="str">
        <x:v>Dark Descent ; rencontre et emplacement originaux</x:v>
      </x:c>
      <x:c r="G38" s="71" t="str">
        <x:v>Tenir l’accès à la ruche pendant une évacuation</x:v>
      </x:c>
      <x:c r="H38" s="71" t="str">
        <x:v>Intercepter un passage large puis reculer si l’axe est isolé ; aucun héritage de transformation Extinction</x:v>
      </x:c>
      <x:c r="I38" s="71" t="str">
        <x:v>Détour, délégation d’un front et attaque pendant une fenêtre lisible</x:v>
      </x:c>
      <x:c r="J38" s="71" t="str">
        <x:v>Le passage libéré permet aux alliés de progresser ; les autres groupes ne disparaissent pas</x:v>
      </x:c>
      <x:c r="K38" s="71" t="str">
        <x:v>Un individu dans GRP-45 ; remplace un membre, compris dans le budget Xénomorphe</x:v>
      </x:c>
      <x:c r="L38" s="71" t="str">
        <x:v>Pas de reine miniature ni de pouvoirs du jeu Extinction importés Profil XEN-008.
Profils du catalogue : XEN-008 — Praetorian</x:v>
      </x:c>
      <x:c r="M38" s="71" t="str">
        <x:v>P1</x:v>
      </x:c>
      <x:c r="N38" s="75" t="str">
        <x:v>n.a.</x:v>
      </x:c>
      <x:c r="O38" s="71" t="str">
        <x:v>Voir le registre Manquants pour les systèmes associés. Fiche de conception non testée en jeu.</x:v>
      </x:c>
      <x:c r="P38" s="76" t="str"/>
    </x:row>
    <x:row r="39" ht="49.5" customHeight="1">
      <x:c r="A39" s="70" t="str">
        <x:v>BOS-33</x:v>
      </x:c>
      <x:c r="B39" s="70" t="str">
        <x:v>Spitter en position dominante</x:v>
      </x:c>
      <x:c r="C39" s="70" t="str">
        <x:v>Elite de secteur</x:v>
      </x:c>
      <x:c r="D39" s="70" t="str">
        <x:v>Nouvelle rencontre de conception ; profils de base partiels selon Bestiaire_medias</x:v>
      </x:c>
      <x:c r="E39" s="70" t="str">
        <x:v>A créer — rencontre_medias_33</x:v>
      </x:c>
      <x:c r="F39" s="70" t="str">
        <x:v>Fireteam Elite ; rencontre originale LV-895</x:v>
      </x:c>
      <x:c r="G39" s="70" t="str">
        <x:v>Interdire un passage tant que son angle n’est pas contourné</x:v>
      </x:c>
      <x:c r="H39" s="70" t="str">
        <x:v>Tir annoncé depuis un point accessible, changement de position si débordé</x:v>
      </x:c>
      <x:c r="I39" s="70" t="str">
        <x:v>Couvert, détour et interruption ; ne pas rendre le tireur invincible</x:v>
      </x:c>
      <x:c r="J39" s="70" t="str">
        <x:v>Un chemin logistique s’ouvre après neutralisation, pas une victoire automatique</x:v>
      </x:c>
      <x:c r="K39" s="70" t="str">
        <x:v>Un Spitter du GRP-44 actif au front C ; jamais un ennemi ajouté à l’allocation</x:v>
      </x:c>
      <x:c r="L39" s="70" t="str">
        <x:v>Elite par sa position et son IA ; pas une nouvelle caste géante Profil XEN-012.
Profils du catalogue : XEN-012 — Spitter de Fireteam Elite</x:v>
      </x:c>
      <x:c r="M39" s="70" t="str">
        <x:v>P1</x:v>
      </x:c>
      <x:c r="N39" s="74" t="str">
        <x:v>n.a.</x:v>
      </x:c>
      <x:c r="O39" s="70" t="str">
        <x:v>Voir le registre Manquants pour les systèmes associés. Fiche de conception non testée en jeu.</x:v>
      </x:c>
      <x:c r="P39" s="77" t="str"/>
    </x:row>
    <x:row r="40" ht="49.5" customHeight="1">
      <x:c r="A40" s="71" t="str">
        <x:v>BOS-34</x:v>
      </x:c>
      <x:c r="B40" s="71" t="str">
        <x:v>Adulte traqueur de Sevastopol</x:v>
      </x:c>
      <x:c r="C40" s="71" t="str">
        <x:v>Menace persistante</x:v>
      </x:c>
      <x:c r="D40" s="71" t="str">
        <x:v>Nouvelle rencontre de conception ; profils de base partiels selon Bestiaire_medias</x:v>
      </x:c>
      <x:c r="E40" s="71" t="str">
        <x:v>A créer — rencontre_medias_34</x:v>
      </x:c>
      <x:c r="F40" s="71" t="str">
        <x:v>Isolation ; scénario Yautja original</x:v>
      </x:c>
      <x:c r="G40" s="71" t="str">
        <x:v>Chasser entre deux réseaux sans réinitialisation à chaque secteur</x:v>
      </x:c>
      <x:c r="H40" s="71" t="str">
        <x:v>Un identifiant unique et une mémoire de poursuite ; retraite possible par routes réelles</x:v>
      </x:c>
      <x:c r="I40" s="71" t="str">
        <x:v>Divertir, fermer un accès ou utiliser une autre boucle ; combat selon profil validé</x:v>
      </x:c>
      <x:c r="J40" s="71" t="str">
        <x:v>Sa présence déplace le risque, les Working Joes continuent leurs propres routines</x:v>
      </x:c>
      <x:c r="K40" s="71" t="str">
        <x:v>Un des huit adultes alloués ; deux adultes actifs au plus avec EFF-15</x:v>
      </x:c>
      <x:c r="L40" s="71" t="str">
        <x:v>Aucun statut de personnage canonique nommé ni pouvoir Fireteam attribué Profil XEN-034.
Profils du catalogue : XEN-034 — Xénomorphe de Sevastopol</x:v>
      </x:c>
      <x:c r="M40" s="71" t="str">
        <x:v>P1</x:v>
      </x:c>
      <x:c r="N40" s="75" t="str">
        <x:v>n.a.</x:v>
      </x:c>
      <x:c r="O40" s="71" t="str">
        <x:v>Voir le registre Manquants pour les systèmes associés. Fiche de conception non testée en jeu.</x:v>
      </x:c>
      <x:c r="P40" s="76" t="str"/>
    </x:row>
    <x:row r="41" ht="49.5" customHeight="1">
      <x:c r="A41" s="70" t="str">
        <x:v>BOS-35</x:v>
      </x:c>
      <x:c r="B41" s="70" t="str">
        <x:v>Responsable du cordon Prodigy</x:v>
      </x:c>
      <x:c r="C41" s="70" t="str">
        <x:v>Chef humain tactique</x:v>
      </x:c>
      <x:c r="D41" s="70" t="str">
        <x:v>Nouvelle rencontre de conception ; profils de base partiels selon Bestiaire_medias</x:v>
      </x:c>
      <x:c r="E41" s="70" t="str">
        <x:v>A créer — rencontre_medias_35</x:v>
      </x:c>
      <x:c r="F41" s="70" t="str">
        <x:v>Alien: Earth ; personne originale de la variante de guerre</x:v>
      </x:c>
      <x:c r="G41" s="70" t="str">
        <x:v>Commander le cordon et déplacer un convoi de récupération</x:v>
      </x:c>
      <x:c r="H41" s="70" t="str">
        <x:v>Chef mobile sous couvert ; radios, gardes et transports existent sur la carte</x:v>
      </x:c>
      <x:c r="I41" s="70" t="str">
        <x:v>Couper le relais, intercepter le convoi ou négocier un passage</x:v>
      </x:c>
      <x:c r="J41" s="70" t="str">
        <x:v>Les troupes conservent leurs derniers ordres ; le contrôle du cordon peut basculer</x:v>
      </x:c>
      <x:c r="K41" s="70" t="str">
        <x:v>Un garde du GRP-48 du front A est remplacé par ce chef</x:v>
      </x:c>
      <x:c r="L41" s="70" t="str">
        <x:v>Ni Hermit ni Morrow cloné ; santé et résistance humaines liées à protections visibles Profil HUM-021.
Profils du catalogue : HUM-021 — Soldats tactiques de Prodigy</x:v>
      </x:c>
      <x:c r="M41" s="70" t="str">
        <x:v>P1</x:v>
      </x:c>
      <x:c r="N41" s="74" t="str">
        <x:v>n.a.</x:v>
      </x:c>
      <x:c r="O41" s="70" t="str">
        <x:v>Voir le registre Manquants pour les systèmes associés. Fiche de conception non testée en jeu.</x:v>
      </x:c>
      <x:c r="P41" s="77" t="str"/>
    </x:row>
    <x:row r="42" ht="49.5" customHeight="1">
      <x:c r="A42" s="71" t="str">
        <x:v>BOS-36</x:v>
      </x:c>
      <x:c r="B42" s="71" t="str">
        <x:v>Mara Voss, responsable du transfert industriel</x:v>
      </x:c>
      <x:c r="C42" s="71" t="str">
        <x:v>Commandant tactique de scénario</x:v>
      </x:c>
      <x:c r="D42" s="71" t="str">
        <x:v>Nouvelle proposition ; aucune implémentation revendiquée</x:v>
      </x:c>
      <x:c r="E42" s="71" t="str">
        <x:v>proposition_mara_voss</x:v>
      </x:c>
      <x:c r="F42" s="71" t="str">
        <x:v>Humaine originale d’AFF-20 ; ni personnage du jeu ni officier canonique Borgia revendiqué.</x:v>
      </x:c>
      <x:c r="G42" s="71" t="str">
        <x:v>Protéger le module saisi et donner l’ordre de son transfert à travers le site.</x:v>
      </x:c>
      <x:c r="H42" s="71" t="str">
        <x:v>Rester à couvert, déplacer le convoi avec une escorte existante et changer de poste si le réseau est coupé ; dégâts et mobilité humains.</x:v>
      </x:c>
      <x:c r="I42" s="71" t="str">
        <x:v>Couper le registre des départs, bloquer la route de fret ou atteindre son poste après perte de couverture ; reddition possible si encerclée.</x:v>
      </x:c>
      <x:c r="J42" s="71" t="str">
        <x:v>Plus de nouvelles réaffectations centralisées ; les groupes déjà engagés gardent leurs consignes. Le module doit encore être récupéré.</x:v>
      </x:c>
      <x:c r="K42" s="71" t="str">
        <x:v>Une seule Mara dans AFF-20 : chef de la première GRP-55 active sur A, incluse dans ses 8 membres.</x:v>
      </x:c>
      <x:c r="L42" s="71" t="str">
        <x:v>Identité et tactique originales ; aucune immunité humaine ou compétence canonique inventée.</x:v>
      </x:c>
      <x:c r="M42" s="71" t="str">
        <x:v>P1</x:v>
      </x:c>
      <x:c r="N42" s="75" t="str">
        <x:v>n.a.</x:v>
      </x:c>
      <x:c r="O42" s="71" t="str">
        <x:v>Voir le registre Manquants pour les systèmes associés. Fiche de conception non testée en jeu.</x:v>
      </x:c>
      <x:c r="P42" s="76" t="str"/>
    </x:row>
    <x:row r="43" ht="49.5" customHeight="1">
      <x:c r="A43" s="70" t="str">
        <x:v>BOS-37</x:v>
      </x:c>
      <x:c r="B43" s="70" t="str">
        <x:v>Vorrek, chef de la récupération rivale</x:v>
      </x:c>
      <x:c r="C43" s="70" t="str">
        <x:v>Commandant tactique de scénario</x:v>
      </x:c>
      <x:c r="D43" s="70" t="str">
        <x:v>Nouvelle proposition ; aucune implémentation revendiquée</x:v>
      </x:c>
      <x:c r="E43" s="70" t="str">
        <x:v>proposition_vorrek_genna</x:v>
      </x:c>
      <x:c r="F43" s="70" t="str">
        <x:v>Yautja original du clan inventé des Roches Creuses ; sa présence sur Genna est une fiction alternative.</x:v>
      </x:c>
      <x:c r="G43" s="70" t="str">
        <x:v>Faire partir la balise saisie par le camp C tout en interdisant l’accès B.</x:v>
      </x:c>
      <x:c r="H43" s="70" t="str">
        <x:v>Transmettre un ordre de transfert, déléguer une interception disponible puis reculer vers une garde déjà allouée ; aucune téléportation.</x:v>
      </x:c>
      <x:c r="I43" s="70" t="str">
        <x:v>Interrompre la liaison B–C, détourner l’escorte vers A, prendre le passage bas ou l’affronter quand son couvert tombe.</x:v>
      </x:c>
      <x:c r="J43" s="70" t="str">
        <x:v>Le transfert ralentit faute d’ordres ; les intercepteurs poursuivent leur tâche locale. Un retrait peut être négocié et doit se propager par les relais.</x:v>
      </x:c>
      <x:c r="K43" s="70" t="str">
        <x:v>Un Vorrek dans le GRP-36 actif de B, inclus dans les quatre ; jamais un cinquième acteur.</x:v>
      </x:c>
      <x:c r="L43" s="70" t="str">
        <x:v>Pas de rang universel, de lien familial avec Dek ni d’autorité sur tous les Yautja de Genna.</x:v>
      </x:c>
      <x:c r="M43" s="70" t="str">
        <x:v>P2</x:v>
      </x:c>
      <x:c r="N43" s="74" t="str">
        <x:v>n.a.</x:v>
      </x:c>
      <x:c r="O43" s="70" t="str">
        <x:v>Voir le registre Manquants pour les systèmes associés. Fiche de conception non testée en jeu.</x:v>
      </x:c>
      <x:c r="P43" s="77" t="str"/>
    </x:row>
    <x:row r="44" ht="49.5" customHeight="1">
      <x:c r="A44" s="71" t="str">
        <x:v>BOS-38</x:v>
      </x:c>
      <x:c r="B44" s="71" t="str">
        <x:v>Narek, gardien rival du site de captivité</x:v>
      </x:c>
      <x:c r="C44" s="71" t="str">
        <x:v>Commandant tactique de scénario</x:v>
      </x:c>
      <x:c r="D44" s="71" t="str">
        <x:v>Nouvelle proposition ; aucune implémentation revendiquée</x:v>
      </x:c>
      <x:c r="E44" s="71" t="str">
        <x:v>proposition_narek_preserve</x:v>
      </x:c>
      <x:c r="F44" s="71" t="str">
        <x:v>Yautja et groupe de ravisseurs originaux dans une variante inspirée de The Last Hunt ; ce n’est pas le Super Predator du comic.</x:v>
      </x:c>
      <x:c r="G44" s="71" t="str">
        <x:v>Conserver le contrôle des accès et tenter un déplacement de captifs avant l’arrivée du secours.</x:v>
      </x:c>
      <x:c r="H44" s="71" t="str">
        <x:v>Verrouiller une seule ligne accessible, affecter une escorte disponible et se retirer vers C ; aucune stase ni pouvoir non documenté utilisé par défaut.</x:v>
      </x:c>
      <x:c r="I44" s="71" t="str">
        <x:v>Capturer le relais, neutraliser les gardes du trajet ou obtenir le retrait du gardien ; rendre possible une victoire sans extermination.</x:v>
      </x:c>
      <x:c r="J44" s="71" t="str">
        <x:v>Sa capture suspend les nouveaux transferts mais ne libère pas à distance tous les captifs ; les issues doivent encore être ouvertes et protégées.</x:v>
      </x:c>
      <x:c r="K44" s="71" t="str">
        <x:v>Un Narek dans le GRP-36 actif de C, inclus dans les quatre ; état persistant jusqu’à l’extraction.</x:v>
      </x:c>
      <x:c r="L44" s="71" t="str">
        <x:v>Rôle et dispositions originaux ; aucune fusion avec Mr. Black ni avec une caste Super Predator universelle.</x:v>
      </x:c>
      <x:c r="M44" s="71" t="str">
        <x:v>P2</x:v>
      </x:c>
      <x:c r="N44" s="75" t="str">
        <x:v>n.a.</x:v>
      </x:c>
      <x:c r="O44" s="71" t="str">
        <x:v>Voir le registre Manquants pour les systèmes associés. Fiche de conception non testée en jeu.</x:v>
      </x:c>
      <x:c r="P44" s="76" t="str"/>
    </x:row>
    <x:row r="45" ht="117" customHeight="1">
      <x:c r="A45" s="70" t="str">
        <x:v>BOS-39</x:v>
      </x:c>
      <x:c r="B45" s="70" t="str">
        <x:v>Reine de la ruche des failles de LV-742</x:v>
      </x:c>
      <x:c r="C45" s="70" t="str">
        <x:v>Boss stratégique reproducteur</x:v>
      </x:c>
      <x:c r="D45" s="70" t="str">
        <x:v>Nouvelle reine anonyme de scénario ; pas un personnage officiel nommé ni un boss déjà implémenté pour LV-742</x:v>
      </x:c>
      <x:c r="E45" s="70" t="str">
        <x:v>proposition_queen_lv742_extinction</x:v>
      </x:c>
      <x:c r="F45" s="70"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x:v>
      </x:c>
      <x:c r="G45" s="70" t="str">
        <x:v>Maintenir la menace du centre reproducteur et les itinéraires d’attaque encore ouverts ; détourner les forces du joueur pendant l’activité des trois autres fronts.</x:v>
      </x:c>
      <x:c r="H45" s="70" t="str">
        <x:v>Défendre sa chambre, changer d’accès sans traverser les parois et appeler seulement une garde déjà allouée. Ponte et maturation suivent un stock réservé et des délais ; capacités détaillées validées sur le profil Extinction avant reprise fidèle.</x:v>
      </x:c>
      <x:c r="I45" s="70" t="str">
        <x:v>Fermer deux conduits de renfort, couper l’accès aux hôtes et ouvrir une voie latérale ; protéger les alliés qui maintiennent l’accès pendant l’assaut.</x:v>
      </x:c>
      <x:c r="J45" s="70" t="str">
        <x:v>Fin des nouveaux départs biologiques liés à la reine après prise en compte des unités déjà en transit. Les adultes engagés poursuivent leurs tâches ou se regroupent. Un éventuel remplacement reproducteur est désactivé pour cette opération et annoncé comme règle de scénario.</x:v>
      </x:c>
      <x:c r="K45" s="70" t="str">
        <x:v>Une seule reine BOS-39 dans l’instance C-QUEEN de GRP-59, initialement distante sur C ; elle remplace un Praetorian et conserve un identifiant unique.</x:v>
      </x:c>
      <x:c r="L45" s="70" t="str">
        <x:v>Reine du roster Extinction ; nom de ruche et rencontre originaux. Aucun vol, pouvoir de glace, téléportation ou absorption d’énergie ajouté sans source. Une reine par opération est une limite de conception, pas une règle universelle du vivant.
Profils du catalogue : XEN-007 — Reine Xénomorphe
X-S01 — Aliens versus Predator: Extinction — manuel officiel PS2
https://gamingalexandria.com/ps2/Aliens%20Versus%20Predator%20Extinction/Aliens%20Versus%20Predator%20Extinction%20-%20Manual.pdf</x:v>
      </x:c>
      <x:c r="M45" s="70" t="str">
        <x:v>P1</x:v>
      </x:c>
      <x:c r="N45" s="74" t="str">
        <x:v>n.a.</x:v>
      </x:c>
      <x:c r="O45" s="70" t="str">
        <x:v>Voir le registre Manquants pour les systèmes associés. Fiche de conception non testée en jeu.</x:v>
      </x:c>
      <x:c r="P45" s="77" t="str"/>
    </x:row>
  </x:sheetData>
  <x:conditionalFormatting sqref="M7:M31">
    <x:cfRule type="cellIs" dxfId="16" priority="1" operator="equal">
      <x:formula>"P0"</x:formula>
    </x:cfRule>
    <x:cfRule type="cellIs" dxfId="17" priority="2" operator="equal">
      <x:formula>"P1"</x:formula>
    </x:cfRule>
    <x:cfRule type="cellIs" dxfId="18" priority="3" operator="equal">
      <x:formula>"P2"</x:formula>
    </x:cfRule>
  </x:conditionalFormatting>
  <x:conditionalFormatting sqref="M32:M37">
    <x:cfRule type="cellIs" dxfId="34" priority="4" operator="equal">
      <x:formula>"P0"</x:formula>
    </x:cfRule>
    <x:cfRule type="cellIs" dxfId="35" priority="5" operator="equal">
      <x:formula>"P1"</x:formula>
    </x:cfRule>
    <x:cfRule type="cellIs" dxfId="36" priority="6" operator="equal">
      <x:formula>"P2"</x:formula>
    </x:cfRule>
  </x:conditionalFormatting>
  <x:conditionalFormatting sqref="M38:M45">
    <x:cfRule type="cellIs" dxfId="64" priority="7" operator="equal">
      <x:formula>"P0"</x:formula>
    </x:cfRule>
    <x:cfRule type="cellIs" dxfId="65" priority="8" operator="equal">
      <x:formula>"P1"</x:formula>
    </x:cfRule>
    <x:cfRule type="cellIs" dxfId="66" priority="9" operator="equal">
      <x:formula>"P2"</x:formula>
    </x:cfRule>
  </x:conditionalFormatting>
  <x:dataValidations count="3">
    <x:dataValidation type="list" sqref="M7:M31">
      <x:formula1>"P0,P1,P2,P3"</x:formula1>
    </x:dataValidation>
    <x:dataValidation type="list" sqref="M32:M37">
      <x:formula1>"P0,P1,P2,P3"</x:formula1>
    </x:dataValidation>
    <x:dataValidation type="list" sqref="M38:M45">
      <x:formula1>"P0,P1,P2,P3"</x:formula1>
    </x:dataValidation>
  </x:dataValidations>
  <x:pageMargins left="0.7" right="0.7" top="0.75" bottom="0.75" header="0.3" footer="0.3"/>
  <x:tableParts count="1">
    <x:tablePart xmlns:r="http://schemas.openxmlformats.org/officeDocument/2006/relationships" r:id="R49a5990811f44cc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9" hidden="0" customWidth="1"/>
    <x:col min="3" max="3" width="38" hidden="0" customWidth="1"/>
    <x:col min="4" max="4" width="38" hidden="0" customWidth="1"/>
    <x:col min="5" max="5" width="10" hidden="0" customWidth="1"/>
    <x:col min="6" max="6" width="66" hidden="0" customWidth="1"/>
    <x:col min="7" max="7" width="80" hidden="0" customWidth="1"/>
    <x:col min="8" max="8" width="74" hidden="0" customWidth="1"/>
    <x:col min="9" max="9" width="69" hidden="0" customWidth="1"/>
    <x:col min="10" max="10" width="72" hidden="0" customWidth="1"/>
    <x:col min="11" max="11" width="65" hidden="0" customWidth="1"/>
  </x:cols>
  <x:sheetData>
    <x:row r="1" ht="12" customHeight="1">
      <x:c r="A1" s="3"/>
      <x:c r="B1" s="3"/>
      <x:c r="C1" s="3"/>
      <x:c r="D1" s="3"/>
      <x:c r="E1" s="3"/>
      <x:c r="F1" s="3"/>
      <x:c r="G1" s="3"/>
      <x:c r="H1" s="3"/>
      <x:c r="I1" s="3"/>
      <x:c r="J1" s="3"/>
      <x:c r="K1" s="3"/>
    </x:row>
    <x:row r="2" ht="29" customHeight="1">
      <x:c r="A2" s="4" t="str">
        <x:v>Fidélité des lieux, factions et équipements</x:v>
      </x:c>
      <x:c r="B2" s="3"/>
      <x:c r="C2" s="3"/>
      <x:c r="D2" s="3"/>
      <x:c r="E2" s="3"/>
      <x:c r="F2" s="3"/>
      <x:c r="G2" s="3"/>
      <x:c r="H2" s="3"/>
      <x:c r="I2" s="3"/>
      <x:c r="J2" s="3"/>
      <x:c r="K2" s="3"/>
    </x:row>
    <x:row r="3" ht="8" customHeight="1">
      <x:c r="A3" s="5"/>
      <x:c r="B3" s="5"/>
      <x:c r="C3" s="5"/>
      <x:c r="D3" s="5"/>
      <x:c r="E3" s="5"/>
      <x:c r="F3" s="5"/>
      <x:c r="G3" s="5"/>
      <x:c r="H3" s="5"/>
      <x:c r="I3" s="5"/>
      <x:c r="J3" s="5"/>
      <x:c r="K3" s="5"/>
    </x:row>
    <x:row r="4">
      <x:c r="A4" s="6" t="str">
        <x:v>Reconstitution, Guerre du clan et Crossover sont des catégories proposées pour le projet, non une taxonomie officielle.</x:v>
      </x:c>
      <x:c r="B4" s="3"/>
      <x:c r="C4" s="3"/>
      <x:c r="D4" s="3"/>
      <x:c r="E4" s="3"/>
      <x:c r="F4" s="3"/>
      <x:c r="G4" s="3"/>
      <x:c r="H4" s="3"/>
      <x:c r="I4" s="3"/>
      <x:c r="J4" s="3"/>
      <x:c r="K4" s="3"/>
    </x:row>
    <x:row r="5">
      <x:c r="A5" s="7" t="str">
        <x:v>47 lignes</x:v>
      </x:c>
      <x:c r="B5" s="3"/>
      <x:c r="C5" s="3"/>
      <x:c r="D5" s="3"/>
      <x:c r="E5" s="3"/>
      <x:c r="F5" s="3"/>
      <x:c r="G5" s="3"/>
      <x:c r="H5" s="3"/>
      <x:c r="I5" s="3"/>
      <x:c r="J5" s="3"/>
      <x:c r="K5" s="3"/>
    </x:row>
    <x:row r="6" ht="36" customHeight="1">
      <x:c r="A6" s="19" t="str">
        <x:v>ID</x:v>
      </x:c>
      <x:c r="B6" s="20" t="str">
        <x:v>Type de contrôle</x:v>
      </x:c>
      <x:c r="C6" s="20" t="str">
        <x:v>Sujet</x:v>
      </x:c>
      <x:c r="D6" s="20" t="str">
        <x:v>Niveau de preuve</x:v>
      </x:c>
      <x:c r="E6" s="20" t="str">
        <x:v>Priorité</x:v>
      </x:c>
      <x:c r="F6" s="20" t="str">
        <x:v>Élément établi / contexte</x:v>
      </x:c>
      <x:c r="G6" s="20" t="str">
        <x:v>Action / règle d’adaptation</x:v>
      </x:c>
      <x:c r="H6" s="20" t="str">
        <x:v>Limites de la référence</x:v>
      </x:c>
      <x:c r="I6" s="20" t="str">
        <x:v>Validation attendue</x:v>
      </x:c>
      <x:c r="J6" s="20" t="str">
        <x:v>Source et portée</x:v>
      </x:c>
      <x:c r="K6" s="21" t="str">
        <x:v>URL de référence</x:v>
      </x:c>
    </x:row>
    <x:row r="7" ht="346.5" customHeight="1">
      <x:c r="A7" s="9" t="str">
        <x:v>LORE-001</x:v>
      </x:c>
      <x:c r="B7" s="9" t="str">
        <x:v>Règle de fidélité</x:v>
      </x:c>
      <x:c r="C7" s="9" t="str">
        <x:v>Séparer les cadres de jeu</x:v>
      </x:c>
      <x:c r="D7" s="9" t="str">
        <x:v>RECOMMANDATION DE CONCEPTION</x:v>
      </x:c>
      <x:c r="E7" s="9" t="str">
        <x:v>P0</x:v>
      </x:c>
      <x:c r="F7" s="9" t="str">
        <x:v>Les sources couvrent des œuvres et contextes distincts.</x:v>
      </x:c>
      <x:c r="G7" s="9" t="str">
        <x:v>Étiqueter chaque scénario Reconstitution, Guerre du clan ou Crossover. Une reconstitution choisit une œuvre/version et n'importe pas automatiquement tous les ennemis du catalogue global. Conserver les mélanges existants dans un mode libre explicitement hypothétique.</x:v>
      </x:c>
      <x:c r="H7" s="9" t="str">
        <x:v>La fidélité doit être validée pour l’œuvre/version choisie.</x:v>
      </x:c>
      <x:c r="I7" s="9" t="str">
        <x:v>Chaque bataille renseigne œuvre, période diégétique, version, factions, autorisations de roster et divergence éventuelle.</x:v>
      </x:c>
      <x:c r="J7" s="9" t="str">
        <x:v>LORE-S01 — Alien vs. Predator — synopsis officiel
20th Century Studios
Portée : Pyramide automatisée antarctique, rite de passage et partenariat d'une technicienne avec un Predator; pas une carte architecturale ni un effectif complet.
Consulté le 2026-10-26
LORE-S02 — Predators — synopsis officiel
20th Century Studios
Portée : Groupe humain chassé sur planète extraterrestre; n'établit pas le graphe complet de la réserve ni tous les accessoires.
Consulté le 2026-10-26
LORE-S03 — The Complete Aliens Omnibus Volume Three — Rogue
Titan Books, éditeur licencié
Portée : Charon, tunnels de ruche, professeur Kleist et sa création Rogue; source du roman, à distinguer des planches de la BD.
Consulté le 2026-10-26
LORE-S10 — Présentations officielles de figurines par licence
NECA
Portée : Associe Wolf et Predalien à AVP Requiem, Offspring à Alien Romulus. Simple attribution de licence; movesets, anatomie détaillée et armes de Wolf à vérifier sur scènes.
Consulté le 2026-10-26</x:v>
      </x:c>
      <x:c r="K7" s="22" t="str">
        <x:v>https://www.20thcenturystudios.com/movies/alien-vs-predator
https://www.20thcenturystudios.com/movies/predators
https://titanbooks.com/8479-the-complete-aliens-omnibus-volume-three-rogue-the-labyrinth/
https://store.necaonline.com/collections/featured-at-comic-con</x:v>
      </x:c>
    </x:row>
    <x:row r="8" ht="90" customHeight="1">
      <x:c r="A8" s="10" t="str">
        <x:v>LORE-002</x:v>
      </x:c>
      <x:c r="B8" s="10" t="str">
        <x:v>Règle de fidélité</x:v>
      </x:c>
      <x:c r="C8" s="10" t="str">
        <x:v>Rareté locale des chasseurs</x:v>
      </x:c>
      <x:c r="D8" s="10" t="str">
        <x:v>PORTEE LOCALE CONFIRMEE; EFFECTIFS A SOURCER</x:v>
      </x:c>
      <x:c r="E8" s="10" t="str">
        <x:v>P0</x:v>
      </x:c>
      <x:c r="F8" s="10" t="str">
        <x:v>Le Jungle Hunter traque ses adversaires individuellement.</x:v>
      </x:c>
      <x:c r="G8" s="10" t="str">
        <x:v>Pour la reconstitution Predator 1987, préserver le caractère d'une chasse menée par cette incarnation. Réserver les masses de Yautja aux guerres de clans ou opérations qui les justifient; ne pas prétendre établir un plafond universel de population Yautja.</x:v>
      </x:c>
      <x:c r="H8" s="10" t="str">
        <x:v>La fidélité doit être validée pour l’œuvre/version choisie.</x:v>
      </x:c>
      <x:c r="I8" s="10" t="str">
        <x:v>L'effectif Yautja de chaque scénario possède justification et source; augmenter difficulté ne clone pas le personnage nommé.</x:v>
      </x:c>
      <x:c r="J8" s="10" t="str">
        <x:v>LORE-S04 — Ultimate Jungle Hunter — fiche licenciée
NECA
Portée : Incarnation Predator 1987, canon plasma et accessoires; mention de Guatemala à traiter comme point de vérification face au libellé Val Verde.
Consulté le 2026-10-26</x:v>
      </x:c>
      <x:c r="K8" s="23" t="str">
        <x:v>https://store.necaonline.com/products/predator-ultimate-jungle-hunter-7-scale-action-figure</x:v>
      </x:c>
    </x:row>
    <x:row r="9" ht="90" customHeight="1">
      <x:c r="A9" s="9" t="str">
        <x:v>LORE-003</x:v>
      </x:c>
      <x:c r="B9" s="9" t="str">
        <x:v>Règle de fidélité</x:v>
      </x:c>
      <x:c r="C9" s="9" t="str">
        <x:v>Alliances circonstancielles</x:v>
      </x:c>
      <x:c r="D9" s="9" t="str">
        <x:v>FAIT DE PERIMETRE CONFIRME</x:v>
      </x:c>
      <x:c r="E9" s="9" t="str">
        <x:v>P0</x:v>
      </x:c>
      <x:c r="F9" s="9" t="str">
        <x:v>AVP présente un partenariat technicienne/Predator.</x:v>
      </x:c>
      <x:c r="G9" s="9" t="str">
        <x:v>Modéliser la coopération humain/Yautja comme un événement conditionnel avec objectif, durée, confiance et possibilité de rupture. Ne pas en déduire une alliance permanente entre toutes les forces humaines et tous les clans.</x:v>
      </x:c>
      <x:c r="H9" s="9" t="str">
        <x:v>La fidélité doit être validée pour l’œuvre/version choisie.</x:v>
      </x:c>
      <x:c r="I9" s="9" t="str">
        <x:v>Diplomatie par scénario et groupe; transitions d'alliance enregistrées; équipes composites explicables.</x:v>
      </x:c>
      <x:c r="J9" s="9" t="str">
        <x:v>LORE-S01 — Alien vs. Predator — synopsis officiel
20th Century Studios
Portée : Pyramide automatisée antarctique, rite de passage et partenariat d'une technicienne avec un Predator; pas une carte architecturale ni un effectif complet.
Consulté le 2026-10-26</x:v>
      </x:c>
      <x:c r="K9" s="22" t="str">
        <x:v>https://www.20thcenturystudios.com/movies/alien-vs-predator</x:v>
      </x:c>
    </x:row>
    <x:row r="10" ht="90" customHeight="1">
      <x:c r="A10" s="10" t="str">
        <x:v>LORE-004</x:v>
      </x:c>
      <x:c r="B10" s="10" t="str">
        <x:v>Règle de fidélité</x:v>
      </x:c>
      <x:c r="C10" s="10" t="str">
        <x:v>Antarctique AVP</x:v>
      </x:c>
      <x:c r="D10" s="10" t="str">
        <x:v>PERIMETRE CONFIRME; GEOMETRIE A VERIFIER</x:v>
      </x:c>
      <x:c r="E10" s="10" t="str">
        <x:v>P0</x:v>
      </x:c>
      <x:c r="F10" s="10" t="str">
        <x:v>Pyramide automatisée sous l'Antarctique et rite de passage.</x:v>
      </x:c>
      <x:c r="G10" s="10" t="str">
        <x:v>Relier surface, descente, chambres, mécanismes, arènes et sortie dans un plan cohérent. Les changements de couloirs doivent être des événements physiques contrôlés, pas des connexions aléatoires incohérentes.</x:v>
      </x:c>
      <x:c r="H10" s="10" t="str">
        <x:v>La fidélité doit être validée pour l’œuvre/version choisie.</x:v>
      </x:c>
      <x:c r="I10" s="10" t="str">
        <x:v>Chronologie des déplacements de salles vérifiable; routes d'évacuation valides; roster verrouillé à la version choisie.</x:v>
      </x:c>
      <x:c r="J10" s="10" t="str">
        <x:v>LORE-S01 — Alien vs. Predator — synopsis officiel
20th Century Studios
Portée : Pyramide automatisée antarctique, rite de passage et partenariat d'une technicienne avec un Predator; pas une carte architecturale ni un effectif complet.
Consulté le 2026-10-26</x:v>
      </x:c>
      <x:c r="K10" s="23" t="str">
        <x:v>https://www.20thcenturystudios.com/movies/alien-vs-predator</x:v>
      </x:c>
    </x:row>
    <x:row r="11" ht="76.5" customHeight="1">
      <x:c r="A11" s="9" t="str">
        <x:v>LORE-005</x:v>
      </x:c>
      <x:c r="B11" s="9" t="str">
        <x:v>Règle de fidélité</x:v>
      </x:c>
      <x:c r="C11" s="9" t="str">
        <x:v>LA1990 : année de sortie contre année diégétique</x:v>
      </x:c>
      <x:c r="D11" s="9" t="str">
        <x:v>CORRECTION DE METADONNEES A CONTROLER</x:v>
      </x:c>
      <x:c r="E11" s="9" t="str">
        <x:v>P0</x:v>
      </x:c>
      <x:c r="F11" s="9" t="str">
        <x:v>NECA distingue film 1990 et Los Angeles fictive 1997.</x:v>
      </x:c>
      <x:c r="G11" s="9" t="str">
        <x:v>Si LA1990 est l'identifiant technique, le préserver pour compatibilité mais afficher Predator 2 — Los Angeles, 1997. Séparer releaseYear et storyYear afin de ne pas afficher toutes les dates de sortie comme dates du récit.</x:v>
      </x:c>
      <x:c r="H11" s="9" t="str">
        <x:v>La fidélité doit être validée pour l’œuvre/version choisie.</x:v>
      </x:c>
      <x:c r="I11" s="9" t="str">
        <x:v>ID stable; libellé non ambigu; référence de scène de la date ajoutée avant certification finale.</x:v>
      </x:c>
      <x:c r="J11" s="9" t="str">
        <x:v>LORE-S06 — Cloaked City Hunter — Los Angeles 1997
NECA
Portée : Distingue expressément le film sorti en 1990 et son Los Angeles fictif de 1997.
Consulté le 2026-10-26</x:v>
      </x:c>
      <x:c r="K11" s="22" t="str">
        <x:v>https://store.necaonline.com/blogs/san-diego-comic-con/neca-does-sdcc-pt-2-introducing-the-cloaked-city-hunter-predator</x:v>
      </x:c>
    </x:row>
    <x:row r="12" ht="90" customHeight="1">
      <x:c r="A12" s="10" t="str">
        <x:v>LORE-006</x:v>
      </x:c>
      <x:c r="B12" s="10" t="str">
        <x:v>Règle de fidélité</x:v>
      </x:c>
      <x:c r="C12" s="10" t="str">
        <x:v>Val Verde 1987</x:v>
      </x:c>
      <x:c r="D12" s="10" t="str">
        <x:v>LOCALISATION EXACTE NON VERIFIEE</x:v>
      </x:c>
      <x:c r="E12" s="10" t="str">
        <x:v>P1</x:v>
      </x:c>
      <x:c r="F12" s="10" t="str">
        <x:v>La fiche NECA emploie Guatemala, pas Val Verde.</x:v>
      </x:c>
      <x:c r="G12" s="10" t="str">
        <x:v>Ne pas certifier Val Verde comme toponyme 1:1 du film sur la base du seul nom de map. Préférer provisoirement Jungle — Predator (1987) et conserver Val Verde comme nom de région du projet si désiré.</x:v>
      </x:c>
      <x:c r="H12" s="10" t="str">
        <x:v>La fidélité doit être validée pour l’œuvre/version choisie.</x:v>
      </x:c>
      <x:c r="I12" s="10" t="str">
        <x:v>Source de film/script/licence identifiée pour le toponyme; conflit de références documenté au lieu d'une correction arbitraire.</x:v>
      </x:c>
      <x:c r="J12" s="10" t="str">
        <x:v>LORE-S04 — Ultimate Jungle Hunter — fiche licenciée
NECA
Portée : Incarnation Predator 1987, canon plasma et accessoires; mention de Guatemala à traiter comme point de vérification face au libellé Val Verde.
Consulté le 2026-10-26</x:v>
      </x:c>
      <x:c r="K12" s="23" t="str">
        <x:v>https://store.necaonline.com/products/predator-ultimate-jungle-hunter-7-scale-action-figure</x:v>
      </x:c>
    </x:row>
    <x:row r="13" ht="90" customHeight="1">
      <x:c r="A13" s="9" t="str">
        <x:v>LORE-007</x:v>
      </x:c>
      <x:c r="B13" s="9" t="str">
        <x:v>Règle de fidélité</x:v>
      </x:c>
      <x:c r="C13" s="9" t="str">
        <x:v>LV-426 et sa chronologie</x:v>
      </x:c>
      <x:c r="D13" s="9" t="str">
        <x:v>LIEU CONFIRME; RECONSTITUTION A VERIFIER</x:v>
      </x:c>
      <x:c r="E13" s="9" t="str">
        <x:v>P0</x:v>
      </x:c>
      <x:c r="F13" s="9" t="str">
        <x:v>Le site Fireteam Elite associe Acheron à LV-426.</x:v>
      </x:c>
      <x:c r="G13" s="9" t="str">
        <x:v>Verrouiller l'époque et l'état de la colonie avant/après événements du film choisi. Le nom LV-426 ne suffit pas pour autoriser toutes les variantes xénomorphes de tous les jeux.</x:v>
      </x:c>
      <x:c r="H13" s="9" t="str">
        <x:v>La fidélité doit être validée pour l’œuvre/version choisie.</x:v>
      </x:c>
      <x:c r="I13" s="9" t="str">
        <x:v>Liste d'ennemis par scène et secteur; sources pour colonie, complexe atmosphérique et connexions; aucune mutation importée silencieusement.</x:v>
      </x:c>
      <x:c r="J13" s="9"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13" s="22" t="str">
        <x:v>https://www.aliensfireteamelite.com/en/releasenotes/</x:v>
      </x:c>
    </x:row>
    <x:row r="14" ht="49.5" customHeight="1">
      <x:c r="A14" s="10" t="str">
        <x:v>LORE-008</x:v>
      </x:c>
      <x:c r="B14" s="10" t="str">
        <x:v>Règle de fidélité</x:v>
      </x:c>
      <x:c r="C14" s="10" t="str">
        <x:v>Hive Prime</x:v>
      </x:c>
      <x:c r="D14" s="10" t="str">
        <x:v>ORIGINE A ETABLIR</x:v>
      </x:c>
      <x:c r="E14" s="10" t="str">
        <x:v>P1</x:v>
      </x:c>
      <x:c r="F14" s="10" t="str">
        <x:v>Aucune source primaire retrouvée établissant ce nom de carte.</x:v>
      </x:c>
      <x:c r="G14" s="10" t="str">
        <x:v>Marquer Hive Prime comme création du projet ou adaptation d'une référence à identifier. Ne pas la confondre automatiquement avec un monde natal xénomorphe ou une planète spécifique d'une BD.</x:v>
      </x:c>
      <x:c r="H14" s="10" t="str">
        <x:v>La fidélité doit être validée pour l’œuvre/version choisie.</x:v>
      </x:c>
      <x:c r="I14" s="10" t="str">
        <x:v>Champ origin=original/œuvre exacte; règles d'écologie et de continuité explicites; pas d'étiquette canon sans preuve.</x:v>
      </x:c>
      <x:c r="J14" s="10" t="str"/>
      <x:c r="K14" s="23" t="str"/>
    </x:row>
    <x:row r="15" ht="76.5" customHeight="1">
      <x:c r="A15" s="9" t="str">
        <x:v>LORE-009</x:v>
      </x:c>
      <x:c r="B15" s="9" t="str">
        <x:v>Règle de fidélité</x:v>
      </x:c>
      <x:c r="C15" s="9" t="str">
        <x:v>Réserve Predators 2010</x:v>
      </x:c>
      <x:c r="D15" s="9" t="str">
        <x:v>PERIMETRE CONFIRME; CARTE A VERIFIER</x:v>
      </x:c>
      <x:c r="E15" s="9" t="str">
        <x:v>P1</x:v>
      </x:c>
      <x:c r="F15" s="9" t="str">
        <x:v>Des humains sont chassés sur une planète extraterrestre.</x:v>
      </x:c>
      <x:c r="G15" s="9" t="str">
        <x:v>Composer les groupes et objectifs autour de la chasse organisée propre à cette œuvre. L'arrivée d'une armée, d'une ruche ou d'une faction absente de la référence devient une divergence déclarée.</x:v>
      </x:c>
      <x:c r="H15" s="9" t="str">
        <x:v>La fidélité doit être validée pour l’œuvre/version choisie.</x:v>
      </x:c>
      <x:c r="I15" s="9" t="str">
        <x:v>Camp, pièges, proies et points d'observation référencés; routes et verticalité soutiennent la chasse; groupe canonique distinct des extensions.</x:v>
      </x:c>
      <x:c r="J15" s="9" t="str">
        <x:v>LORE-S02 — Predators — synopsis officiel
20th Century Studios
Portée : Groupe humain chassé sur planète extraterrestre; n'établit pas le graphe complet de la réserve ni tous les accessoires.
Consulté le 2026-10-26</x:v>
      </x:c>
      <x:c r="K15" s="22" t="str">
        <x:v>https://www.20thcenturystudios.com/movies/predators</x:v>
      </x:c>
    </x:row>
    <x:row r="16" ht="76.5" customHeight="1">
      <x:c r="A16" s="10" t="str">
        <x:v>LORE-010</x:v>
      </x:c>
      <x:c r="B16" s="10" t="str">
        <x:v>Règle de fidélité</x:v>
      </x:c>
      <x:c r="C16" s="10" t="str">
        <x:v>Stargazer / The Predator 2018</x:v>
      </x:c>
      <x:c r="D16" s="10" t="str">
        <x:v>FILM CONFIRME; NOM ET PLAN A SOURCER</x:v>
      </x:c>
      <x:c r="E16" s="10" t="str">
        <x:v>P1</x:v>
      </x:c>
      <x:c r="F16" s="10" t="str">
        <x:v>Le synopsis décrit des chasseurs génétiquement modifiés.</x:v>
      </x:c>
      <x:c r="G16" s="10" t="str">
        <x:v>Conserver les incarnations modifiées dans leur contexte. Valider par scènes la base, ses accès, équipements de confinement et factions présentes avant de parler de reconstruction 1:1.</x:v>
      </x:c>
      <x:c r="H16" s="10" t="str">
        <x:v>La fidélité doit être validée pour l’œuvre/version choisie.</x:v>
      </x:c>
      <x:c r="I16" s="10" t="str">
        <x:v>Chaque zone s'appuie sur plans de scène ou est marquée extension; technologie non distribuée automatiquement aux films antérieurs.</x:v>
      </x:c>
      <x:c r="J16" s="10" t="str">
        <x:v>LORE-S12 — The Predator — synopsis officiel
20th Century Studios
Portée : Film 2018 et chasseurs génétiquement modifiés; ne valide pas à lui seul le nom ni le plan de Stargazer.
Consulté le 2026-10-26</x:v>
      </x:c>
      <x:c r="K16" s="23" t="str">
        <x:v>https://www.20thcenturystudios.com/movies/the-predator</x:v>
      </x:c>
    </x:row>
    <x:row r="17" ht="171" customHeight="1">
      <x:c r="A17" s="9" t="str">
        <x:v>LORE-011</x:v>
      </x:c>
      <x:c r="B17" s="9" t="str">
        <x:v>Règle de fidélité</x:v>
      </x:c>
      <x:c r="C17" s="9" t="str">
        <x:v>Runner, Dog Alien et variants</x:v>
      </x:c>
      <x:c r="D17" s="9" t="str">
        <x:v>ATTRIBUTIONS CONFIRMEES; EQUIVALENCE NON CERTIFIEE</x:v>
      </x:c>
      <x:c r="E17" s="9" t="str">
        <x:v>P0</x:v>
      </x:c>
      <x:c r="F17" s="9" t="str">
        <x:v>NECA rattache le Dog Alien canin à Alien 3; AFE emploie Runner.</x:v>
      </x:c>
      <x:c r="G17" s="9" t="str">
        <x:v>Séparer identifiant biologique, nom de rôle gameplay, modèle visuel, œuvre et hôte. Ne pas utiliser un unique runner recoloré comme preuve de fidélité pour toutes les continuités; préciser le montage d'Alien 3.</x:v>
      </x:c>
      <x:c r="H17" s="9" t="str">
        <x:v>La fidélité doit être validée pour l’œuvre/version choisie.</x:v>
      </x:c>
      <x:c r="I17" s="9" t="str">
        <x:v>Table de provenance par modèle; hôte et version renseignés; animations et proportions validées sur références visuelles.</x:v>
      </x:c>
      <x:c r="J17" s="9" t="str">
        <x:v>LORE-S08 — Alien 3 — Ultimate Dog Alien
NECA
Portée : Associe explicitement Dog Alien canin à Alien 3; ne résout pas les différences entre montages du film.
Consulté le 2026-10-26
LORE-S11 — Aliens Fireteam Elite — notes officielles
Cold Iron Studios / site officiel du jeu
Portée : Confirme LV-426/Acheron; emploie Runner, Drone, Warrior, Praetorian; distingue la Pathogen Queen. Ces rôles sont contextualisés dans Fireteam Elite.
Consulté le 2026-10-26</x:v>
      </x:c>
      <x:c r="K17" s="22" t="str">
        <x:v>https://necaonline.com/2019/07/alien-3-7-scale-action-figure-ultimate-dog-alien/
https://www.aliensfireteamelite.com/en/releasenotes/</x:v>
      </x:c>
    </x:row>
    <x:row r="18" ht="90" customHeight="1">
      <x:c r="A18" s="10" t="str">
        <x:v>LORE-012</x:v>
      </x:c>
      <x:c r="B18" s="10" t="str">
        <x:v>Règle de fidélité</x:v>
      </x:c>
      <x:c r="C18" s="10" t="str">
        <x:v>Praetorian et élites de jeu</x:v>
      </x:c>
      <x:c r="D18" s="10" t="str">
        <x:v>ROLE DE JEU CONFIRME</x:v>
      </x:c>
      <x:c r="E18" s="10" t="str">
        <x:v>P0</x:v>
      </x:c>
      <x:c r="F18" s="10" t="str">
        <x:v>AFE documente un Praetorian avec point faible et morsure.</x:v>
      </x:c>
      <x:c r="G18" s="10" t="str">
        <x:v>Associer le Praetorian à un bestiaire de jeu précis et définir son rôle d'élite. Son existence dans AFE ne prouve pas sa présence dans chaque scène des films ni une morphologie unique pour toute la franchise.</x:v>
      </x:c>
      <x:c r="H18" s="10" t="str">
        <x:v>La fidélité doit être validée pour l’œuvre/version choisie.</x:v>
      </x:c>
      <x:c r="I18" s="10" t="str">
        <x:v>Spawn soumis au profil de continuité; source du modèle; comportement télégraphié; refus automatique dans un preset film sans justification.</x:v>
      </x:c>
      <x:c r="J18" s="10"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18" s="23" t="str">
        <x:v>https://www.aliensfireteamelite.com/en/releasenotes/</x:v>
      </x:c>
    </x:row>
    <x:row r="19" ht="184.5" customHeight="1">
      <x:c r="A19" s="9" t="str">
        <x:v>LORE-013</x:v>
      </x:c>
      <x:c r="B19" s="9" t="str">
        <x:v>Règle de fidélité</x:v>
      </x:c>
      <x:c r="C19" s="9" t="str">
        <x:v>Reines et écologie de ruche</x:v>
      </x:c>
      <x:c r="D19" s="9" t="str">
        <x:v>VARIANTE CONFIRMEE; BIOLOGIE DETAILLEE A SOURCER</x:v>
      </x:c>
      <x:c r="E19" s="9" t="str">
        <x:v>P0</x:v>
      </x:c>
      <x:c r="F19" s="9" t="str">
        <x:v>AFE distingue une Pathogen Queen liée à son extension.</x:v>
      </x:c>
      <x:c r="G19" s="9" t="str">
        <x:v>Séparer Reine, Reine Pathogen et autres variantes. Pour les guerres proposées, relier renforts de ruche à réserves, accès et stades biologiques définis par la continuité; ne pas convertir instantanément n'importe quel adversaire en soldat. Les temps de reproduction restent paramètres de gameplay documentés.</x:v>
      </x:c>
      <x:c r="H19" s="9" t="str">
        <x:v>La fidélité doit être validée pour l’œuvre/version choisie.</x:v>
      </x:c>
      <x:c r="I19" s="9" t="str">
        <x:v>Chaîne de renforts expliquée; espèces hôtes compatibles; effets d'une reine perdue spécifiques au scénario; pas de caste royale générique universelle.</x:v>
      </x:c>
      <x:c r="J19" s="9" t="str">
        <x:v>LORE-S11 — Aliens Fireteam Elite — notes officielles
Cold Iron Studios / site officiel du jeu
Portée : Confirme LV-426/Acheron; emploie Runner, Drone, Warrior, Praetorian; distingue la Pathogen Queen. Ces rôles sont contextualisés dans Fireteam Elite.
Consulté le 2026-10-26
LORE-S01 — Alien vs. Predator — synopsis officiel
20th Century Studios
Portée : Pyramide automatisée antarctique, rite de passage et partenariat d'une technicienne avec un Predator; pas une carte architecturale ni un effectif complet.
Consulté le 2026-10-26</x:v>
      </x:c>
      <x:c r="K19" s="22" t="str">
        <x:v>https://www.aliensfireteamelite.com/en/releasenotes/
https://www.20thcenturystudios.com/movies/alien-vs-predator</x:v>
      </x:c>
    </x:row>
    <x:row r="20" ht="90" customHeight="1">
      <x:c r="A20" s="10" t="str">
        <x:v>LORE-014</x:v>
      </x:c>
      <x:c r="B20" s="10" t="str">
        <x:v>Règle de fidélité</x:v>
      </x:c>
      <x:c r="C20" s="10" t="str">
        <x:v>Predalien et Wolf</x:v>
      </x:c>
      <x:c r="D20" s="10" t="str">
        <x:v>ATTRIBUTION CONFIRMEE; MOVESETS NON VERIFIES</x:v>
      </x:c>
      <x:c r="E20" s="10" t="str">
        <x:v>P0</x:v>
      </x:c>
      <x:c r="F20" s="10" t="str">
        <x:v>Le catalogue NECA rattache Predalien et Wolf à AVP Requiem.</x:v>
      </x:c>
      <x:c r="G20" s="10" t="str">
        <x:v>Créer des profils propres à cette incarnation du Predalien et à Wolf. Ne pas transférer automatiquement ses particularités biologiques, ses armes de nettoyage ou son comportement aux Predaliens d'autres jeux et aux chasseurs génériques.</x:v>
      </x:c>
      <x:c r="H20" s="10" t="str">
        <x:v>La fidélité doit être validée pour l’œuvre/version choisie.</x:v>
      </x:c>
      <x:c r="I20" s="10" t="str">
        <x:v>Fiche de scènes pour anatomie, reproduction, armes et animations; arsenal Wolf non déclaré complet sur la seule annonce de figurine.</x:v>
      </x:c>
      <x:c r="J20"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20" s="23" t="str">
        <x:v>https://store.necaonline.com/collections/featured-at-comic-con</x:v>
      </x:c>
    </x:row>
    <x:row r="21" ht="76.5" customHeight="1">
      <x:c r="A21" s="9" t="str">
        <x:v>LORE-015</x:v>
      </x:c>
      <x:c r="B21" s="9" t="str">
        <x:v>Règle de fidélité</x:v>
      </x:c>
      <x:c r="C21" s="9" t="str">
        <x:v>Rogue / Alien King de Charon</x:v>
      </x:c>
      <x:c r="D21" s="9" t="str">
        <x:v>ORIGINE EXPERIMENTALE CONFIRMEE; DESIGN A VERIFIER</x:v>
      </x:c>
      <x:c r="E21" s="9" t="str">
        <x:v>P0</x:v>
      </x:c>
      <x:c r="F21" s="9" t="str">
        <x:v>Titan décrit le Rogue comme création de Kleist sur Charon.</x:v>
      </x:c>
      <x:c r="G21" s="9" t="str">
        <x:v>Réserver ce boss à Rogue/Charon ou à un scénario explicitant son transfert. Ne pas faire du Rogue une évolution naturelle obligatoire de toutes les ruches; distinguer roman et BD pour la référence visuelle.</x:v>
      </x:c>
      <x:c r="H21" s="9" t="str">
        <x:v>La fidélité doit être validée pour l’œuvre/version choisie.</x:v>
      </x:c>
      <x:c r="I21" s="9" t="str">
        <x:v>Boss relié au laboratoire et au récit; source des planches ou illustration pour silhouette; fiche indiquant ce qui reste non vérifié.</x:v>
      </x:c>
      <x:c r="J21" s="9" t="str">
        <x:v>LORE-S03 — The Complete Aliens Omnibus Volume Three — Rogue
Titan Books, éditeur licencié
Portée : Charon, tunnels de ruche, professeur Kleist et sa création Rogue; source du roman, à distinguer des planches de la BD.
Consulté le 2026-10-26</x:v>
      </x:c>
      <x:c r="K21" s="22" t="str">
        <x:v>https://titanbooks.com/8479-the-complete-aliens-omnibus-volume-three-rogue-the-labyrinth/</x:v>
      </x:c>
    </x:row>
    <x:row r="22" ht="90" customHeight="1">
      <x:c r="A22" s="10" t="str">
        <x:v>LORE-016</x:v>
      </x:c>
      <x:c r="B22" s="10" t="str">
        <x:v>Règle de fidélité</x:v>
      </x:c>
      <x:c r="C22" s="10" t="str">
        <x:v>Offspring et Renaissance / Romulus</x:v>
      </x:c>
      <x:c r="D22" s="10" t="str">
        <x:v>ATTRIBUTION CONFIRMEE; SCENES A VERIFIER</x:v>
      </x:c>
      <x:c r="E22" s="10" t="str">
        <x:v>P0</x:v>
      </x:c>
      <x:c r="F22" s="10" t="str">
        <x:v>Le catalogue NECA rattache The Offspring à Alien Romulus.</x:v>
      </x:c>
      <x:c r="G22" s="10" t="str">
        <x:v>Réserver l'Offspring à la séquence et au contexte biologiques choisis. Séparer le nom de station et ses sections dans la carte; ne pas le diffuser comme caste de horde ordinaire par simple tirage aléatoire.</x:v>
      </x:c>
      <x:c r="H22" s="10" t="str">
        <x:v>La fidélité doit être validée pour l’œuvre/version choisie.</x:v>
      </x:c>
      <x:c r="I22" s="10" t="str">
        <x:v>Origine, lieu d'apparition, chronologie et modèle validés sur le film; plan Renaissance/Romulus/Remus référencé ou marqué extension.</x:v>
      </x:c>
      <x:c r="J22"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22" s="23" t="str">
        <x:v>https://store.necaonline.com/collections/featured-at-comic-con</x:v>
      </x:c>
    </x:row>
    <x:row r="23" ht="171" customHeight="1">
      <x:c r="A23" s="9" t="str">
        <x:v>LORE-017</x:v>
      </x:c>
      <x:c r="B23" s="9" t="str">
        <x:v>Règle de fidélité</x:v>
      </x:c>
      <x:c r="C23" s="9" t="str">
        <x:v>Arsenaux Jungle Hunter et City Hunter</x:v>
      </x:c>
      <x:c r="D23" s="9" t="str">
        <x:v>ACCESSOIRES CONFIRMES; LISTE NON EXHAUSTIVE</x:v>
      </x:c>
      <x:c r="E23" s="9" t="str">
        <x:v>P0</x:v>
      </x:c>
      <x:c r="F23" s="9" t="str">
        <x:v>NECA associe canon plasma au Jungle; disque, filet et lance au City.</x:v>
      </x:c>
      <x:c r="G23" s="9" t="str">
        <x:v>Posséder deux autorisations d'équipement distinctes. Éviter qu'un kit Predator universel donne automatiquement disque, filet et lance à chaque incarnation filmique.</x:v>
      </x:c>
      <x:c r="H23" s="9" t="str">
        <x:v>La fidélité doit être validée pour l’œuvre/version choisie.</x:v>
      </x:c>
      <x:c r="I23" s="9" t="str">
        <x:v>Arme reliée au personnage, à la source et à son état; animations de port, déploiement, récupération et finisseur propres.</x:v>
      </x:c>
      <x:c r="J23" s="9" t="str">
        <x:v>LORE-S04 — Ultimate Jungle Hunter — fiche licenciée
NECA
Portée : Incarnation Predator 1987, canon plasma et accessoires; mention de Guatemala à traiter comme point de vérification face au libellé Val Verde.
Consulté le 2026-10-26
LORE-S05 — Ultimate City Hunter — arsenal
NECA
Portée : Disque intelligent, lance-filet et lance repliée/déployée associés au City Hunter de Predator 2.
Consulté le 2026-10-26</x:v>
      </x:c>
      <x:c r="K23" s="22" t="str">
        <x:v>https://store.necaonline.com/products/predator-ultimate-jungle-hunter-7-scale-action-figure
https://store.necaonline.com/blogs/news/shipping-this-week-predator-2-ultimate-city-hunter-action-figure</x:v>
      </x:c>
    </x:row>
    <x:row r="24" ht="103.5" customHeight="1">
      <x:c r="A24" s="10" t="str">
        <x:v>LORE-018</x:v>
      </x:c>
      <x:c r="B24" s="10" t="str">
        <x:v>Règle de fidélité</x:v>
      </x:c>
      <x:c r="C24" s="10" t="str">
        <x:v>Arsenal Feral</x:v>
      </x:c>
      <x:c r="D24" s="10" t="str">
        <x:v>ACCESSOIRES CONFIRMES; USAGES A VERIFIER</x:v>
      </x:c>
      <x:c r="E24" s="10" t="str">
        <x:v>P0</x:v>
      </x:c>
      <x:c r="F24" s="10" t="str">
        <x:v>NECA liste masque osseux, bolt gun, bouclier et combisticks.</x:v>
      </x:c>
      <x:c r="G24" s="10" t="str">
        <x:v>Créer un kit Feral distinct avec architecture de tir, défense et armes propres à Prey. Ne pas remplacer son lance-projectiles par un canon d'épaule générique pour simplifier les statistiques.</x:v>
      </x:c>
      <x:c r="H24" s="10" t="str">
        <x:v>La fidélité doit être validée pour l’œuvre/version choisie.</x:v>
      </x:c>
      <x:c r="I24" s="10" t="str">
        <x:v>Silhouette et organes d'arme distincts; trajectoires, ciblage et manipulations reliés aux scènes; accessoires de collection non assimilés automatiquement à un équipement porté.</x:v>
      </x:c>
      <x:c r="J24" s="10" t="str">
        <x:v>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4" s="23" t="str">
        <x:v>https://store.necaonline.com/collections/pre-orders/products/prey-ultramate-feral-predator-7-inch-scale-action-figure</x:v>
      </x:c>
    </x:row>
    <x:row r="25" ht="76.5" customHeight="1">
      <x:c r="A25" s="9" t="str">
        <x:v>LORE-019</x:v>
      </x:c>
      <x:c r="B25" s="9" t="str">
        <x:v>Règle de fidélité</x:v>
      </x:c>
      <x:c r="C25" s="9" t="str">
        <x:v>Classes et équipement Hunting Grounds</x:v>
      </x:c>
      <x:c r="D25" s="9" t="str">
        <x:v>REGLES PHG CONFIRMEES</x:v>
      </x:c>
      <x:c r="E25" s="9" t="str">
        <x:v>P1</x:v>
      </x:c>
      <x:c r="F25" s="9" t="str">
        <x:v>IllFonic présente Scout, Hunter, Berserker et son arsenal de jeu.</x:v>
      </x:c>
      <x:c r="G25" s="9" t="str">
        <x:v>Réutiliser la logique de spécialisations comme inspiration, en conservant les profils PHG identifiés. Les avantages chiffrés de classe et armes déblocables ne certifient ni la biologie ni l'arsenal de chaque personnage des films.</x:v>
      </x:c>
      <x:c r="H25" s="9" t="str">
        <x:v>La fidélité doit être validée pour l’œuvre/version choisie.</x:v>
      </x:c>
      <x:c r="I25" s="9" t="str">
        <x:v>Source gameRules distincte de sourceVisual et sourceLore; aucun perk PHG introduit comme capacité filmique sans indication.</x:v>
      </x:c>
      <x:c r="J25" s="9" t="str">
        <x:v>LORE-S09 — The Predator — Hunting Grounds
IllFonic, développeur
Portée : Arsenal et classes du jeu PHG; ce sont des règles du jeu, pas des règles rétroactives pour chaque incarnation filmique.
Consulté le 2026-10-26</x:v>
      </x:c>
      <x:c r="K25" s="22" t="str">
        <x:v>https://predator.illfonic.com/the-predator/</x:v>
      </x:c>
    </x:row>
    <x:row r="26" ht="63" customHeight="1">
      <x:c r="A26" s="10" t="str">
        <x:v>LORE-020</x:v>
      </x:c>
      <x:c r="B26" s="10" t="str">
        <x:v>Règle de fidélité</x:v>
      </x:c>
      <x:c r="C26" s="10" t="str">
        <x:v>AVP Extinction : soldats, chefs et soutien</x:v>
      </x:c>
      <x:c r="D26" s="10" t="str">
        <x:v>REFERENCE A CONSOLIDER</x:v>
      </x:c>
      <x:c r="E26" s="10" t="str">
        <x:v>P1</x:v>
      </x:c>
      <x:c r="F26" s="10" t="str">
        <x:v>Manuel EA/Fox repéré en archive; bestiaire complet non vérifié dans une source officielle accessible.</x:v>
      </x:c>
      <x:c r="G26" s="10" t="str">
        <x:v>Préparer des familles de rôles proposées — combat, commandement, soutien, renforts — mais ne pas annoncer une reproduction 1:1 d'Extinction avant lecture du manuel et du bestiaire en jeu. Documenter séparément ce qui vient d'Extinction et ce qui est inventé pour Hive Warrior.</x:v>
      </x:c>
      <x:c r="H26" s="10" t="str">
        <x:v>La fidélité doit être validée pour l’œuvre/version choisie.</x:v>
      </x:c>
      <x:c r="I26" s="10" t="str">
        <x:v>Captures du bestiaire pour nom, capacité, équipement, économie et faction de chaque unité; aucune liste complète validée à partir d'un wiki seul.</x:v>
      </x:c>
      <x:c r="J26" s="10" t="str"/>
      <x:c r="K26" s="23" t="str"/>
    </x:row>
    <x:row r="27" ht="198" customHeight="1">
      <x:c r="A27" s="9" t="str">
        <x:v>LORE-021</x:v>
      </x:c>
      <x:c r="B27" s="9" t="str">
        <x:v>Règle de fidélité</x:v>
      </x:c>
      <x:c r="C27" s="9" t="str">
        <x:v>Prey : préserver la distribution et les groupes humains</x:v>
      </x:c>
      <x:c r="D27" s="9" t="str">
        <x:v>CONTEXTE CONFIRME; COMPOSITION DE SCENE A VERIFIER</x:v>
      </x:c>
      <x:c r="E27" s="9" t="str">
        <x:v>P1</x:v>
      </x:c>
      <x:c r="F27" s="9" t="str">
        <x:v>Le synopsis et les images officiels identifient Naru, Taabe et un chasseur extraterrestre dans ce contexte.</x:v>
      </x:c>
      <x:c r="G27" s="9" t="str">
        <x:v>Créer un profil Prey propre : groupes comanches, trappeurs et Feral avec relations scénarisées, sans armement moderne ni ruche importée par défaut. Verrouiller les individus nommés et le double rôle du Feral jouable/boss en reconstitution.</x:v>
      </x:c>
      <x:c r="H27" s="9" t="str">
        <x:v>La fidélité doit être validée pour l’œuvre/version choisie.</x:v>
      </x:c>
      <x:c r="I27" s="9" t="str">
        <x:v>Un preset de reconstitution utilise une référence de scène et des effectifs vérifiés ; le profil de guerre original affiche ses écarts et interdit les doublons nommés involontaires.</x:v>
      </x:c>
      <x:c r="J27" s="9" t="str">
        <x:v>LORE-S13 — Prey : synopsis et images officiels
20th Century Studios
Portée : Contexte de la nation comanche, Naru, chasseurs des Grandes Plaines et Predator ; images officielles du bouclier, arc, lance et personnages. Ne donne pas de taille mesurée du Feral ni un plan complet.
Consulté le 2026-10-26
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7" s="22" t="str">
        <x:v>https://www.20thcenturystudios.com/movies/prey
https://store.necaonline.com/collections/pre-orders/products/prey-ultramate-feral-predator-7-inch-scale-action-figure</x:v>
      </x:c>
    </x:row>
    <x:row r="28" ht="198" customHeight="1">
      <x:c r="A28" s="10" t="str">
        <x:v>LORE-022</x:v>
      </x:c>
      <x:c r="B28" s="10" t="str">
        <x:v>Règle de fidélité</x:v>
      </x:c>
      <x:c r="C28" s="10" t="str">
        <x:v>Prey : distinguer les interactions codées et leur preuve</x:v>
      </x:c>
      <x:c r="D28" s="10" t="str">
        <x:v>DETAILS A VERIFIER SUR SCENES</x:v>
      </x:c>
      <x:c r="E28" s="10" t="str">
        <x:v>P1</x:v>
      </x:c>
      <x:c r="F28" s="10" t="str">
        <x:v>v65 contient piège du masque, plante appelée Sariska, pistolet Adolini et commentaire de taille 3,1 m ; le synopsis officiel ne certifie pas ces détails.</x:v>
      </x:c>
      <x:c r="G28" s="10" t="str">
        <x:v>Créer une référence par objet, mécanisme et animation. Vérifier appellation de la plante, trajectoire des traits guidés, relation au masque, morphologie et proportions avant de revendiquer une fidélité exacte.</x:v>
      </x:c>
      <x:c r="H28" s="10" t="str">
        <x:v>La fidélité doit être validée pour l’œuvre/version choisie.</x:v>
      </x:c>
      <x:c r="I28" s="10" t="str">
        <x:v>Chaque propriété de la fiche Feral renvoie à une image ou scène identifiée ; les chiffres de PV et effets inventés sont marqués règles de jeu.</x:v>
      </x:c>
      <x:c r="J28" s="10" t="str">
        <x:v>LORE-S13 — Prey : synopsis et images officiels
20th Century Studios
Portée : Contexte de la nation comanche, Naru, chasseurs des Grandes Plaines et Predator ; images officielles du bouclier, arc, lance et personnages. Ne donne pas de taille mesurée du Feral ni un plan complet.
Consulté le 2026-10-26
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28" s="23" t="str">
        <x:v>https://www.20thcenturystudios.com/movies/prey
https://store.necaonline.com/collections/pre-orders/products/prey-ultramate-feral-predator-7-inch-scale-action-figure</x:v>
      </x:c>
    </x:row>
    <x:row r="29" ht="90" customHeight="1">
      <x:c r="A29" s="9" t="str">
        <x:v>FID-LD-01</x:v>
      </x:c>
      <x:c r="B29" s="9" t="str">
        <x:v>Périmètre de lieu</x:v>
      </x:c>
      <x:c r="C29" s="9" t="str">
        <x:v>LV426</x:v>
      </x:c>
      <x:c r="D29" s="9" t="str">
        <x:v>PERIMETRE PARTIEL</x:v>
      </x:c>
      <x:c r="E29" s="9" t="str">
        <x:v>P0</x:v>
      </x:c>
      <x:c r="F29" s="9" t="str">
        <x:v>Alien/Aliens selon opération exacte</x:v>
      </x:c>
      <x:c r="G29" s="9" t="str">
        <x:v>Date du récit, version de la colonie, ordre des lieux, roster de la séquence et connexions physiques.</x:v>
      </x:c>
      <x:c r="H29" s="9" t="str">
        <x:v>Règle associée : LORE-007</x:v>
      </x:c>
      <x:c r="I29" s="9" t="str">
        <x:v>Dossier des scènes et graphes de connexions à valider avant certification 1:1.</x:v>
      </x:c>
      <x:c r="J29" s="9" t="str">
        <x:v>LORE-S11 — Aliens Fireteam Elite — notes officielles
Cold Iron Studios / site officiel du jeu
Portée : Confirme LV-426/Acheron; emploie Runner, Drone, Warrior, Praetorian; distingue la Pathogen Queen. Ces rôles sont contextualisés dans Fireteam Elite.
Consulté le 2026-10-26</x:v>
      </x:c>
      <x:c r="K29" s="22" t="str">
        <x:v>https://www.aliensfireteamelite.com/en/releasenotes/</x:v>
      </x:c>
    </x:row>
    <x:row r="30" ht="36" customHeight="1">
      <x:c r="A30" s="10" t="str">
        <x:v>FID-LD-02</x:v>
      </x:c>
      <x:c r="B30" s="10" t="str">
        <x:v>Périmètre de lieu</x:v>
      </x:c>
      <x:c r="C30" s="10" t="str">
        <x:v>Hive Prime</x:v>
      </x:c>
      <x:c r="D30" s="10" t="str">
        <x:v>NON VERIFIE</x:v>
      </x:c>
      <x:c r="E30" s="10" t="str">
        <x:v>P1</x:v>
      </x:c>
      <x:c r="F30" s="10" t="str">
        <x:v>Guerre du clan / création du projet sauf source retrouvée</x:v>
      </x:c>
      <x:c r="G30" s="10" t="str">
        <x:v>Origine du nom et document de continuité.</x:v>
      </x:c>
      <x:c r="H30" s="10" t="str">
        <x:v>Règle associée : LORE-008</x:v>
      </x:c>
      <x:c r="I30" s="10" t="str">
        <x:v>Dossier des scènes et graphes de connexions à valider avant certification 1:1.</x:v>
      </x:c>
      <x:c r="J30" s="10" t="str"/>
      <x:c r="K30" s="23" t="str"/>
    </x:row>
    <x:row r="31" ht="90" customHeight="1">
      <x:c r="A31" s="9" t="str">
        <x:v>FID-LD-03</x:v>
      </x:c>
      <x:c r="B31" s="9" t="str">
        <x:v>Périmètre de lieu</x:v>
      </x:c>
      <x:c r="C31" s="9" t="str">
        <x:v>Antarctique AVP</x:v>
      </x:c>
      <x:c r="D31" s="9" t="str">
        <x:v>PERIMETRE CONFIRME</x:v>
      </x:c>
      <x:c r="E31" s="9" t="str">
        <x:v>P0</x:v>
      </x:c>
      <x:c r="F31" s="9" t="str">
        <x:v>AVP 2004</x:v>
      </x:c>
      <x:c r="G31" s="9" t="str">
        <x:v>Plan des chambres, mécanismes, chronologie et groupes exacts.</x:v>
      </x:c>
      <x:c r="H31" s="9" t="str">
        <x:v>Règle associée : LORE-004</x:v>
      </x:c>
      <x:c r="I31" s="9" t="str">
        <x:v>Dossier des scènes et graphes de connexions à valider avant certification 1:1.</x:v>
      </x:c>
      <x:c r="J31" s="9" t="str">
        <x:v>LORE-S01 — Alien vs. Predator — synopsis officiel
20th Century Studios
Portée : Pyramide automatisée antarctique, rite de passage et partenariat d'une technicienne avec un Predator; pas une carte architecturale ni un effectif complet.
Consulté le 2026-10-26</x:v>
      </x:c>
      <x:c r="K31" s="22" t="str">
        <x:v>https://www.20thcenturystudios.com/movies/alien-vs-predator</x:v>
      </x:c>
    </x:row>
    <x:row r="32" ht="76.5" customHeight="1">
      <x:c r="A32" s="10" t="str">
        <x:v>FID-LD-04</x:v>
      </x:c>
      <x:c r="B32" s="10" t="str">
        <x:v>Périmètre de lieu</x:v>
      </x:c>
      <x:c r="C32" s="10" t="str">
        <x:v>LA1990</x:v>
      </x:c>
      <x:c r="D32" s="10" t="str">
        <x:v>DATE DIEGETIQUE A RECTIFIER SI CONFONDUE</x:v>
      </x:c>
      <x:c r="E32" s="10" t="str">
        <x:v>P0</x:v>
      </x:c>
      <x:c r="F32" s="10" t="str">
        <x:v>Predator 2 — Los Angeles 1997 (film 1990)</x:v>
      </x:c>
      <x:c r="G32" s="10" t="str">
        <x:v>Préserver ID technique; corriger sens des dates; détailler toits, rues, abattoir et accès à partir de scènes.</x:v>
      </x:c>
      <x:c r="H32" s="10" t="str">
        <x:v>Règle associée : LORE-005</x:v>
      </x:c>
      <x:c r="I32" s="10" t="str">
        <x:v>Dossier des scènes et graphes de connexions à valider avant certification 1:1.</x:v>
      </x:c>
      <x:c r="J32" s="10" t="str">
        <x:v>LORE-S06 — Cloaked City Hunter — Los Angeles 1997
NECA
Portée : Distingue expressément le film sorti en 1990 et son Los Angeles fictif de 1997.
Consulté le 2026-10-26</x:v>
      </x:c>
      <x:c r="K32" s="23" t="str">
        <x:v>https://store.necaonline.com/blogs/san-diego-comic-con/neca-does-sdcc-pt-2-introducing-the-cloaked-city-hunter-predator</x:v>
      </x:c>
    </x:row>
    <x:row r="33" ht="90" customHeight="1">
      <x:c r="A33" s="9" t="str">
        <x:v>FID-LD-05</x:v>
      </x:c>
      <x:c r="B33" s="9" t="str">
        <x:v>Périmètre de lieu</x:v>
      </x:c>
      <x:c r="C33" s="9" t="str">
        <x:v>Val Verde1987</x:v>
      </x:c>
      <x:c r="D33" s="9" t="str">
        <x:v>TOPONYME NON VERIFIE</x:v>
      </x:c>
      <x:c r="E33" s="9" t="str">
        <x:v>P1</x:v>
      </x:c>
      <x:c r="F33" s="9" t="str">
        <x:v>Jungle — Predator (1987), lieu exact à verrouiller</x:v>
      </x:c>
      <x:c r="G33" s="9" t="str">
        <x:v>Source justifiant Val Verde face à la fiche licenciée mentionnant Guatemala.</x:v>
      </x:c>
      <x:c r="H33" s="9" t="str">
        <x:v>Règle associée : LORE-006</x:v>
      </x:c>
      <x:c r="I33" s="9" t="str">
        <x:v>Dossier des scènes et graphes de connexions à valider avant certification 1:1.</x:v>
      </x:c>
      <x:c r="J33" s="9" t="str">
        <x:v>LORE-S04 — Ultimate Jungle Hunter — fiche licenciée
NECA
Portée : Incarnation Predator 1987, canon plasma et accessoires; mention de Guatemala à traiter comme point de vérification face au libellé Val Verde.
Consulté le 2026-10-26</x:v>
      </x:c>
      <x:c r="K33" s="22" t="str">
        <x:v>https://store.necaonline.com/products/predator-ultimate-jungle-hunter-7-scale-action-figure</x:v>
      </x:c>
    </x:row>
    <x:row r="34" ht="90" customHeight="1">
      <x:c r="A34" s="10" t="str">
        <x:v>FID-LD-06</x:v>
      </x:c>
      <x:c r="B34" s="10" t="str">
        <x:v>Périmètre de lieu</x:v>
      </x:c>
      <x:c r="C34" s="10" t="str">
        <x:v>Renaissance / Romulus</x:v>
      </x:c>
      <x:c r="D34" s="10" t="str">
        <x:v>LICENCE CONFIRMEE; TOPOLOGIE NON VERIFIEE</x:v>
      </x:c>
      <x:c r="E34" s="10" t="str">
        <x:v>P0</x:v>
      </x:c>
      <x:c r="F34" s="10" t="str">
        <x:v>Alien Romulus</x:v>
      </x:c>
      <x:c r="G34" s="10" t="str">
        <x:v>Station et sous-sections, ordre des sas, transition gravité, chronologie Offspring; plan filmique à établir.</x:v>
      </x:c>
      <x:c r="H34" s="10" t="str">
        <x:v>Règle associée : LORE-016</x:v>
      </x:c>
      <x:c r="I34" s="10" t="str">
        <x:v>Dossier des scènes et graphes de connexions à valider avant certification 1:1.</x:v>
      </x:c>
      <x:c r="J34" s="10"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34" s="23" t="str">
        <x:v>https://store.necaonline.com/collections/featured-at-comic-con</x:v>
      </x:c>
    </x:row>
    <x:row r="35" ht="76.5" customHeight="1">
      <x:c r="A35" s="9" t="str">
        <x:v>FID-LD-07</x:v>
      </x:c>
      <x:c r="B35" s="9" t="str">
        <x:v>Périmètre de lieu</x:v>
      </x:c>
      <x:c r="C35" s="9" t="str">
        <x:v>Charon</x:v>
      </x:c>
      <x:c r="D35" s="9" t="str">
        <x:v>CONTEXTE CONFIRME</x:v>
      </x:c>
      <x:c r="E35" s="9" t="str">
        <x:v>P0</x:v>
      </x:c>
      <x:c r="F35" s="9" t="str">
        <x:v>Aliens Rogue, roman ou BD explicitement choisi</x:v>
      </x:c>
      <x:c r="G35" s="9" t="str">
        <x:v>Distinguer tunnels, laboratoire et zones originales; planches pour Rogue King.</x:v>
      </x:c>
      <x:c r="H35" s="9" t="str">
        <x:v>Règle associée : LORE-015</x:v>
      </x:c>
      <x:c r="I35" s="9" t="str">
        <x:v>Dossier des scènes et graphes de connexions à valider avant certification 1:1.</x:v>
      </x:c>
      <x:c r="J35" s="9" t="str">
        <x:v>LORE-S03 — The Complete Aliens Omnibus Volume Three — Rogue
Titan Books, éditeur licencié
Portée : Charon, tunnels de ruche, professeur Kleist et sa création Rogue; source du roman, à distinguer des planches de la BD.
Consulté le 2026-10-26</x:v>
      </x:c>
      <x:c r="K35" s="22" t="str">
        <x:v>https://titanbooks.com/8479-the-complete-aliens-omnibus-volume-three-rogue-the-labyrinth/</x:v>
      </x:c>
    </x:row>
    <x:row r="36" ht="76.5" customHeight="1">
      <x:c r="A36" s="10" t="str">
        <x:v>FID-LD-08</x:v>
      </x:c>
      <x:c r="B36" s="10" t="str">
        <x:v>Périmètre de lieu</x:v>
      </x:c>
      <x:c r="C36" s="10" t="str">
        <x:v>Réserve Predators2010</x:v>
      </x:c>
      <x:c r="D36" s="10" t="str">
        <x:v>CONTEXTE CONFIRME</x:v>
      </x:c>
      <x:c r="E36" s="10" t="str">
        <x:v>P1</x:v>
      </x:c>
      <x:c r="F36" s="10" t="str">
        <x:v>Predators 2010</x:v>
      </x:c>
      <x:c r="G36" s="10" t="str">
        <x:v>Groupes et itinéraires référencés; invasion de ruche seulement dans variante déclarée.</x:v>
      </x:c>
      <x:c r="H36" s="10" t="str">
        <x:v>Règle associée : LORE-009</x:v>
      </x:c>
      <x:c r="I36" s="10" t="str">
        <x:v>Dossier des scènes et graphes de connexions à valider avant certification 1:1.</x:v>
      </x:c>
      <x:c r="J36" s="10" t="str">
        <x:v>LORE-S02 — Predators — synopsis officiel
20th Century Studios
Portée : Groupe humain chassé sur planète extraterrestre; n'établit pas le graphe complet de la réserve ni tous les accessoires.
Consulté le 2026-10-26</x:v>
      </x:c>
      <x:c r="K36" s="23" t="str">
        <x:v>https://www.20thcenturystudios.com/movies/predators</x:v>
      </x:c>
    </x:row>
    <x:row r="37" ht="76.5" customHeight="1">
      <x:c r="A37" s="9" t="str">
        <x:v>FID-LD-09</x:v>
      </x:c>
      <x:c r="B37" s="9" t="str">
        <x:v>Périmètre de lieu</x:v>
      </x:c>
      <x:c r="C37" s="9" t="str">
        <x:v>Stargazer2018</x:v>
      </x:c>
      <x:c r="D37" s="9" t="str">
        <x:v>FILM CONFIRME; PLAN NON VERIFIE</x:v>
      </x:c>
      <x:c r="E37" s="9" t="str">
        <x:v>P1</x:v>
      </x:c>
      <x:c r="F37" s="9" t="str">
        <x:v>The Predator 2018</x:v>
      </x:c>
      <x:c r="G37" s="9" t="str">
        <x:v>Nom, plan, confinement, équipement et factions à confirmer par scènes.</x:v>
      </x:c>
      <x:c r="H37" s="9" t="str">
        <x:v>Règle associée : LORE-010</x:v>
      </x:c>
      <x:c r="I37" s="9" t="str">
        <x:v>Dossier des scènes et graphes de connexions à valider avant certification 1:1.</x:v>
      </x:c>
      <x:c r="J37" s="9" t="str">
        <x:v>LORE-S12 — The Predator — synopsis officiel
20th Century Studios
Portée : Film 2018 et chasseurs génétiquement modifiés; ne valide pas à lui seul le nom ni le plan de Stargazer.
Consulté le 2026-10-26</x:v>
      </x:c>
      <x:c r="K37" s="22" t="str">
        <x:v>https://www.20thcenturystudios.com/movies/the-predator</x:v>
      </x:c>
    </x:row>
    <x:row r="38" ht="36" customHeight="1">
      <x:c r="A38" s="10" t="str">
        <x:v>FID-LD-10</x:v>
      </x:c>
      <x:c r="B38" s="10" t="str">
        <x:v>Périmètre de lieu</x:v>
      </x:c>
      <x:c r="C38" s="10" t="str">
        <x:v>Prey1719</x:v>
      </x:c>
      <x:c r="D38" s="10" t="str">
        <x:v>CONTEXTE CONFIRME; PLAN ET INTERACTIONS A VALIDER</x:v>
      </x:c>
      <x:c r="E38" s="10" t="str">
        <x:v>P1</x:v>
      </x:c>
      <x:c r="F38" s="10" t="str">
        <x:v>Prey (2022), époque et scènes choisies à documenter précisément</x:v>
      </x:c>
      <x:c r="G38" s="10" t="str">
        <x:v>Carte main v65 présente. Vérifier géographie, taille, pièges, chronologie, camp et équipements sur scènes ; ne pas importer les groupes modernes.</x:v>
      </x:c>
      <x:c r="H38" s="10" t="str">
        <x:v>Règle associée : LORE-021 / LORE-022</x:v>
      </x:c>
      <x:c r="I38" s="10" t="str">
        <x:v>Dossier des scènes et graphes de connexions à valider avant certification 1:1.</x:v>
      </x:c>
      <x:c r="J38" s="10" t="str"/>
      <x:c r="K38" s="23" t="str"/>
    </x:row>
    <x:row r="39" ht="90" customHeight="1">
      <x:c r="A39" s="9" t="str">
        <x:v>FID-AR-01</x:v>
      </x:c>
      <x:c r="B39" s="9" t="str">
        <x:v>Arsenal / incarnation</x:v>
      </x:c>
      <x:c r="C39" s="9" t="str">
        <x:v>Jungle Hunter</x:v>
      </x:c>
      <x:c r="D39" s="9" t="str">
        <x:v>Périmètre partiellement vérifié</x:v>
      </x:c>
      <x:c r="E39" s="9" t="str">
        <x:v>P1</x:v>
      </x:c>
      <x:c r="F39" s="9" t="str">
        <x:v>Canon plasma, masque, gantelet et accessoires visuels de l'incarnation 1987.</x:v>
      </x:c>
      <x:c r="G39" s="9" t="str">
        <x:v>Kit distinct; contrôle scène par scène des lames, canon, soins et autodestruction avant certification.</x:v>
      </x:c>
      <x:c r="H39" s="9" t="str">
        <x:v>Liste exhaustive d'armes; disponibilité de chaque arme en chaque scène; toponyme Val Verde.</x:v>
      </x:c>
      <x:c r="I39" s="9" t="str">
        <x:v>Une fiche par incarnation et par état d’équipement, documentée par scène.</x:v>
      </x:c>
      <x:c r="J39" s="9" t="str">
        <x:v>LORE-S04 — Ultimate Jungle Hunter — fiche licenciée
NECA
Portée : Incarnation Predator 1987, canon plasma et accessoires; mention de Guatemala à traiter comme point de vérification face au libellé Val Verde.
Consulté le 2026-10-26</x:v>
      </x:c>
      <x:c r="K39" s="22" t="str">
        <x:v>https://store.necaonline.com/products/predator-ultimate-jungle-hunter-7-scale-action-figure</x:v>
      </x:c>
    </x:row>
    <x:row r="40" ht="157.5" customHeight="1">
      <x:c r="A40" s="10" t="str">
        <x:v>FID-AR-02</x:v>
      </x:c>
      <x:c r="B40" s="10" t="str">
        <x:v>Arsenal / incarnation</x:v>
      </x:c>
      <x:c r="C40" s="10" t="str">
        <x:v>City Hunter</x:v>
      </x:c>
      <x:c r="D40" s="10" t="str">
        <x:v>Périmètre partiellement vérifié</x:v>
      </x:c>
      <x:c r="E40" s="10" t="str">
        <x:v>P1</x:v>
      </x:c>
      <x:c r="F40" s="10" t="str">
        <x:v>Disque intelligent, lance-filet, lance repliée/déployée; cadre LA1997.</x:v>
      </x:c>
      <x:c r="G40" s="10" t="str">
        <x:v>Séparer états intact/blessé et armes disponibles selon la séquence; sources de scènes requises.</x:v>
      </x:c>
      <x:c r="H40" s="10" t="str">
        <x:v>Inventaire intégral et ordre de perte des équipements.</x:v>
      </x:c>
      <x:c r="I40" s="10" t="str">
        <x:v>Une fiche par incarnation et par état d’équipement, documentée par scène.</x:v>
      </x:c>
      <x:c r="J40" s="10" t="str">
        <x:v>LORE-S05 — Ultimate City Hunter — arsenal
NECA
Portée : Disque intelligent, lance-filet et lance repliée/déployée associés au City Hunter de Predator 2.
Consulté le 2026-10-26
LORE-S06 — Cloaked City Hunter — Los Angeles 1997
NECA
Portée : Distingue expressément le film sorti en 1990 et son Los Angeles fictif de 1997.
Consulté le 2026-10-26</x:v>
      </x:c>
      <x:c r="K40" s="23" t="str">
        <x:v>https://store.necaonline.com/blogs/news/shipping-this-week-predator-2-ultimate-city-hunter-action-figure
https://store.necaonline.com/blogs/san-diego-comic-con/neca-does-sdcc-pt-2-introducing-the-cloaked-city-hunter-predator</x:v>
      </x:c>
    </x:row>
    <x:row r="41" ht="90" customHeight="1">
      <x:c r="A41" s="9" t="str">
        <x:v>FID-AR-03</x:v>
      </x:c>
      <x:c r="B41" s="9" t="str">
        <x:v>Arsenal / incarnation</x:v>
      </x:c>
      <x:c r="C41" s="9" t="str">
        <x:v>Wolf</x:v>
      </x:c>
      <x:c r="D41" s="9" t="str">
        <x:v>Périmètre partiellement vérifié</x:v>
      </x:c>
      <x:c r="E41" s="9" t="str">
        <x:v>P1</x:v>
      </x:c>
      <x:c r="F41" s="9" t="str">
        <x:v>Attribution à AVP Requiem.</x:v>
      </x:c>
      <x:c r="G41" s="9" t="str">
        <x:v>Créer dossier de références du film; ne pas déclarer le kit 1:1 terminé.</x:v>
      </x:c>
      <x:c r="H41" s="9" t="str">
        <x:v>Deux canons, fouet, mines, nettoyant et transitions d'arme non certifiés par la simple page catalogue consultée.</x:v>
      </x:c>
      <x:c r="I41" s="9" t="str">
        <x:v>Une fiche par incarnation et par état d’équipement, documentée par scène.</x:v>
      </x:c>
      <x:c r="J41" s="9" t="str">
        <x:v>LORE-S10 — Présentations officielles de figurines par licence
NECA
Portée : Associe Wolf et Predalien à AVP Requiem, Offspring à Alien Romulus. Simple attribution de licence; movesets, anatomie détaillée et armes de Wolf à vérifier sur scènes.
Consulté le 2026-10-26</x:v>
      </x:c>
      <x:c r="K41" s="22" t="str">
        <x:v>https://store.necaonline.com/collections/featured-at-comic-con</x:v>
      </x:c>
    </x:row>
    <x:row r="42" ht="103.5" customHeight="1">
      <x:c r="A42" s="10" t="str">
        <x:v>FID-AR-04</x:v>
      </x:c>
      <x:c r="B42" s="10" t="str">
        <x:v>Arsenal / incarnation</x:v>
      </x:c>
      <x:c r="C42" s="10" t="str">
        <x:v>Feral</x:v>
      </x:c>
      <x:c r="D42" s="10" t="str">
        <x:v>Périmètre partiellement vérifié</x:v>
      </x:c>
      <x:c r="E42" s="10" t="str">
        <x:v>P1</x:v>
      </x:c>
      <x:c r="F42" s="10" t="str">
        <x:v>Masque osseux, bolt gun, bouclier, combisticks et plusieurs accessoires licenciés.</x:v>
      </x:c>
      <x:c r="G42" s="10" t="str">
        <x:v>Tir par projectiles et défense spécifiques; aucun canon plasma générique imposé.</x:v>
      </x:c>
      <x:c r="H42" s="10" t="str">
        <x:v>Tous les accessoires collection ne prouvent pas le port simultané; usages et états des armes nécessitent scènes.</x:v>
      </x:c>
      <x:c r="I42" s="10" t="str">
        <x:v>Une fiche par incarnation et par état d’équipement, documentée par scène.</x:v>
      </x:c>
      <x:c r="J42" s="10" t="str">
        <x:v>LORE-S07 — Prey — ULTRAmate Feral Predator
NECA
Portée : Références de conception Prey : masque osseux, bolt gun, bouclier et combisticks. Produit annoncé pour 2027; la page sert de référence visuelle et d'accessoires, pas de preuve de disponibilité commerciale actuelle.
Consulté le 2026-10-26</x:v>
      </x:c>
      <x:c r="K42" s="23" t="str">
        <x:v>https://store.necaonline.com/collections/pre-orders/products/prey-ultramate-feral-predator-7-inch-scale-action-figure</x:v>
      </x:c>
    </x:row>
    <x:row r="43" ht="76.5" customHeight="1">
      <x:c r="A43" s="9" t="str">
        <x:v>FID-AR-05</x:v>
      </x:c>
      <x:c r="B43" s="9" t="str">
        <x:v>Arsenal / incarnation</x:v>
      </x:c>
      <x:c r="C43" s="9" t="str">
        <x:v>PHG</x:v>
      </x:c>
      <x:c r="D43" s="9" t="str">
        <x:v>Périmètre partiellement vérifié</x:v>
      </x:c>
      <x:c r="E43" s="9" t="str">
        <x:v>P1</x:v>
      </x:c>
      <x:c r="F43" s="9" t="str">
        <x:v>Camouflage, lames, plasma caster, combi-stick, smart disc, arc; classes Scout, Hunter et Berserker.</x:v>
      </x:c>
      <x:c r="G43" s="9" t="str">
        <x:v>Identifier les profils issus du jeu et conserver leurs paramètres de gameplay dans un preset distinct.</x:v>
      </x:c>
      <x:c r="H43" s="9" t="str">
        <x:v>Ces règles ne s'appliquent pas automatiquement à toutes les incarnations filmiques.</x:v>
      </x:c>
      <x:c r="I43" s="9" t="str">
        <x:v>Une fiche par incarnation et par état d’équipement, documentée par scène.</x:v>
      </x:c>
      <x:c r="J43" s="9" t="str">
        <x:v>LORE-S09 — The Predator — Hunting Grounds
IllFonic, développeur
Portée : Arsenal et classes du jeu PHG; ce sont des règles du jeu, pas des règles rétroactives pour chaque incarnation filmique.
Consulté le 2026-10-26</x:v>
      </x:c>
      <x:c r="K43" s="22" t="str">
        <x:v>https://predator.illfonic.com/the-predator/</x:v>
      </x:c>
    </x:row>
    <x:row r="44" ht="49.5" customHeight="1">
      <x:c r="A44" s="10" t="str">
        <x:v>FID-DW-01</x:v>
      </x:c>
      <x:c r="B44" s="10" t="str">
        <x:v>Règle de conception</x:v>
      </x:c>
      <x:c r="C44" s="10" t="str">
        <x:v>Fidélité</x:v>
      </x:c>
      <x:c r="D44" s="10" t="str">
        <x:v>Proposition pour le projet</x:v>
      </x:c>
      <x:c r="E44" s="10" t="str">
        <x:v>P1</x:v>
      </x:c>
      <x:c r="F44" s="10" t="str">
        <x:v>Adaptation issue de la comparaison de gameplay, pas un fait de canon.</x:v>
      </x:c>
      <x:c r="G44" s="10" t="str">
        <x:v>Viser la fidélité des silhouettes, rôles, équipements, anatomie, continuité et comportements. Les tailles d'armée et formats Musou sont une adaptation de gameplay et ne doivent pas être annoncés comme canon quasi 1:1 sans source.</x:v>
      </x:c>
      <x:c r="H44" s="10" t="str">
        <x:v>Aucune valeur proposée ici n’est un plafond technique officiel de Dynasty Warriors.</x:v>
      </x:c>
      <x:c r="I44" s="10" t="str">
        <x:v>Règle à décliner dans les tests du pilote.</x:v>
      </x:c>
      <x:c r="J44" s="10" t="str">
        <x:v>Synthèse de conception de l’audit du 26/10/2026</x:v>
      </x:c>
      <x:c r="K44" s="23" t="str"/>
    </x:row>
    <x:row r="45" ht="49.5" customHeight="1">
      <x:c r="A45" s="9" t="str">
        <x:v>FID-DW-02</x:v>
      </x:c>
      <x:c r="B45" s="9" t="str">
        <x:v>Règle de conception</x:v>
      </x:c>
      <x:c r="C45" s="9" t="str">
        <x:v>Échelle utile</x:v>
      </x:c>
      <x:c r="D45" s="9" t="str">
        <x:v>Proposition pour le projet</x:v>
      </x:c>
      <x:c r="E45" s="9" t="str">
        <x:v>P1</x:v>
      </x:c>
      <x:c r="F45" s="9" t="str">
        <x:v>Adaptation issue de la comparaison de gameplay, pas un fait de canon.</x:v>
      </x:c>
      <x:c r="G45" s="9" t="str">
        <x:v>Dimensionner une opération par nombre de secteurs, trajets, routes de renforts, fronts et densité de décisions avant d'annoncer une superficie. Une grande carte vide n'apporte pas la sensation de guerre.</x:v>
      </x:c>
      <x:c r="H45" s="9" t="str">
        <x:v>Aucune valeur proposée ici n’est un plafond technique officiel de Dynasty Warriors.</x:v>
      </x:c>
      <x:c r="I45" s="9" t="str">
        <x:v>Règle à décliner dans les tests du pilote.</x:v>
      </x:c>
      <x:c r="J45" s="9" t="str">
        <x:v>Synthèse de conception de l’audit du 26/10/2026</x:v>
      </x:c>
      <x:c r="K45" s="22" t="str"/>
    </x:row>
    <x:row r="46" ht="49.5" customHeight="1">
      <x:c r="A46" s="10" t="str">
        <x:v>FID-DW-03</x:v>
      </x:c>
      <x:c r="B46" s="10" t="str">
        <x:v>Règle de conception</x:v>
      </x:c>
      <x:c r="C46" s="10" t="str">
        <x:v>Topologie</x:v>
      </x:c>
      <x:c r="D46" s="10" t="str">
        <x:v>Proposition pour le projet</x:v>
      </x:c>
      <x:c r="E46" s="10" t="str">
        <x:v>P1</x:v>
      </x:c>
      <x:c r="F46" s="10" t="str">
        <x:v>Adaptation issue de la comparaison de gameplay, pas un fait de canon.</x:v>
      </x:c>
      <x:c r="G46" s="10" t="str">
        <x:v>Pour un premier grand théâtre, proposer 8 à 12 secteurs stratégiques, 3 fronts simultanés, 2 entrées utiles par objectif majeur et au moins un contournement par front; chiffres de conception à tester, non issus de Dynasty Warriors.</x:v>
      </x:c>
      <x:c r="H46" s="10" t="str">
        <x:v>Aucune valeur proposée ici n’est un plafond technique officiel de Dynasty Warriors.</x:v>
      </x:c>
      <x:c r="I46" s="10" t="str">
        <x:v>Règle à décliner dans les tests du pilote.</x:v>
      </x:c>
      <x:c r="J46" s="10" t="str">
        <x:v>Synthèse de conception de l’audit du 26/10/2026</x:v>
      </x:c>
      <x:c r="K46" s="23" t="str"/>
    </x:row>
    <x:row r="47" ht="49.5" customHeight="1">
      <x:c r="A47" s="9" t="str">
        <x:v>FID-DW-04</x:v>
      </x:c>
      <x:c r="B47" s="9" t="str">
        <x:v>Règle de conception</x:v>
      </x:c>
      <x:c r="C47" s="9" t="str">
        <x:v>Réserves</x:v>
      </x:c>
      <x:c r="D47" s="9" t="str">
        <x:v>Proposition pour le projet</x:v>
      </x:c>
      <x:c r="E47" s="9" t="str">
        <x:v>P1</x:v>
      </x:c>
      <x:c r="F47" s="9" t="str">
        <x:v>Adaptation issue de la comparaison de gameplay, pas un fait de canon.</x:v>
      </x:c>
      <x:c r="G47" s="9" t="str">
        <x:v>Enregistrer par groupe faction, commandant, effectif initial, pertes, renforts entrants, retraite, objectif et temps de trajet. Vérifier initial + renforts = pertes + survivants + retraites; pas de multiplication gratuite hors caméra.</x:v>
      </x:c>
      <x:c r="H47" s="9" t="str">
        <x:v>Aucune valeur proposée ici n’est un plafond technique officiel de Dynasty Warriors.</x:v>
      </x:c>
      <x:c r="I47" s="9" t="str">
        <x:v>Règle à décliner dans les tests du pilote.</x:v>
      </x:c>
      <x:c r="J47" s="9" t="str">
        <x:v>Synthèse de conception de l’audit du 26/10/2026</x:v>
      </x:c>
      <x:c r="K47" s="22" t="str"/>
    </x:row>
    <x:row r="48" ht="49.5" customHeight="1">
      <x:c r="A48" s="10" t="str">
        <x:v>FID-DW-05</x:v>
      </x:c>
      <x:c r="B48" s="10" t="str">
        <x:v>Règle de conception</x:v>
      </x:c>
      <x:c r="C48" s="10" t="str">
        <x:v>Budget foule</x:v>
      </x:c>
      <x:c r="D48" s="10" t="str">
        <x:v>Proposition pour le projet</x:v>
      </x:c>
      <x:c r="E48" s="10" t="str">
        <x:v>P1</x:v>
      </x:c>
      <x:c r="F48" s="10" t="str">
        <x:v>Adaptation issue de la comparaison de gameplay, pas un fait de canon.</x:v>
      </x:c>
      <x:c r="G48" s="10" t="str">
        <x:v>Fixer les plafonds après profilage du moteur actuel. Préparer trois niveaux de représentation : combat proche complet; groupes éloignés à résolution simplifiée; réserves abstraites non encore déployées.</x:v>
      </x:c>
      <x:c r="H48" s="10" t="str">
        <x:v>Aucune valeur proposée ici n’est un plafond technique officiel de Dynasty Warriors.</x:v>
      </x:c>
      <x:c r="I48" s="10" t="str">
        <x:v>Règle à décliner dans les tests du pilote.</x:v>
      </x:c>
      <x:c r="J48" s="10" t="str">
        <x:v>Synthèse de conception de l’audit du 26/10/2026</x:v>
      </x:c>
      <x:c r="K48" s="23" t="str"/>
    </x:row>
    <x:row r="49" ht="49.5" customHeight="1">
      <x:c r="A49" s="9" t="str">
        <x:v>FID-DW-06</x:v>
      </x:c>
      <x:c r="B49" s="9" t="str">
        <x:v>Règle de conception</x:v>
      </x:c>
      <x:c r="C49" s="9" t="str">
        <x:v>Roster de guerre</x:v>
      </x:c>
      <x:c r="D49" s="9" t="str">
        <x:v>Proposition pour le projet</x:v>
      </x:c>
      <x:c r="E49" s="9" t="str">
        <x:v>P1</x:v>
      </x:c>
      <x:c r="F49" s="9" t="str">
        <x:v>Adaptation issue de la comparaison de gameplay, pas un fait de canon.</x:v>
      </x:c>
      <x:c r="G49" s="9" t="str">
        <x:v>Établir des compositions distinctes pour cellules Yautja, essaims xénomorphes, unités humaines et autres factions réellement présentes. Une alliance temporaire doit avoir un motif de scénario et des règles de fin d'alliance.</x:v>
      </x:c>
      <x:c r="H49" s="9" t="str">
        <x:v>Aucune valeur proposée ici n’est un plafond technique officiel de Dynasty Warriors.</x:v>
      </x:c>
      <x:c r="I49" s="9" t="str">
        <x:v>Règle à décliner dans les tests du pilote.</x:v>
      </x:c>
      <x:c r="J49" s="9" t="str">
        <x:v>Synthèse de conception de l’audit du 26/10/2026</x:v>
      </x:c>
      <x:c r="K49" s="22" t="str"/>
    </x:row>
    <x:row r="50" ht="49.5" customHeight="1">
      <x:c r="A50" s="10" t="str">
        <x:v>FID-DW-07</x:v>
      </x:c>
      <x:c r="B50" s="10" t="str">
        <x:v>Règle de conception</x:v>
      </x:c>
      <x:c r="C50" s="10" t="str">
        <x:v>Boss</x:v>
      </x:c>
      <x:c r="D50" s="10" t="str">
        <x:v>Proposition pour le projet</x:v>
      </x:c>
      <x:c r="E50" s="10" t="str">
        <x:v>P1</x:v>
      </x:c>
      <x:c r="F50" s="10" t="str">
        <x:v>Adaptation issue de la comparaison de gameplay, pas un fait de canon.</x:v>
      </x:c>
      <x:c r="G50" s="10" t="str">
        <x:v>Séparer chef de groupe, élite, mini-boss de secteur et boss d'opération. Chaque niveau requiert télégraphies, phases, terrain, rôle militaire, conditions d'arrivée, fuite et conséquence stratégique propres.</x:v>
      </x:c>
      <x:c r="H50" s="10" t="str">
        <x:v>Aucune valeur proposée ici n’est un plafond technique officiel de Dynasty Warriors.</x:v>
      </x:c>
      <x:c r="I50" s="10" t="str">
        <x:v>Règle à décliner dans les tests du pilote.</x:v>
      </x:c>
      <x:c r="J50" s="10" t="str">
        <x:v>Synthèse de conception de l’audit du 26/10/2026</x:v>
      </x:c>
      <x:c r="K50" s="23" t="str"/>
    </x:row>
    <x:row r="51" ht="49.5" customHeight="1">
      <x:c r="A51" s="9" t="str">
        <x:v>FID-DW-08</x:v>
      </x:c>
      <x:c r="B51" s="9" t="str">
        <x:v>Règle de conception</x:v>
      </x:c>
      <x:c r="C51" s="9" t="str">
        <x:v>Variation</x:v>
      </x:c>
      <x:c r="D51" s="9" t="str">
        <x:v>Proposition pour le projet</x:v>
      </x:c>
      <x:c r="E51" s="9" t="str">
        <x:v>P1</x:v>
      </x:c>
      <x:c r="F51" s="9" t="str">
        <x:v>Adaptation issue de la comparaison de gameplay, pas un fait de canon.</x:v>
      </x:c>
      <x:c r="G51" s="9" t="str">
        <x:v>Faire varier objectifs, routes, météo utile, réserves, faction dominante et événements selon des règles de compatibilité. Une graine doit produire une bataille entièrement rejouable et auditable.</x:v>
      </x:c>
      <x:c r="H51" s="9" t="str">
        <x:v>Aucune valeur proposée ici n’est un plafond technique officiel de Dynasty Warriors.</x:v>
      </x:c>
      <x:c r="I51" s="9" t="str">
        <x:v>Règle à décliner dans les tests du pilote.</x:v>
      </x:c>
      <x:c r="J51" s="9" t="str">
        <x:v>Synthèse de conception de l’audit du 26/10/2026</x:v>
      </x:c>
      <x:c r="K51" s="22" t="str"/>
    </x:row>
    <x:row r="52" ht="49.5" customHeight="1">
      <x:c r="A52" s="10" t="str">
        <x:v>FID-DW-09</x:v>
      </x:c>
      <x:c r="B52" s="10" t="str">
        <x:v>Règle de conception</x:v>
      </x:c>
      <x:c r="C52" s="10" t="str">
        <x:v>Preuves</x:v>
      </x:c>
      <x:c r="D52" s="10" t="str">
        <x:v>Proposition pour le projet</x:v>
      </x:c>
      <x:c r="E52" s="10" t="str">
        <x:v>P1</x:v>
      </x:c>
      <x:c r="F52" s="10" t="str">
        <x:v>Adaptation issue de la comparaison de gameplay, pas un fait de canon.</x:v>
      </x:c>
      <x:c r="G52" s="10" t="str">
        <x:v>Classer chaque ligne de backlog comme présent vérifié, partiel, absent recherché, non vérifié ou proposition. Ne jamais transformer une absence de preuve visuelle sur Vercel en preuve d'absence dans le dépôt.</x:v>
      </x:c>
      <x:c r="H52" s="10" t="str">
        <x:v>Aucune valeur proposée ici n’est un plafond technique officiel de Dynasty Warriors.</x:v>
      </x:c>
      <x:c r="I52" s="10" t="str">
        <x:v>Règle à décliner dans les tests du pilote.</x:v>
      </x:c>
      <x:c r="J52" s="10" t="str">
        <x:v>Synthèse de conception de l’audit du 26/10/2026</x:v>
      </x:c>
      <x:c r="K52" s="23" t="str"/>
    </x:row>
    <x:row r="53" ht="49.5" customHeight="1">
      <x:c r="A53" s="9" t="str">
        <x:v>FID-EXT-01</x:v>
      </x:c>
      <x:c r="B53" s="9" t="str">
        <x:v>Référence à compléter</x:v>
      </x:c>
      <x:c r="C53" s="9" t="str">
        <x:v>Manuel français Aliens Versus Predator Extinction, EA/Fox, copie archivée</x:v>
      </x:c>
      <x:c r="D53" s="9" t="str">
        <x:v>Référence partiellement accessible</x:v>
      </x:c>
      <x:c r="E53" s="9" t="str">
        <x:v>P2</x:v>
      </x:c>
      <x:c r="F53" s="9" t="str">
        <x:v>L'introduction mentionne LV-742 et des campagnes Alien, Predator et Marine.</x:v>
      </x:c>
      <x:c r="G53" s="9" t="str">
        <x:v>Attribuer statut Référence à compléter aux comparaisons Extinction; récupérer manuel lisible et captures du bestiaire via copie de jeu fournie ou source autorisée.</x:v>
      </x:c>
      <x:c r="H53" s="9" t="str">
        <x:v>Le contenu détaillé du bestiaire et des unités n'a pas pu être contrôlé; ne pas reprendre noms, rôles ou chiffres comme validés.</x:v>
      </x:c>
      <x:c r="I53" s="9" t="str">
        <x:v>Retrouver une copie lisible du manuel et contrôler chaque nom/rôle avant intégration.</x:v>
      </x:c>
      <x:c r="J53" s="9" t="str">
        <x:v>Document primaire EA/Fox repéré via indexation, hébergé chez un archiviste tiers, pas sur domaine officiel EA.</x:v>
      </x:c>
      <x:c r="K53" s="22" t="str">
        <x:v>https://db.hfsplay.fr/files/2019/09/19/Aliens_Versus_Predator_-_Extinction_001_kgcGTen.pdf</x:v>
      </x:c>
    </x:row>
  </x:sheetData>
  <x:conditionalFormatting sqref="E7:E53">
    <x:cfRule type="cellIs" dxfId="19" priority="1" operator="equal">
      <x:formula>"P0"</x:formula>
    </x:cfRule>
    <x:cfRule type="cellIs" dxfId="20" priority="2" operator="equal">
      <x:formula>"P1"</x:formula>
    </x:cfRule>
    <x:cfRule type="cellIs" dxfId="21" priority="3" operator="equal">
      <x:formula>"P2"</x:formula>
    </x:cfRule>
  </x:conditionalFormatting>
  <x:dataValidations count="1">
    <x:dataValidation type="list" sqref="E7:E53">
      <x:formula1>"P0,P1,P2,P3"</x:formula1>
    </x:dataValidation>
  </x:dataValidations>
  <x:pageMargins left="0.7" right="0.7" top="0.75" bottom="0.75" header="0.3" footer="0.3"/>
  <x:tableParts count="1">
    <x:tablePart xmlns:r="http://schemas.openxmlformats.org/officeDocument/2006/relationships" r:id="Rebcab852080042bc"/>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65" hidden="0" customWidth="1"/>
    <x:col min="3" max="3" width="65" hidden="0" customWidth="1"/>
    <x:col min="4" max="4" width="65" hidden="0" customWidth="1"/>
    <x:col min="5" max="5" width="65" hidden="0" customWidth="1"/>
    <x:col min="6" max="6" width="24" hidden="0" customWidth="1"/>
    <x:col min="7" max="7" width="10" hidden="0" customWidth="1"/>
  </x:cols>
  <x:sheetData>
    <x:row r="1" ht="12" customHeight="1">
      <x:c r="A1" s="3"/>
      <x:c r="B1" s="3"/>
      <x:c r="C1" s="3"/>
      <x:c r="D1" s="3"/>
      <x:c r="E1" s="3"/>
      <x:c r="F1" s="3"/>
      <x:c r="G1" s="3"/>
    </x:row>
    <x:row r="2" ht="29" customHeight="1">
      <x:c r="A2" s="4" t="str">
        <x:v>Validation technique et fidélité</x:v>
      </x:c>
      <x:c r="B2" s="3"/>
      <x:c r="C2" s="3"/>
      <x:c r="D2" s="3"/>
      <x:c r="E2" s="3"/>
      <x:c r="F2" s="3"/>
      <x:c r="G2" s="3"/>
    </x:row>
    <x:row r="3" ht="8" customHeight="1">
      <x:c r="A3" s="5"/>
      <x:c r="B3" s="5"/>
      <x:c r="C3" s="5"/>
      <x:c r="D3" s="5"/>
      <x:c r="E3" s="5"/>
      <x:c r="F3" s="5"/>
      <x:c r="G3" s="5"/>
    </x:row>
    <x:row r="4">
      <x:c r="A4" s="6" t="str">
        <x:v>Tests à exécuter sur la branche intégrée. Aucun résultat non effectué n’est présenté comme réussi.</x:v>
      </x:c>
      <x:c r="B4" s="3"/>
      <x:c r="C4" s="3"/>
      <x:c r="D4" s="3"/>
      <x:c r="E4" s="3"/>
      <x:c r="F4" s="3"/>
      <x:c r="G4" s="3"/>
    </x:row>
    <x:row r="5">
      <x:c r="A5" s="7" t="str">
        <x:v>24 lignes</x:v>
      </x:c>
      <x:c r="B5" s="3"/>
      <x:c r="C5" s="3"/>
      <x:c r="D5" s="3"/>
      <x:c r="E5" s="3"/>
      <x:c r="F5" s="3"/>
      <x:c r="G5" s="3"/>
    </x:row>
    <x:row r="6" ht="36" customHeight="1">
      <x:c r="A6" s="19" t="str">
        <x:v>ID</x:v>
      </x:c>
      <x:c r="B6" s="20" t="str">
        <x:v>Périmètre</x:v>
      </x:c>
      <x:c r="C6" s="20" t="str">
        <x:v>Procédure</x:v>
      </x:c>
      <x:c r="D6" s="20" t="str">
        <x:v>Résultat attendu</x:v>
      </x:c>
      <x:c r="E6" s="20" t="str">
        <x:v>Preuve à conserver</x:v>
      </x:c>
      <x:c r="F6" s="20" t="str">
        <x:v>État</x:v>
      </x:c>
      <x:c r="G6" s="21" t="str">
        <x:v>Priorité</x:v>
      </x:c>
    </x:row>
    <x:row r="7" ht="63" customHeight="1">
      <x:c r="A7" s="9" t="str">
        <x:v>REC-001</x:v>
      </x:c>
      <x:c r="B7" s="9" t="str">
        <x:v>Trois fronts autonomes hors caméra</x:v>
      </x:c>
      <x:c r="C7" s="9" t="str">
        <x:v>Lancer la bataille pilote FR-01 avec une graine figée. Rester vingt minutes sur le front A sans déplacer la caméra vers B/C; enregistrer leurs objectifs, positions, pertes, réserves et rapports à intervalles réguliers.</x:v>
      </x:c>
      <x:c r="D7" s="9" t="str">
        <x:v>B et C évoluent selon leurs forces et ordres; ils peuvent tenir, progresser ou reculer sans apparition du joueur. Les changements existent avant leur observation et ne sont pas des déclencheurs de caméra.</x:v>
      </x:c>
      <x:c r="E7" s="9" t="str">
        <x:v>Vidéo continue avec horloge; chronologie des trois fronts; relevés avant/après; commit et graine.</x:v>
      </x:c>
      <x:c r="F7" s="9" t="str">
        <x:v>À exécuter</x:v>
      </x:c>
      <x:c r="G7" s="9" t="str">
        <x:v>P0</x:v>
      </x:c>
    </x:row>
    <x:row r="8" ht="63" customHeight="1">
      <x:c r="A8" s="10" t="str">
        <x:v>REC-002</x:v>
      </x:c>
      <x:c r="B8" s="10" t="str">
        <x:v>Choix d'intervention et conséquences parallèles</x:v>
      </x:c>
      <x:c r="C8" s="10" t="str">
        <x:v>Rejouer deux fois une même situation initiale. Première partie : secourir B; seconde : fermer le tunnel de C. Conserver difficulté et équipement, puis comparer le résultat militaire à un instant identique.</x:v>
      </x:c>
      <x:c r="D8" s="10" t="str">
        <x:v>Les décisions changent les renforts, les pertes, les accès ou l'extraction de façon explicable. Les fronts non secourus ne retrouvent pas artificiellement le même résultat imposé.</x:v>
      </x:c>
      <x:c r="E8" s="10" t="str">
        <x:v>Deux replays comparables; bilan par front; chronologie des ordres et objectifs; justification des différences.</x:v>
      </x:c>
      <x:c r="F8" s="10" t="str">
        <x:v>À exécuter</x:v>
      </x:c>
      <x:c r="G8" s="10" t="str">
        <x:v>P0</x:v>
      </x:c>
    </x:row>
    <x:row r="9" ht="63" customHeight="1">
      <x:c r="A9" s="9" t="str">
        <x:v>REC-003</x:v>
      </x:c>
      <x:c r="B9" s="9" t="str">
        <x:v>Alertes et temps réel pour porter secours</x:v>
      </x:c>
      <x:c r="C9" s="9" t="str">
        <x:v>Déclencher une attaque sur un front distant depuis plusieurs positions du joueur. Mesurer le délai d'alerte, la durée de trajet par les routes accessibles et le temps restant avant rupture; répéter avec un passage bloqué.</x:v>
      </x:c>
      <x:c r="D9" s="9" t="str">
        <x:v>Le joueur reçoit une information exploitable avant la conséquence irréversible, ou la mission signale clairement qu'un ordre distant est nécessaire. Aucune alerte urgente ne demande un trajet impossible sans l'annoncer.</x:v>
      </x:c>
      <x:c r="E9" s="9" t="str">
        <x:v>Chronométrages; vitesses et routes déclarées; captures des alertes; seuils de délai fixés avant recette.</x:v>
      </x:c>
      <x:c r="F9" s="9" t="str">
        <x:v>À exécuter</x:v>
      </x:c>
      <x:c r="G9" s="9" t="str">
        <x:v>P0</x:v>
      </x:c>
    </x:row>
    <x:row r="10" ht="76.5" customHeight="1">
      <x:c r="A10" s="10" t="str">
        <x:v>REC-004</x:v>
      </x:c>
      <x:c r="B10" s="10" t="str">
        <x:v>Conservation des effectifs et catégories d'entités</x:v>
      </x:c>
      <x:c r="C10" s="10" t="str">
        <x:v>Sur EFF-03 puis EFF-06, suivre les effectifs initiaux, arrivées autorisées, morts, blessés, retraites, transports, présents et réserves. Inclure couvoir GRP-05, extraction GRP-16 et civils GRP-28.</x:v>
      </x:c>
      <x:c r="D10" s="10" t="str">
        <x:v>Chaque individu appartient à un seul état comptable. Combattants, joueurs, civils, blessés, œufs et matériel sont distingués; morts et retraites ne réapparaissent pas gratuitement. Toute croissance biologique ou arrivée extérieure possède une source enregistrée.</x:v>
      </x:c>
      <x:c r="E10" s="10" t="str">
        <x:v>Registre d'effectifs horodaté par faction et groupe; identifiants uniques; rapprochement initial + entrées = états finaux + pertes + sorties.</x:v>
      </x:c>
      <x:c r="F10" s="10" t="str">
        <x:v>À exécuter</x:v>
      </x:c>
      <x:c r="G10" s="10" t="str">
        <x:v>P0</x:v>
      </x:c>
    </x:row>
    <x:row r="11" ht="63" customHeight="1">
      <x:c r="A11" s="9" t="str">
        <x:v>REC-005</x:v>
      </x:c>
      <x:c r="B11" s="9" t="str">
        <x:v>Passage entre combat proche et simulation distante</x:v>
      </x:c>
      <x:c r="C11" s="9" t="str">
        <x:v>Observer un groupe blessé engagé sur un front, s'éloigner jusqu'au changement de niveau de simulation, puis revenir plusieurs fois; effectuer une traversée de secteur pendant sa retraite.</x:v>
      </x:c>
      <x:c r="D11" s="9" t="str">
        <x:v>Position plausible, destination, pertes, santé pertinente, ordre et réserve persistent. Aucune duplication, guérison totale gratuite, téléportation visible ou réinitialisation d'objectif ne se produit.</x:v>
      </x:c>
      <x:c r="E11" s="9" t="str">
        <x:v>Vidéo de transition; états du même groupe avant/après; horodatage des changements de simulation.</x:v>
      </x:c>
      <x:c r="F11" s="9" t="str">
        <x:v>À exécuter</x:v>
      </x:c>
      <x:c r="G11" s="9" t="str">
        <x:v>P0</x:v>
      </x:c>
    </x:row>
    <x:row r="12" ht="76.5" customHeight="1">
      <x:c r="A12" s="10" t="str">
        <x:v>REC-006</x:v>
      </x:c>
      <x:c r="B12" s="10" t="str">
        <x:v>Renforts physiques et ressources de ruche</x:v>
      </x:c>
      <x:c r="C12" s="10" t="str">
        <x:v>Identifier une source de renforts, sa réserve et sa route. Laisser passer une vague, couper le chemin puis neutraliser la source. Sur profil biologique, contrôler les hôtes et stades requis par la continuité choisie.</x:v>
      </x:c>
      <x:c r="D12" s="10" t="str">
        <x:v>Les arrivées consomment une réserve et utilisent des accès crédibles. Route bloquée : détour ou arrêt expliqué. Source détruite : plus de renforts gratuits. Les durées biologiques sont des paramètres explicites, jamais une multiplication instantanée non annoncée.</x:v>
      </x:c>
      <x:c r="E12" s="10" t="str">
        <x:v>Relevés de réserve; trajet filmé; événement de neutralisation; règles biologiques et paramètres du scénario.</x:v>
      </x:c>
      <x:c r="F12" s="10" t="str">
        <x:v>À exécuter</x:v>
      </x:c>
      <x:c r="G12" s="10" t="str">
        <x:v>P0</x:v>
      </x:c>
    </x:row>
    <x:row r="13" ht="63" customHeight="1">
      <x:c r="A13" s="9" t="str">
        <x:v>REC-007</x:v>
      </x:c>
      <x:c r="B13" s="9" t="str">
        <x:v>Compatibilité des factions et compositions</x:v>
      </x:c>
      <x:c r="C13" s="9" t="str">
        <x:v>Parcourir les presets de reconstitution puis les variantes de guerre. Tester notamment USCM dans Predator 1987, Rogue hors Charon, Offspring hors scénario Romulus, mélange police/gangs/OWLF et alliance humain/Yautja sans événement.</x:v>
      </x:c>
      <x:c r="D13" s="9" t="str">
        <x:v>Un preset de reconstitution refuse ou retire les combinaisons non autorisées. Un mode hypothétique peut les permettre en signalant la divergence. Les groupes conservent leurs propres relations et n'adoptent pas tous une même équipe par proximité.</x:v>
      </x:c>
      <x:c r="E13" s="9" t="str">
        <x:v>Matrice d'autorisations; captures des refus et libellés; liste effective des groupes et relations dans chaque preset.</x:v>
      </x:c>
      <x:c r="F13" s="9" t="str">
        <x:v>À exécuter</x:v>
      </x:c>
      <x:c r="G13" s="9" t="str">
        <x:v>P0</x:v>
      </x:c>
    </x:row>
    <x:row r="14" ht="63" customHeight="1">
      <x:c r="A14" s="10" t="str">
        <x:v>REC-008</x:v>
      </x:c>
      <x:c r="B14" s="10" t="str">
        <x:v>Personnages nommés, variantes biologiques et unicité</x:v>
      </x:c>
      <x:c r="C14" s="10" t="str">
        <x:v>Suivre un héros ou boss nommé lors d'un éloignement, d'une réentrée, d'une retraite et d'une recharge de partie. Comparer Dog Alien, Runner de jeu, Praetorian, Predalien, Reines, Rogue et Offspring dans leurs profils respectifs.</x:v>
      </x:c>
      <x:c r="D14" s="10" t="str">
        <x:v>Les personnages nommés ne sont pas clonés comme officiers de série. Chaque variante possède provenance et restrictions; modèle, hôte, comportement ou biologie non vérifiés restent identifiés comme tels.</x:v>
      </x:c>
      <x:c r="E14" s="10" t="str">
        <x:v>Identifiants des personnages; registre de provenance; captures côte à côte; références visuelles sélectionnées et validation humaine.</x:v>
      </x:c>
      <x:c r="F14" s="10" t="str">
        <x:v>À exécuter</x:v>
      </x:c>
      <x:c r="G14" s="10" t="str">
        <x:v>P0</x:v>
      </x:c>
    </x:row>
    <x:row r="15" ht="63" customHeight="1">
      <x:c r="A15" s="9" t="str">
        <x:v>REC-009</x:v>
      </x:c>
      <x:c r="B15" s="9" t="str">
        <x:v>Arsenaux fidèles aux incarnations</x:v>
      </x:c>
      <x:c r="C15" s="9" t="str">
        <x:v>Lancer les profils Jungle Hunter, City Hunter, Wolf, Feral et PHG. Examiner équipement porté, tir, défense, coût, déploiement, récupération et finisseurs; tester une arme appartenant à une autre incarnation.</x:v>
      </x:c>
      <x:c r="D15" s="9" t="str">
        <x:v>Les profils conservent leurs armes autorisées et manipulations propres. Feral n'utilise pas automatiquement un canon plasma générique; les règles et déblocages PHG ne sont pas déclarés canoniques pour tous les films.</x:v>
      </x:c>
      <x:c r="E15" s="9" t="str">
        <x:v>Matrice d'armes autorisées; vidéo des usages; références de scènes; liste des écarts intentionnels de gameplay.</x:v>
      </x:c>
      <x:c r="F15" s="9" t="str">
        <x:v>À exécuter</x:v>
      </x:c>
      <x:c r="G15" s="9" t="str">
        <x:v>P1</x:v>
      </x:c>
    </x:row>
    <x:row r="16" ht="63" customHeight="1">
      <x:c r="A16" s="10" t="str">
        <x:v>REC-010</x:v>
      </x:c>
      <x:c r="B16" s="10" t="str">
        <x:v>Ordres alliés et rôles de groupe</x:v>
      </x:c>
      <x:c r="C16" s="10" t="str">
        <x:v>Donner tenir, contourner, renforcer, escorter et replier à plusieurs groupes sur deux fronts. Couper une route pendant l'ordre; demander ensuite une tâche incompatible avec le rôle ou la taille d'une unité.</x:v>
      </x:c>
      <x:c r="D16" s="10" t="str">
        <x:v>Chaque groupe confirme, exécute ou refuse avec une raison compréhensible. Les alliés peuvent sécuriser un objectif sans présence du joueur; un soutien n'abandonne pas systématiquement sa tâche pour poursuivre une cible isolée.</x:v>
      </x:c>
      <x:c r="E16" s="10" t="str">
        <x:v>Vidéo avec statut des ordres; destinations et trajets; objectifs accomplis sans joueur; motifs de refus.</x:v>
      </x:c>
      <x:c r="F16" s="10" t="str">
        <x:v>À exécuter</x:v>
      </x:c>
      <x:c r="G16" s="10" t="str">
        <x:v>P0</x:v>
      </x:c>
    </x:row>
    <x:row r="17" ht="63" customHeight="1">
      <x:c r="A17" s="9" t="str">
        <x:v>REC-011</x:v>
      </x:c>
      <x:c r="B17" s="9" t="str">
        <x:v>Moral, discipline et coordination de ruche</x:v>
      </x:c>
      <x:c r="C17" s="9" t="str">
        <x:v>Créer trois situations comparables : commandement humain perdu, chef Yautja vaincu, voie de ruche coupée. Observer réactions, renforts, ciblage, retrait et remontée d'information.</x:v>
      </x:c>
      <x:c r="D17" s="9" t="str">
        <x:v>Les conséquences suivent le modèle propre à chaque faction. Les xénomorphes ne reçoivent pas automatiquement une fuite de peur humaine; les humains et Yautja ne partagent pas tous une réaction identique à chaque événement.</x:v>
      </x:c>
      <x:c r="E17" s="9" t="str">
        <x:v>Règles de faction; chronologie et vidéo comparative; motifs lisibles des changements de comportement.</x:v>
      </x:c>
      <x:c r="F17" s="9" t="str">
        <x:v>À exécuter</x:v>
      </x:c>
      <x:c r="G17" s="9" t="str">
        <x:v>P1</x:v>
      </x:c>
    </x:row>
    <x:row r="18" ht="63" customHeight="1">
      <x:c r="A18" s="10" t="str">
        <x:v>REC-012</x:v>
      </x:c>
      <x:c r="B18" s="10" t="str">
        <x:v>Coutures, portes et continuité physique</x:v>
      </x:c>
      <x:c r="C18" s="10" t="str">
        <x:v>Traverser chaque liaison d'un terrain pilote depuis les deux côtés, puis revenir après capture, sabotage, ouverture de porte et changement de phase. Examiner le même bâtiment depuis les zones voisines.</x:v>
      </x:c>
      <x:c r="D18" s="10" t="str">
        <x:v>Entrées, sorties, relief, limites et état du décor concordent. Un bâtiment visible conserve son emplacement et ses accès. Les changements physiques actualisent les itinéraires de toutes les factions.</x:v>
      </x:c>
      <x:c r="E18" s="10" t="str">
        <x:v>Plan annoté des liaisons; vidéo aller-retour; captures avant/après; état des portes et accès.</x:v>
      </x:c>
      <x:c r="F18" s="10" t="str">
        <x:v>À exécuter</x:v>
      </x:c>
      <x:c r="G18" s="10" t="str">
        <x:v>P0</x:v>
      </x:c>
    </x:row>
    <x:row r="19" ht="63" customHeight="1">
      <x:c r="A19" s="9" t="str">
        <x:v>REC-013</x:v>
      </x:c>
      <x:c r="B19" s="9" t="str">
        <x:v>Taille utile, approches et gabarits</x:v>
      </x:c>
      <x:c r="C19" s="9" t="str">
        <x:v>Sur forêt/colonie et station, parcourir deux approches par objectif majeur avec joueur, fantassin, lourd, boss et véhicule quand autorisés. Chronométrer liaison, contournement et extraction; tester retournement aux passages étroits.</x:v>
      </x:c>
      <x:c r="D19" s="9" t="str">
        <x:v>Les dimensions en unités de jeu produisent des parcours utilisables et des décisions distinctes. Les grandes unités ne traversent pas des volumes incompatibles; les objectifs éloignés restent compatibles avec les délais annoncés.</x:v>
      </x:c>
      <x:c r="E19" s="9" t="str">
        <x:v>Vitesses et dimensions en unités; temps de parcours; gabarits; captures des deux approches et des refus de passage.</x:v>
      </x:c>
      <x:c r="F19" s="9" t="str">
        <x:v>À exécuter</x:v>
      </x:c>
      <x:c r="G19" s="9" t="str">
        <x:v>P1</x:v>
      </x:c>
    </x:row>
    <x:row r="20" ht="63" customHeight="1">
      <x:c r="A20" s="10" t="str">
        <x:v>REC-014</x:v>
      </x:c>
      <x:c r="B20" s="10" t="str">
        <x:v>Verticalité, visibilité et routes par espèce</x:v>
      </x:c>
      <x:c r="C20" s="10" t="str">
        <x:v>Suivre une embuscade de plafond, un déplacement Yautja en hauteur et une progression humaine au sol. Vérifier accès entre niveaux, lignes de tir, occlusion et portée de détection depuis chaque point de vue.</x:v>
      </x:c>
      <x:c r="D20" s="10" t="str">
        <x:v>Les unités utilisent des routes compatibles avec leur morphologie. Aucun tir ne traverse un obstacle opaque sans règle d'arme explicite; une surface infranchissable ne devient pas praticable quand elle passe hors caméra.</x:v>
      </x:c>
      <x:c r="E20" s="10" t="str">
        <x:v>Vidéos des trois routes; vue du graphe autorisé par faction; captures de visibilité et collisions.</x:v>
      </x:c>
      <x:c r="F20" s="10" t="str">
        <x:v>À exécuter</x:v>
      </x:c>
      <x:c r="G20" s="10" t="str">
        <x:v>P1</x:v>
      </x:c>
    </x:row>
    <x:row r="21" ht="63" customHeight="1">
      <x:c r="A21" s="9" t="str">
        <x:v>REC-015</x:v>
      </x:c>
      <x:c r="B21" s="9" t="str">
        <x:v>Variations de carte et reproductibilité</x:v>
      </x:c>
      <x:c r="C21" s="9" t="str">
        <x:v>Rejouer une graine d'opération trois fois, puis jouer trois graines présentant des zones et approches différentes. Comparer repères, connexions, objectifs, réserves initiales et événements déclenchés par les mêmes choix.</x:v>
      </x:c>
      <x:c r="D21" s="9" t="str">
        <x:v>Une graine et un profil identiques reproduisent leur configuration. Les variantes changent les possibilités tactiques sans déplacer arbitrairement les repères d'une reconstitution; chaque partie garde un chemin d'objectif et de sortie.</x:v>
      </x:c>
      <x:c r="E21" s="9" t="str">
        <x:v>Graines et paramètres; plans produits; replays; comparaison des configurations initiales et résultats attendus.</x:v>
      </x:c>
      <x:c r="F21" s="9" t="str">
        <x:v>À exécuter</x:v>
      </x:c>
      <x:c r="G21" s="9" t="str">
        <x:v>P1</x:v>
      </x:c>
    </x:row>
    <x:row r="22" ht="63" customHeight="1">
      <x:c r="A22" s="10" t="str">
        <x:v>REC-016</x:v>
      </x:c>
      <x:c r="B22" s="10" t="str">
        <x:v>Sauvegarde d'une guerre répartie</x:v>
      </x:c>
      <x:c r="C22" s="10" t="str">
        <x:v>Sauvegarder pendant que trois fronts agissent, qu'un convoi transporte des passagers, qu'un groupe se replie et qu'une porte est sabotée. Quitter, reprendre et comparer immédiatement puis après cinq minutes de jeu.</x:v>
      </x:c>
      <x:c r="D22" s="10" t="str">
        <x:v>Ordres, états de groupes, passagers, réserves, routes, objectifs, diplomatie et chronologie reprennent de manière cohérente. Aucun gain ou perte gratuit n'apparaît au chargement; les événements déjà résolus ne se rejouent pas.</x:v>
      </x:c>
      <x:c r="E22" s="10" t="str">
        <x:v>Sauvegarde avant/après; bilan par front; capture des occupants et états; vidéo de reprise.</x:v>
      </x:c>
      <x:c r="F22" s="10" t="str">
        <x:v>À exécuter</x:v>
      </x:c>
      <x:c r="G22" s="10" t="str">
        <x:v>P0</x:v>
      </x:c>
    </x:row>
    <x:row r="23" ht="63" customHeight="1">
      <x:c r="A23" s="9" t="str">
        <x:v>REC-017</x:v>
      </x:c>
      <x:c r="B23" s="9" t="str">
        <x:v>Mini-boss et conséquences militaires</x:v>
      </x:c>
      <x:c r="C23" s="9" t="str">
        <x:v>Affronter un chef de groupe puis une élite de secteur. Comparer une victoire précoce, un contournement et une victoire après perte de l'objectif défendu.</x:v>
      </x:c>
      <x:c r="D23" s="9" t="str">
        <x:v>Silhouette, télégraphies, rôle et contre sont distincts des troupes ordinaires. La défaite de la menace modifie son groupe, un accès, le soutien ou un objectif; elle ne sert pas seulement à retirer une grande barre de vie.</x:v>
      </x:c>
      <x:c r="E23" s="9" t="str">
        <x:v>Vidéos de combat; règles de rôle; états militaires avant/après; comparaison des trois parcours.</x:v>
      </x:c>
      <x:c r="F23" s="9" t="str">
        <x:v>À exécuter</x:v>
      </x:c>
      <x:c r="G23" s="9" t="str">
        <x:v>P1</x:v>
      </x:c>
    </x:row>
    <x:row r="24" ht="63" customHeight="1">
      <x:c r="A24" s="10" t="str">
        <x:v>REC-018</x:v>
      </x:c>
      <x:c r="B24" s="10" t="str">
        <x:v>Grandes manœuvres et contre-jeu</x:v>
      </x:c>
      <x:c r="C24" s="10" t="str">
        <x:v>Déclencher une percée, un débarquement ou un encerclement annoncé. Laisser réussir une fois, puis utiliser deux moyens différents d'interruption dans les mêmes conditions initiales.</x:v>
      </x:c>
      <x:c r="D24" s="10" t="str">
        <x:v>La préparation et le danger sont lisibles. Les contres ont des conditions cohérentes; réussite ou interruption change réellement les routes, les renforts ou la pression du front. Le même événement n'est pas relancé sans ressources.</x:v>
      </x:c>
      <x:c r="E24" s="10" t="str">
        <x:v>Trois replays; messages d'annonce; chronologie des conditions; bilan d'effectifs et de positions.</x:v>
      </x:c>
      <x:c r="F24" s="10" t="str">
        <x:v>À exécuter</x:v>
      </x:c>
      <x:c r="G24" s="10" t="str">
        <x:v>P1</x:v>
      </x:c>
    </x:row>
    <x:row r="25" ht="63" customHeight="1">
      <x:c r="A25" s="9" t="str">
        <x:v>REC-019</x:v>
      </x:c>
      <x:c r="B25" s="9" t="str">
        <x:v>Boss dépendant de la bataille</x:v>
      </x:c>
      <x:c r="C25" s="9" t="str">
        <x:v>Atteindre le boss avec les tunnels de renfort ouverts, puis fermés; répéter avec extraction intacte puis menacée. Observer accès, arène, soutien, possibilités de fuite et issue de l'opération.</x:v>
      </x:c>
      <x:c r="D25" s="9" t="str">
        <x:v>Les objectifs précédents changent le contexte du boss et l'après-combat. Son arrivée a une cause et une route; tuer le boss ne restaure pas automatiquement les objectifs perdus ou les alliés morts.</x:v>
      </x:c>
      <x:c r="E25" s="9" t="str">
        <x:v>Replays comparatifs; états des objectifs; composition des renforts; bilan de victoire et conséquences de campagne.</x:v>
      </x:c>
      <x:c r="F25" s="9" t="str">
        <x:v>À exécuter</x:v>
      </x:c>
      <x:c r="G25" s="9" t="str">
        <x:v>P0</x:v>
      </x:c>
    </x:row>
    <x:row r="26" ht="63" customHeight="1">
      <x:c r="A26" s="10" t="str">
        <x:v>REC-020</x:v>
      </x:c>
      <x:c r="B26" s="10" t="str">
        <x:v>Fronts pendant duel, finisseur et séquence de boss</x:v>
      </x:c>
      <x:c r="C26" s="10" t="str">
        <x:v>Engager un duel, un finisseur et une séquence longue pendant qu'un autre front est menacé. Observer les horloges et alertes; répéter avec pause volontaire et, si prévu, un second joueur éloigné.</x:v>
      </x:c>
      <x:c r="D26" s="10" t="str">
        <x:v>Les règles de pause sont explicites et cohérentes. Une animation obligatoire ne provoque pas une défaite distante impossible à anticiper; les fronts ne s'arrêtent pas clandestinement selon la position de la caméra.</x:v>
      </x:c>
      <x:c r="E26" s="10" t="str">
        <x:v>Vidéo avec horloges; durée des séquences; règle de pause; alertes et causes de pertes distantes.</x:v>
      </x:c>
      <x:c r="F26" s="10" t="str">
        <x:v>À exécuter</x:v>
      </x:c>
      <x:c r="G26" s="10" t="str">
        <x:v>P1</x:v>
      </x:c>
    </x:row>
    <x:row r="27" ht="63" customHeight="1">
      <x:c r="A27" s="9" t="str">
        <x:v>REC-021</x:v>
      </x:c>
      <x:c r="B27" s="9" t="str">
        <x:v>Densité et performances sur matériel déclaré</x:v>
      </x:c>
      <x:c r="C27" s="9" t="str">
        <x:v>Déclarer CPU, GPU, RAM, OS, navigateur/runtime, résolution, qualité et cible de cadence. Jouer vingt minutes du palier retenu, avec charge maximale, effets, boss et changements de secteur; répéter le cas représentatif le plus lourd.</x:v>
      </x:c>
      <x:c r="D27" s="9" t="str">
        <x:v>Le budget validé respecte les seuils préalablement fixés de temps de frame, saccades, mémoire et latence de commande. Le bilan distingue actifs, simulés, visibles et réserves; aucune performance n'est annoncée sans machine et scénario associés.</x:v>
      </x:c>
      <x:c r="E27" s="9" t="str">
        <x:v>Fiche matérielle; traces de temps de frame p50/p95/p99; pic mémoire; compteurs; vidéo et paramètres exacts.</x:v>
      </x:c>
      <x:c r="F27" s="9" t="str">
        <x:v>À exécuter</x:v>
      </x:c>
      <x:c r="G27" s="9" t="str">
        <x:v>P0</x:v>
      </x:c>
    </x:row>
    <x:row r="28" ht="63" customHeight="1">
      <x:c r="A28" s="10" t="str">
        <x:v>REC-022</x:v>
      </x:c>
      <x:c r="B28" s="10" t="str">
        <x:v>Profil faible capacité et conservation stratégique</x:v>
      </x:c>
      <x:c r="C28" s="10" t="str">
        <x:v>Rejouer EFF-03 et EFF-08 avec même scénario et événements de contrôle. Comparer réserves totales, résultats des fronts hors caméra, temps de capture et exposition tactique du joueur; fixer les tolérances avant comparaison.</x:v>
      </x:c>
      <x:c r="D28" s="10" t="str">
        <x:v>Les mêmes objectifs et effectifs alloués sont conservés. Une baisse du nombre d'agents détaillés ne crée pas de victoire gratuite; tout écart de difficulté tactique est mesuré puis corrigé ou annoncé comme différence de profil.</x:v>
      </x:c>
      <x:c r="E28" s="10" t="str">
        <x:v>Replays; tableau d'écarts et tolérances; bilans d'effectifs; résultats des fronts; mesures de danger et de cadence.</x:v>
      </x:c>
      <x:c r="F28" s="10" t="str">
        <x:v>À exécuter</x:v>
      </x:c>
      <x:c r="G28" s="10" t="str">
        <x:v>P0</x:v>
      </x:c>
    </x:row>
    <x:row r="29" ht="63" customHeight="1">
      <x:c r="A29" s="9" t="str">
        <x:v>REC-023</x:v>
      </x:c>
      <x:c r="B29" s="9" t="str">
        <x:v>Deux joueurs sur des fronts séparés</x:v>
      </x:c>
      <x:c r="C29" s="9" t="str">
        <x:v>En coopération locale EFF-07, éloigner les joueurs sur A et B tandis que C reste hors vue. Rapprocher ensuite leurs zones de simulation; passer successivement par le même groupe et par le boss nommé.</x:v>
      </x:c>
      <x:c r="D29" s="9" t="str">
        <x:v>Horloge et bataille sont communes. Les deux bulles partagent le budget global; leur chevauchement ne duplique ni groupe, boss, récompense ni renfort. Le front C continue; chaque joueur reçoit les informations nécessaires.</x:v>
      </x:c>
      <x:c r="E29" s="9" t="str">
        <x:v>Capture des deux vues; compteurs globaux et par bulle; identifiants des groupes; chronologie des trois fronts.</x:v>
      </x:c>
      <x:c r="F29" s="9" t="str">
        <x:v>À exécuter</x:v>
      </x:c>
      <x:c r="G29" s="9" t="str">
        <x:v>P0</x:v>
      </x:c>
    </x:row>
    <x:row r="30" ht="63" customHeight="1">
      <x:c r="A30" s="10" t="str">
        <x:v>REC-024</x:v>
      </x:c>
      <x:c r="B30" s="10" t="str">
        <x:v>Coopération, secours et conclusion éloignée</x:v>
      </x:c>
      <x:c r="C30" s="10" t="str">
        <x:v>Mettre un joueur hors de combat loin de l'autre; tenter secours, extraction et abandon selon les règles prévues. Répéter une conclusion de mission avec les joueurs dans des secteurs distincts, puis une interruption et reconnexion de manette.</x:v>
      </x:c>
      <x:c r="D30" s="10" t="str">
        <x:v>Les règles de secours, défaite et extraction s'appliquent une seule fois à la partie. Les entrées restent attribuées au bon joueur; aucune entité fantôme ni fin de mission contradictoire; le bilan explique les survivants et objectifs perdus.</x:v>
      </x:c>
      <x:c r="E30" s="10" t="str">
        <x:v>Vidéo des deux vues et entrées; bilan final partagé; règles de secours/extraction; journal d'événements de session.</x:v>
      </x:c>
      <x:c r="F30" s="10" t="str">
        <x:v>À exécuter</x:v>
      </x:c>
      <x:c r="G30" s="10" t="str">
        <x:v>P1</x:v>
      </x:c>
    </x:row>
  </x:sheetData>
  <x:conditionalFormatting sqref="G7:G30">
    <x:cfRule type="cellIs" dxfId="22" priority="1" operator="equal">
      <x:formula>"P0"</x:formula>
    </x:cfRule>
    <x:cfRule type="cellIs" dxfId="23" priority="2" operator="equal">
      <x:formula>"P1"</x:formula>
    </x:cfRule>
    <x:cfRule type="cellIs" dxfId="24" priority="3" operator="equal">
      <x:formula>"P2"</x:formula>
    </x:cfRule>
  </x:conditionalFormatting>
  <x:dataValidations count="1">
    <x:dataValidation type="list" sqref="G7:G30">
      <x:formula1>"P0,P1,P2,P3"</x:formula1>
    </x:dataValidation>
  </x:dataValidations>
  <x:pageMargins left="0.7" right="0.7" top="0.75" bottom="0.75" header="0.3" footer="0.3"/>
  <x:tableParts count="1">
    <x:tablePart xmlns:r="http://schemas.openxmlformats.org/officeDocument/2006/relationships" r:id="R434439693a7049f9"/>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38" hidden="0" customWidth="1"/>
    <x:col min="3" max="3" width="90" hidden="0" customWidth="1"/>
    <x:col min="4" max="4" width="58" hidden="0" customWidth="1"/>
    <x:col min="5" max="5" width="93" hidden="0" customWidth="1"/>
    <x:col min="6" max="6" width="10" hidden="0" customWidth="1"/>
    <x:col min="7" max="7" width="18" hidden="0" customWidth="1"/>
  </x:cols>
  <x:sheetData>
    <x:row r="1" ht="12" customHeight="1">
      <x:c r="A1" s="3"/>
      <x:c r="B1" s="3"/>
      <x:c r="C1" s="3"/>
      <x:c r="D1" s="3"/>
      <x:c r="E1" s="3"/>
      <x:c r="F1" s="3"/>
      <x:c r="G1" s="3"/>
    </x:row>
    <x:row r="2" ht="29" customHeight="1">
      <x:c r="A2" s="4" t="str">
        <x:v>Ordre d’intégration proposé</x:v>
      </x:c>
      <x:c r="B2" s="3"/>
      <x:c r="C2" s="3"/>
      <x:c r="D2" s="3"/>
      <x:c r="E2" s="3"/>
      <x:c r="F2" s="3"/>
      <x:c r="G2" s="3"/>
    </x:row>
    <x:row r="3" ht="8" customHeight="1">
      <x:c r="A3" s="5"/>
      <x:c r="B3" s="5"/>
      <x:c r="C3" s="5"/>
      <x:c r="D3" s="5"/>
      <x:c r="E3" s="5"/>
      <x:c r="F3" s="5"/>
      <x:c r="G3" s="5"/>
    </x:row>
    <x:row r="4">
      <x:c r="A4" s="6" t="str">
        <x:v>Chaque lot doit franchir son critère de sortie avant d’augmenter l’échelle des batailles.</x:v>
      </x:c>
      <x:c r="B4" s="3"/>
      <x:c r="C4" s="3"/>
      <x:c r="D4" s="3"/>
      <x:c r="E4" s="3"/>
      <x:c r="F4" s="3"/>
      <x:c r="G4" s="3"/>
    </x:row>
    <x:row r="5">
      <x:c r="A5" s="7" t="str">
        <x:v>6 lignes</x:v>
      </x:c>
      <x:c r="B5" s="3"/>
      <x:c r="C5" s="3"/>
      <x:c r="D5" s="3"/>
      <x:c r="E5" s="3"/>
      <x:c r="F5" s="3"/>
      <x:c r="G5" s="3"/>
    </x:row>
    <x:row r="6" ht="36" customHeight="1">
      <x:c r="A6" s="19" t="str">
        <x:v>ID</x:v>
      </x:c>
      <x:c r="B6" s="20" t="str">
        <x:v>Lot</x:v>
      </x:c>
      <x:c r="C6" s="20" t="str">
        <x:v>Livrable</x:v>
      </x:c>
      <x:c r="D6" s="20" t="str">
        <x:v>Prérequis</x:v>
      </x:c>
      <x:c r="E6" s="20" t="str">
        <x:v>Critère de sortie</x:v>
      </x:c>
      <x:c r="F6" s="20" t="str">
        <x:v>Priorité</x:v>
      </x:c>
      <x:c r="G6" s="21" t="str">
        <x:v>Suivi</x:v>
      </x:c>
    </x:row>
    <x:row r="7" ht="36" customHeight="1">
      <x:c r="A7" s="9" t="str">
        <x:v>LOT-0</x:v>
      </x:c>
      <x:c r="B7" s="9" t="str">
        <x:v>Base unique et compilable</x:v>
      </x:c>
      <x:c r="C7" s="9" t="str">
        <x:v>Corriger les doublons JS ; réconcilier main v65.5, ses dix cartes et l’architecture validée ; établir un commit de référence</x:v>
      </x:c>
      <x:c r="D7" s="9" t="str">
        <x:v>Aucune</x:v>
      </x:c>
      <x:c r="E7" s="9" t="str">
        <x:v>Build complet réussi, dix lieux réconciliés sans perte de sauvegardes ni des modèles et comportements validés</x:v>
      </x:c>
      <x:c r="F7" s="9" t="str">
        <x:v>P0</x:v>
      </x:c>
      <x:c r="G7" s="24" t="str">
        <x:v>À faire</x:v>
      </x:c>
    </x:row>
    <x:row r="8" ht="36" customHeight="1">
      <x:c r="A8" s="10" t="str">
        <x:v>LOT-1</x:v>
      </x:c>
      <x:c r="B8" s="10" t="str">
        <x:v>Bataille pilote persistante</x:v>
      </x:c>
      <x:c r="C8" s="10" t="str">
        <x:v>Une carte originale à trois fronts, groupes, réserves, ordres, bases et règles de victoire</x:v>
      </x:c>
      <x:c r="D8" s="10" t="str">
        <x:v>LOT-0</x:v>
      </x:c>
      <x:c r="E8" s="10" t="str">
        <x:v>20 minutes de bataille ; un front éloigné gagne/perd sans la caméra ; pas de duplication de forces</x:v>
      </x:c>
      <x:c r="F8" s="10" t="str">
        <x:v>P0</x:v>
      </x:c>
      <x:c r="G8" s="24" t="str">
        <x:v>À faire</x:v>
      </x:c>
    </x:row>
    <x:row r="9" ht="36" customHeight="1">
      <x:c r="A9" s="9" t="str">
        <x:v>LOT-2</x:v>
      </x:c>
      <x:c r="B9" s="9" t="str">
        <x:v>Factions et fidélité</x:v>
      </x:c>
      <x:c r="C9" s="9" t="str">
        <x:v>Profils d’époque/œuvre ; relations ; formations ; arsenaux ; boss autorisés par théâtre</x:v>
      </x:c>
      <x:c r="D9" s="9" t="str">
        <x:v>LOT-1</x:v>
      </x:c>
      <x:c r="E9" s="9" t="str">
        <x:v>Combinaisons interdites refusées ; reconstitution et scénario original clairement identifiés</x:v>
      </x:c>
      <x:c r="F9" s="9" t="str">
        <x:v>P1</x:v>
      </x:c>
      <x:c r="G9" s="24" t="str">
        <x:v>À faire</x:v>
      </x:c>
    </x:row>
    <x:row r="10" ht="36" customHeight="1">
      <x:c r="A10" s="10" t="str">
        <x:v>LOT-3</x:v>
      </x:c>
      <x:c r="B10" s="10" t="str">
        <x:v>Grands terrains variés</x:v>
      </x:c>
      <x:c r="C10" s="10" t="str">
        <x:v>Réseaux de voies, zones non uniformes, verticalité utile, streaming et objectifs localisés</x:v>
      </x:c>
      <x:c r="D10" s="10" t="str">
        <x:v>LOT-1 ; LOT-2</x:v>
      </x:c>
      <x:c r="E10" s="10" t="str">
        <x:v>Deux terrains pilotes, forêt/colonie et station ; navigation et sauvegarde cohérentes aux coutures</x:v>
      </x:c>
      <x:c r="F10" s="10" t="str">
        <x:v>P1</x:v>
      </x:c>
      <x:c r="G10" s="24" t="str">
        <x:v>À faire</x:v>
      </x:c>
    </x:row>
    <x:row r="11" ht="36" customHeight="1">
      <x:c r="A11" s="9" t="str">
        <x:v>LOT-4</x:v>
      </x:c>
      <x:c r="B11" s="9" t="str">
        <x:v>Boss et campagne</x:v>
      </x:c>
      <x:c r="C11" s="9" t="str">
        <x:v>Hiérarchie de chefs/élites/boss, événements d’opération, campagne à conséquences, coop sur deux axes</x:v>
      </x:c>
      <x:c r="D11" s="9" t="str">
        <x:v>LOT-2 ; LOT-3</x:v>
      </x:c>
      <x:c r="E11" s="9" t="str">
        <x:v>Victoire/défaite et secours final découlent des actions de bataille ; campagne reprenable</x:v>
      </x:c>
      <x:c r="F11" s="9" t="str">
        <x:v>P1</x:v>
      </x:c>
      <x:c r="G11" s="24" t="str">
        <x:v>À faire</x:v>
      </x:c>
    </x:row>
    <x:row r="12" ht="36" customHeight="1">
      <x:c r="A12" s="10" t="str">
        <x:v>LOT-5</x:v>
      </x:c>
      <x:c r="B12" s="10" t="str">
        <x:v>Montée en charge et complétion</x:v>
      </x:c>
      <x:c r="C12" s="10" t="str">
        <x:v>Paliers d’effectifs, profils matériels, déclinaisons des cartes, accessibilité et validation longue durée</x:v>
      </x:c>
      <x:c r="D12" s="10" t="str">
        <x:v>LOT-4</x:v>
      </x:c>
      <x:c r="E12" s="10" t="str">
        <x:v>Profilage sur machines nommées, session 60 minutes, coop, rechargement et budgets documentés</x:v>
      </x:c>
      <x:c r="F12" s="10" t="str">
        <x:v>P2</x:v>
      </x:c>
      <x:c r="G12" s="24" t="str">
        <x:v>À faire</x:v>
      </x:c>
    </x:row>
  </x:sheetData>
  <x:conditionalFormatting sqref="F7:F12">
    <x:cfRule type="cellIs" dxfId="25" priority="1" operator="equal">
      <x:formula>"P0"</x:formula>
    </x:cfRule>
    <x:cfRule type="cellIs" dxfId="26" priority="2" operator="equal">
      <x:formula>"P1"</x:formula>
    </x:cfRule>
    <x:cfRule type="cellIs" dxfId="27" priority="3" operator="equal">
      <x:formula>"P2"</x:formula>
    </x:cfRule>
  </x:conditionalFormatting>
  <x:dataValidations count="2">
    <x:dataValidation type="list" sqref="F7:F12">
      <x:formula1>"P0,P1,P2,P3"</x:formula1>
    </x:dataValidation>
    <x:dataValidation type="list" sqref="G7:G12">
      <x:formula1>"À faire,En cours,À valider,Terminé,Bloqué"</x:formula1>
    </x:dataValidation>
  </x:dataValidations>
  <x:pageMargins left="0.7" right="0.7" top="0.75" bottom="0.75" header="0.3" footer="0.3"/>
  <x:tableParts count="1">
    <x:tablePart xmlns:r="http://schemas.openxmlformats.org/officeDocument/2006/relationships" r:id="R2157a1ea035a47ad"/>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30" hidden="0" customWidth="1"/>
    <x:col min="3" max="3" width="45" hidden="0" customWidth="1"/>
    <x:col min="4" max="4" width="65" hidden="0" customWidth="1"/>
    <x:col min="5" max="5" width="65" hidden="0" customWidth="1"/>
    <x:col min="6" max="6" width="34" hidden="0" customWidth="1"/>
    <x:col min="7" max="7" width="85" hidden="0" customWidth="1"/>
    <x:col min="8" max="8" width="68" hidden="0" customWidth="1"/>
    <x:col min="9" max="9" width="70" hidden="0" customWidth="1"/>
  </x:cols>
  <x:sheetData>
    <x:row r="1" ht="12" customHeight="1">
      <x:c r="A1" s="3"/>
      <x:c r="B1" s="3"/>
      <x:c r="C1" s="3"/>
      <x:c r="D1" s="3"/>
      <x:c r="E1" s="3"/>
      <x:c r="F1" s="3"/>
      <x:c r="G1" s="3"/>
      <x:c r="H1" s="3"/>
      <x:c r="I1" s="3"/>
    </x:row>
    <x:row r="2" ht="29" customHeight="1">
      <x:c r="A2" s="4" t="str">
        <x:v>Versions, inventaire et limites de preuve</x:v>
      </x:c>
      <x:c r="B2" s="3"/>
      <x:c r="C2" s="3"/>
      <x:c r="D2" s="3"/>
      <x:c r="E2" s="3"/>
      <x:c r="F2" s="3"/>
      <x:c r="G2" s="3"/>
      <x:c r="H2" s="3"/>
      <x:c r="I2" s="3"/>
    </x:row>
    <x:row r="3" ht="8" customHeight="1">
      <x:c r="A3" s="5"/>
      <x:c r="B3" s="5"/>
      <x:c r="C3" s="5"/>
      <x:c r="D3" s="5"/>
      <x:c r="E3" s="5"/>
      <x:c r="F3" s="5"/>
      <x:c r="G3" s="5"/>
      <x:c r="H3" s="5"/>
      <x:c r="I3" s="5"/>
    </x:row>
    <x:row r="4">
      <x:c r="A4" s="6" t="str">
        <x:v>Valeurs du code et état de publication observés. n.a. signifie non mesuré, non relevé ou non applicable ; jamais zéro implicite.</x:v>
      </x:c>
      <x:c r="B4" s="3"/>
      <x:c r="C4" s="3"/>
      <x:c r="D4" s="3"/>
      <x:c r="E4" s="3"/>
      <x:c r="F4" s="3"/>
      <x:c r="G4" s="3"/>
      <x:c r="H4" s="3"/>
      <x:c r="I4" s="3"/>
    </x:row>
    <x:row r="5">
      <x:c r="A5" s="7" t="str">
        <x:v>73 lignes</x:v>
      </x:c>
      <x:c r="B5" s="3"/>
      <x:c r="C5" s="3"/>
      <x:c r="D5" s="3"/>
      <x:c r="E5" s="3"/>
      <x:c r="F5" s="3"/>
      <x:c r="G5" s="3"/>
      <x:c r="H5" s="3"/>
      <x:c r="I5" s="3"/>
    </x:row>
    <x:row r="6" ht="36" customHeight="1">
      <x:c r="A6" s="19" t="str">
        <x:v>ID</x:v>
      </x:c>
      <x:c r="B6" s="20" t="str">
        <x:v>Type de preuve</x:v>
      </x:c>
      <x:c r="C6" s="20" t="str">
        <x:v>Élément contrôlé</x:v>
      </x:c>
      <x:c r="D6" s="20" t="str">
        <x:v>Main / état principal</x:v>
      </x:c>
      <x:c r="E6" s="20" t="str">
        <x:v>Branche validée / autre état</x:v>
      </x:c>
      <x:c r="F6" s="20" t="str">
        <x:v>Unité / sens</x:v>
      </x:c>
      <x:c r="G6" s="20" t="str">
        <x:v>Portée et limites</x:v>
      </x:c>
      <x:c r="H6" s="20" t="str">
        <x:v>Preuve / référence</x:v>
      </x:c>
      <x:c r="I6" s="21" t="str">
        <x:v>URL</x:v>
      </x:c>
    </x:row>
    <x:row r="7" ht="36" customHeight="1">
      <x:c r="A7" s="9" t="str">
        <x:v>ETAT-001</x:v>
      </x:c>
      <x:c r="B7" s="9" t="str">
        <x:v>Version GitHub</x:v>
      </x:c>
      <x:c r="C7" s="9" t="str">
        <x:v>master</x:v>
      </x:c>
      <x:c r="D7" s="9" t="str">
        <x:v>f91562b86ef61c9ef7e65087b4beb109036f8dd8</x:v>
      </x:c>
      <x:c r="E7" s="9" t="str">
        <x:v>n.a.</x:v>
      </x:c>
      <x:c r="F7" s="9" t="str">
        <x:v>SHA Git</x:v>
      </x:c>
      <x:c r="G7" s="9" t="str">
        <x:v>Branche par défaut ancienne</x:v>
      </x:c>
      <x:c r="H7" s="9" t="str">
        <x:v>Référence observée le 2026-10-26</x:v>
      </x:c>
      <x:c r="I7" s="22" t="str">
        <x:v>https://github.com/darknigthmare/Yautja-hive-warriors/commit/f91562b86ef61c9ef7e65087b4beb109036f8dd8</x:v>
      </x:c>
    </x:row>
    <x:row r="8" ht="36" customHeight="1">
      <x:c r="A8" s="10" t="str">
        <x:v>ETAT-002</x:v>
      </x:c>
      <x:c r="B8" s="10" t="str">
        <x:v>Version GitHub</x:v>
      </x:c>
      <x:c r="C8" s="10" t="str">
        <x:v>main</x:v>
      </x:c>
      <x:c r="D8" s="10" t="str">
        <x:v>0f37cc52f9d83a4abecc17b80f7bfc67701677cf</x:v>
      </x:c>
      <x:c r="E8" s="10" t="str">
        <x:v>n.a.</x:v>
      </x:c>
      <x:c r="F8" s="10" t="str">
        <x:v>SHA Git</x:v>
      </x:c>
      <x:c r="G8" s="10" t="str">
        <x:v>Point d’arrêt de l’audit : v65.5, dix cartes ; Vercel QUEUED ; syntaxe locale bloquante</x:v>
      </x:c>
      <x:c r="H8" s="10" t="str">
        <x:v>Référence observée le 2026-10-26</x:v>
      </x:c>
      <x:c r="I8" s="23" t="str">
        <x:v>https://github.com/darknigthmare/Yautja-hive-warriors/commit/0f37cc52f9d83a4abecc17b80f7bfc67701677cf</x:v>
      </x:c>
    </x:row>
    <x:row r="9" ht="36" customHeight="1">
      <x:c r="A9" s="9" t="str">
        <x:v>ETAT-003</x:v>
      </x:c>
      <x:c r="B9" s="9" t="str">
        <x:v>Version GitHub</x:v>
      </x:c>
      <x:c r="C9" s="9" t="str">
        <x:v>codex/validated-gameplay-20261025</x:v>
      </x:c>
      <x:c r="D9" s="9" t="str">
        <x:v>1d52d9ff91dbe85c08256f44f8b72086ab65200a</x:v>
      </x:c>
      <x:c r="E9" s="9" t="str">
        <x:v>n.a.</x:v>
      </x:c>
      <x:c r="F9" s="9" t="str">
        <x:v>SHA Git</x:v>
      </x:c>
      <x:c r="G9" s="9" t="str">
        <x:v>Branche validée, possède architectures et modèles distincts</x:v>
      </x:c>
      <x:c r="H9" s="9" t="str">
        <x:v>Référence observée le 2026-10-26</x:v>
      </x:c>
      <x:c r="I9" s="22" t="str">
        <x:v>https://github.com/darknigthmare/Yautja-hive-warriors/commit/1d52d9ff91dbe85c08256f44f8b72086ab65200a</x:v>
      </x:c>
    </x:row>
    <x:row r="10" ht="36" customHeight="1">
      <x:c r="A10" s="10" t="str">
        <x:v>ETAT-004</x:v>
      </x:c>
      <x:c r="B10" s="10" t="str">
        <x:v>Version GitHub</x:v>
      </x:c>
      <x:c r="C10" s="10" t="str">
        <x:v>main à l’ouverture de l’audit</x:v>
      </x:c>
      <x:c r="D10" s="10" t="str">
        <x:v>5ca5b3451d331eed368e2cf22f4a2baa4bb1d585</x:v>
      </x:c>
      <x:c r="E10" s="10" t="str">
        <x:v>n.a.</x:v>
      </x:c>
      <x:c r="F10" s="10" t="str">
        <x:v>SHA Git</x:v>
      </x:c>
      <x:c r="G10" s="10" t="str">
        <x:v>v64 comparée puis audit différentiel v65</x:v>
      </x:c>
      <x:c r="H10" s="10" t="str">
        <x:v>Référence observée le 2026-10-26</x:v>
      </x:c>
      <x:c r="I10" s="23" t="str">
        <x:v>https://github.com/darknigthmare/Yautja-hive-warriors/commit/5ca5b3451d331eed368e2cf22f4a2baa4bb1d585</x:v>
      </x:c>
    </x:row>
    <x:row r="11" ht="36" customHeight="1">
      <x:c r="A11" s="9" t="str">
        <x:v>ETAT-005</x:v>
      </x:c>
      <x:c r="B11" s="9" t="str">
        <x:v>Production Vercel</x:v>
      </x:c>
      <x:c r="C11" s="9" t="str">
        <x:v>Alias public</x:v>
      </x:c>
      <x:c r="D11" s="9" t="str">
        <x:v>READY</x:v>
      </x:c>
      <x:c r="E11" s="9" t="n">
        <x:v>200</x:v>
      </x:c>
      <x:c r="F11" s="9" t="str">
        <x:v>état / HTTP</x:v>
      </x:c>
      <x:c r="G11" s="9" t="str">
        <x:v>Déploiement dpl_39FAHCh8Z68e8d6vHt4ZXg3ZSbaY, source cli. Métadonnées sans SHA Git prouvé.</x:v>
      </x:c>
      <x:c r="H11" s="9" t="str">
        <x:v>docs/qa/fidelity/vercel-delivery.json</x:v>
      </x:c>
      <x:c r="I11" s="22" t="str">
        <x:v>https://yautja-hive-warriors.vercel.app/</x:v>
      </x:c>
    </x:row>
    <x:row r="12" ht="49.5" customHeight="1">
      <x:c r="A12" s="10" t="str">
        <x:v>ETAT-006</x:v>
      </x:c>
      <x:c r="B12" s="10" t="str">
        <x:v>Production Vercel</x:v>
      </x:c>
      <x:c r="C12" s="10" t="str">
        <x:v>Empreinte HTML</x:v>
      </x:c>
      <x:c r="D12" s="10" t="str">
        <x:v>cb19eded36c19e20a5c50b94daad56d1d8550cf1c9ddff08df6d0167d7a03910</x:v>
      </x:c>
      <x:c r="E12" s="10" t="str">
        <x:v>/assets/index-CR9r5BJE.js</x:v>
      </x:c>
      <x:c r="F12" s="10" t="str">
        <x:v>SHA-256 / bundle</x:v>
      </x:c>
      <x:c r="G12" s="10" t="str">
        <x:v>L’empreinte HTML publique correspond au rapport de livraison de la branche validée. Ce rapprochement n’est pas une preuve de commit par métadonnées Vercel.</x:v>
      </x:c>
      <x:c r="H12" s="10" t="str">
        <x:v>docs/qa/fidelity/vercel-delivery.json</x:v>
      </x:c>
      <x:c r="I12" s="23" t="str">
        <x:v>https://github.com/darknigthmare/Yautja-hive-warriors/blob/1d52d9ff91dbe85c08256f44f8b72086ab65200a/docs/qa/fidelity/vercel-delivery.json</x:v>
      </x:c>
    </x:row>
    <x:row r="13" ht="49.5" customHeight="1">
      <x:c r="A13" s="9" t="str">
        <x:v>ETAT-007</x:v>
      </x:c>
      <x:c r="B13" s="9" t="str">
        <x:v>Production Vercel</x:v>
      </x:c>
      <x:c r="C13" s="9" t="str">
        <x:v>HTML public contrôlé</x:v>
      </x:c>
      <x:c r="D13" s="9" t="str">
        <x:v>cb19eded36c19e20a5c50b94daad56d1d8550cf1c9ddff08df6d0167d7a03910</x:v>
      </x:c>
      <x:c r="E13" s="9" t="n">
        <x:v>35309</x:v>
      </x:c>
      <x:c r="F13" s="9" t="str">
        <x:v>SHA-256 vérifié / octets</x:v>
      </x:c>
      <x:c r="G13" s="9" t="str">
        <x:v>HTTP 200, empreinte HTML exacte identique au rapport publié de la branche validée. Le déploiement CLI ne porte pas un SHA Git dans ses métadonnées. Combat non vérifié dans ce navigateur sans WebGL.</x:v>
      </x:c>
      <x:c r="H13" s="9" t="str">
        <x:v>Identique au rapport publié : oui</x:v>
      </x:c>
      <x:c r="I13" s="22" t="str">
        <x:v>https://yautja-hive-warriors.vercel.app/</x:v>
      </x:c>
    </x:row>
    <x:row r="14" ht="49.5" customHeight="1">
      <x:c r="A14" s="10" t="str">
        <x:v>ETAT-008</x:v>
      </x:c>
      <x:c r="B14" s="10" t="str">
        <x:v>Build récent</x:v>
      </x:c>
      <x:c r="C14" s="10" t="str">
        <x:v>Compilation main</x:v>
      </x:c>
      <x:c r="D14" s="10" t="str">
        <x:v>QUEUED</x:v>
      </x:c>
      <x:c r="E14" s="10" t="str">
        <x:v>0f37cc52f9d83a4abecc17b80f7bfc67701677cf</x:v>
      </x:c>
      <x:c r="F14" s="10" t="str">
        <x:v>état / SHA</x:v>
      </x:c>
      <x:c r="G14" s="10" t="str">
        <x:v>Résultat de build non disponible au contrôle. En local, node --check échoue dans main.js:3258 (isNearCrypt) et Environment.js:10689 (blueLight). Le dernier build terminé inspecté, v65 f1a503c, était ERROR.</x:v>
      </x:c>
      <x:c r="H14" s="10" t="str">
        <x:v>dpl_EajNYsgsBjjTmTHGUE1Wm6rPTggR</x:v>
      </x:c>
      <x:c r="I14" s="23" t="str">
        <x:v>https://vercel.com/darknigthmares-projects/yautja-hive-warriors/EajNYsgsBjjTmTHGUE1Wm6rPTggR</x:v>
      </x:c>
    </x:row>
    <x:row r="15" ht="36" customHeight="1">
      <x:c r="A15" s="9" t="str">
        <x:v>ETAT-009</x:v>
      </x:c>
      <x:c r="B15" s="9" t="str">
        <x:v>Historique de builds</x:v>
      </x:c>
      <x:c r="C15" s="9" t="str">
        <x:v>Build terminé f1a503c43596</x:v>
      </x:c>
      <x:c r="D15" s="9" t="str">
        <x:v>ERROR</x:v>
      </x:c>
      <x:c r="E15" s="9" t="str">
        <x:v>f1a503c435962777de78cbbfcdb343e25954602c</x:v>
      </x:c>
      <x:c r="F15" s="9" t="str">
        <x:v>état / SHA</x:v>
      </x:c>
      <x:c r="G15" s="9" t="str">
        <x:v>js/main.js (3254:12): Identifier isNearCrypt has already been declared</x:v>
      </x:c>
      <x:c r="H15" s="9" t="str">
        <x:v>dpl_6acNdggyWabN5EVPsCB2E8Z8rSFk</x:v>
      </x:c>
      <x:c r="I15" s="22" t="str">
        <x:v>https://vercel.com/darknigthmares-projects/yautja-hive-warriors/6acNdggyWabN5EVPsCB2E8Z8rSFk</x:v>
      </x:c>
    </x:row>
    <x:row r="16" ht="36" customHeight="1">
      <x:c r="A16" s="10" t="str">
        <x:v>ETAT-010</x:v>
      </x:c>
      <x:c r="B16" s="10" t="str">
        <x:v>Historique de builds</x:v>
      </x:c>
      <x:c r="C16" s="10" t="str">
        <x:v>Build terminé 5ca5b3451d33</x:v>
      </x:c>
      <x:c r="D16" s="10" t="str">
        <x:v>ERROR</x:v>
      </x:c>
      <x:c r="E16" s="10" t="str">
        <x:v>5ca5b3451d331eed368e2cf22f4a2baa4bb1d585</x:v>
      </x:c>
      <x:c r="F16" s="10" t="str">
        <x:v>état / SHA</x:v>
      </x:c>
      <x:c r="G16" s="10" t="str">
        <x:v>js/main.js (3238:12): Identifier isNearCrypt has already been declared</x:v>
      </x:c>
      <x:c r="H16" s="10" t="str">
        <x:v>dpl_GZmA96maTnibiBveo1Y5rLVpVHWv</x:v>
      </x:c>
      <x:c r="I16" s="23" t="str">
        <x:v>https://vercel.com/darknigthmares-projects/yautja-hive-warriors/GZmA96maTnibiBveo1Y5rLVpVHWv</x:v>
      </x:c>
    </x:row>
    <x:row r="17" ht="36" customHeight="1">
      <x:c r="A17" s="9" t="str">
        <x:v>ETAT-011</x:v>
      </x:c>
      <x:c r="B17" s="9" t="str">
        <x:v>Navigateur</x:v>
      </x:c>
      <x:c r="C17" s="9" t="str">
        <x:v>Menu de production</x:v>
      </x:c>
      <x:c r="D17" s="9" t="str">
        <x:v>Visible</x:v>
      </x:c>
      <x:c r="E17" s="9" t="str">
        <x:v>Non exécuté</x:v>
      </x:c>
      <x:c r="F17" s="9" t="str">
        <x:v>menu / test de combat</x:v>
      </x:c>
      <x:c r="G17" s="9" t="str">
        <x:v>WebGL indisponible dans la session cloud (GL_VENDOR et GL_RENDERER Disabled). Impossible de valider le combat/FPS ici. Ne prouve pas un défaut du jeu sur PC.</x:v>
      </x:c>
      <x:c r="H17" s="9" t="str">
        <x:v>HIVE WARRIORS — La chasse commence</x:v>
      </x:c>
      <x:c r="I17" s="22" t="str">
        <x:v>https://yautja-hive-warriors.vercel.app/</x:v>
      </x:c>
    </x:row>
    <x:row r="18" ht="63" customHeight="1">
      <x:c r="A18" s="10" t="str">
        <x:v>ETAT-012</x:v>
      </x:c>
      <x:c r="B18" s="10" t="str">
        <x:v>Mesure de code</x:v>
      </x:c>
      <x:c r="C18" s="10" t="str">
        <x:v>Cartes déclarées</x:v>
      </x:c>
      <x:c r="D18" s="10" t="n">
        <x:v>10</x:v>
      </x:c>
      <x:c r="E18" s="10" t="n">
        <x:v>6</x:v>
      </x:c>
      <x:c r="F18" s="10" t="str">
        <x:v>cartes</x:v>
      </x:c>
      <x:c r="G18" s="10" t="str">
        <x:v>Lecture statique, pas une mesure de performance en session.</x:v>
      </x:c>
      <x:c r="H18" s="10" t="str">
        <x:v>0f37cc52f9d8 : js/data/levelsData.js : lignes 3-184
1d52d9ff91db : js/data/BattlefieldLayouts.js : lignes 4-19</x:v>
      </x:c>
      <x:c r="I18" s="23" t="str">
        <x:v>https://github.com/darknigthmare/Yautja-hive-warriors/blob/0f37cc52f9d83a4abecc17b80f7bfc67701677cf/js/data/levelsData.js#L3-L184
https://github.com/darknigthmare/Yautja-hive-warriors/blob/1d52d9ff91dbe85c08256f44f8b72086ab65200a/js/data/BattlefieldLayouts.js#L4-L19</x:v>
      </x:c>
    </x:row>
    <x:row r="19" ht="63" customHeight="1">
      <x:c r="A19" s="9" t="str">
        <x:v>ETAT-013</x:v>
      </x:c>
      <x:c r="B19" s="9" t="str">
        <x:v>Mesure de code</x:v>
      </x:c>
      <x:c r="C19" s="9" t="str">
        <x:v>Personnages sélectionnables déclarés</x:v>
      </x:c>
      <x:c r="D19" s="9" t="n">
        <x:v>7</x:v>
      </x:c>
      <x:c r="E19" s="9" t="n">
        <x:v>7</x:v>
      </x:c>
      <x:c r="F19" s="9" t="str">
        <x:v>personnages</x:v>
      </x:c>
      <x:c r="G19" s="9" t="str">
        <x:v>Présence dans registre; fonctionnement intégral non certifié.</x:v>
      </x:c>
      <x:c r="H19" s="9" t="str">
        <x:v>0f37cc52f9d8 : js/data/charactersData.js : lignes 3-162
0f37cc52f9d8 : js/ui/LoadoutScreen.js : lignes 1-64</x:v>
      </x:c>
      <x:c r="I19" s="22" t="str">
        <x:v>https://github.com/darknigthmare/Yautja-hive-warriors/blob/0f37cc52f9d83a4abecc17b80f7bfc67701677cf/js/data/charactersData.js#L3-L162
https://github.com/darknigthmare/Yautja-hive-warriors/blob/0f37cc52f9d83a4abecc17b80f7bfc67701677cf/js/ui/LoadoutScreen.js#L1-L64</x:v>
      </x:c>
    </x:row>
    <x:row r="20" ht="63" customHeight="1">
      <x:c r="A20" s="10" t="str">
        <x:v>ETAT-014</x:v>
      </x:c>
      <x:c r="B20" s="10" t="str">
        <x:v>Mesure de code</x:v>
      </x:c>
      <x:c r="C20" s="10" t="str">
        <x:v>Entrées du catalogue d’armurerie main</x:v>
      </x:c>
      <x:c r="D20" s="10" t="n">
        <x:v>36</x:v>
      </x:c>
      <x:c r="E20" s="10" t="str">
        <x:v>n.a.</x:v>
      </x:c>
      <x:c r="F20" s="10" t="str">
        <x:v>entrées de catalogue</x:v>
      </x:c>
      <x:c r="G20" s="10" t="str">
        <x:v>Pas 36 armes entièrement testées; inclut gadgets et équipements.</x:v>
      </x:c>
      <x:c r="H20" s="10" t="str">
        <x:v>0f37cc52f9d8 : js/data/charactersData.js : lignes 3-162
0f37cc52f9d8 : js/ui/LoadoutScreen.js : lignes 1-64</x:v>
      </x:c>
      <x:c r="I20" s="23" t="str">
        <x:v>https://github.com/darknigthmare/Yautja-hive-warriors/blob/0f37cc52f9d83a4abecc17b80f7bfc67701677cf/js/data/charactersData.js#L3-L162
https://github.com/darknigthmare/Yautja-hive-warriors/blob/0f37cc52f9d83a4abecc17b80f7bfc67701677cf/js/ui/LoadoutScreen.js#L1-L64</x:v>
      </x:c>
    </x:row>
    <x:row r="21" ht="76.5" customHeight="1">
      <x:c r="A21" s="9" t="str">
        <x:v>ETAT-015</x:v>
      </x:c>
      <x:c r="B21" s="9" t="str">
        <x:v>Mesure de code</x:v>
      </x:c>
      <x:c r="C21" s="9" t="str">
        <x:v>Sol main</x:v>
      </x:c>
      <x:c r="D21" s="9" t="str">
        <x:v>150 × 150</x:v>
      </x:c>
      <x:c r="E21" s="9" t="str">
        <x:v>n.a.</x:v>
      </x:c>
      <x:c r="F21" s="9" t="str">
        <x:v>unités de jeu</x:v>
      </x:c>
      <x:c r="G21" s="9" t="str">
        <x:v>Commentaire 120 × 120 obsolète; valeur géométrique 150 × 150.</x:v>
      </x:c>
      <x:c r="H21" s="9" t="str">
        <x:v>0f37cc52f9d8 : js/entities/Environment.js : lignes 947-1042
1d52d9ff91db : js/data/BattlefieldLayouts.js : lignes 1-61</x:v>
      </x:c>
      <x:c r="I21" s="22" t="str">
        <x:v>https://github.com/darknigthmare/Yautja-hive-warriors/blob/0f37cc52f9d83a4abecc17b80f7bfc67701677cf/js/entities/Environment.js#L947-L1042
https://github.com/darknigthmare/Yautja-hive-warriors/blob/1d52d9ff91dbe85c08256f44f8b72086ab65200a/js/data/BattlefieldLayouts.js#L1-L61</x:v>
      </x:c>
    </x:row>
    <x:row r="22" ht="76.5" customHeight="1">
      <x:c r="A22" s="10" t="str">
        <x:v>ETAT-016</x:v>
      </x:c>
      <x:c r="B22" s="10" t="str">
        <x:v>Mesure de code</x:v>
      </x:c>
      <x:c r="C22" s="10" t="str">
        <x:v>Secteurs par biome validé</x:v>
      </x:c>
      <x:c r="D22" s="10" t="n">
        <x:v>1</x:v>
      </x:c>
      <x:c r="E22" s="10" t="n">
        <x:v>6</x:v>
      </x:c>
      <x:c r="F22" s="10" t="str">
        <x:v>secteurs/arène</x:v>
      </x:c>
      <x:c r="G22" s="10" t="str">
        <x:v>main a une enceinte; validated a 6 territoires.</x:v>
      </x:c>
      <x:c r="H22" s="10" t="str">
        <x:v>0f37cc52f9d8 : js/entities/Environment.js : lignes 947-1042
1d52d9ff91db : js/data/BattlefieldLayouts.js : lignes 1-61</x:v>
      </x:c>
      <x:c r="I22" s="23" t="str">
        <x:v>https://github.com/darknigthmare/Yautja-hive-warriors/blob/0f37cc52f9d83a4abecc17b80f7bfc67701677cf/js/entities/Environment.js#L947-L1042
https://github.com/darknigthmare/Yautja-hive-warriors/blob/1d52d9ff91dbe85c08256f44f8b72086ab65200a/js/data/BattlefieldLayouts.js#L1-L61</x:v>
      </x:c>
    </x:row>
    <x:row r="23" ht="76.5" customHeight="1">
      <x:c r="A23" s="9" t="str">
        <x:v>ETAT-017</x:v>
      </x:c>
      <x:c r="B23" s="9" t="str">
        <x:v>Mesure de code</x:v>
      </x:c>
      <x:c r="C23" s="9" t="str">
        <x:v>Secteur validé</x:v>
      </x:c>
      <x:c r="D23" s="9" t="str">
        <x:v>n.a.</x:v>
      </x:c>
      <x:c r="E23" s="9" t="str">
        <x:v>132 × 132</x:v>
      </x:c>
      <x:c r="F23" s="9" t="str">
        <x:v>unités de jeu</x:v>
      </x:c>
      <x:c r="G23" s="9" t="str">
        <x:v>Lecture statique, pas une mesure de performance en session.</x:v>
      </x:c>
      <x:c r="H23" s="9" t="str">
        <x:v>0f37cc52f9d8 : js/entities/Environment.js : lignes 947-1042
1d52d9ff91db : js/data/BattlefieldLayouts.js : lignes 1-61</x:v>
      </x:c>
      <x:c r="I23" s="22" t="str">
        <x:v>https://github.com/darknigthmare/Yautja-hive-warriors/blob/0f37cc52f9d83a4abecc17b80f7bfc67701677cf/js/entities/Environment.js#L947-L1042
https://github.com/darknigthmare/Yautja-hive-warriors/blob/1d52d9ff91dbe85c08256f44f8b72086ab65200a/js/data/BattlefieldLayouts.js#L1-L61</x:v>
      </x:c>
    </x:row>
    <x:row r="24" ht="76.5" customHeight="1">
      <x:c r="A24" s="10" t="str">
        <x:v>ETAT-018</x:v>
      </x:c>
      <x:c r="B24" s="10" t="str">
        <x:v>Mesure de code</x:v>
      </x:c>
      <x:c r="C24" s="10" t="str">
        <x:v>Empreinte validée</x:v>
      </x:c>
      <x:c r="D24" s="10" t="str">
        <x:v>n.a.</x:v>
      </x:c>
      <x:c r="E24" s="10" t="str">
        <x:v>302 × 642 ou 642 × 302</x:v>
      </x:c>
      <x:c r="F24" s="10" t="str">
        <x:v>unités de jeu</x:v>
      </x:c>
      <x:c r="G24" s="10" t="str">
        <x:v>Boîte englobante, pas surface intégralement parcourable.</x:v>
      </x:c>
      <x:c r="H24" s="10" t="str">
        <x:v>0f37cc52f9d8 : js/entities/Environment.js : lignes 947-1042
1d52d9ff91db : js/data/BattlefieldLayouts.js : lignes 1-61</x:v>
      </x:c>
      <x:c r="I24" s="23" t="str">
        <x:v>https://github.com/darknigthmare/Yautja-hive-warriors/blob/0f37cc52f9d83a4abecc17b80f7bfc67701677cf/js/entities/Environment.js#L947-L1042
https://github.com/darknigthmare/Yautja-hive-warriors/blob/1d52d9ff91dbe85c08256f44f8b72086ab65200a/js/data/BattlefieldLayouts.js#L1-L61</x:v>
      </x:c>
    </x:row>
    <x:row r="25" ht="76.5" customHeight="1">
      <x:c r="A25" s="9" t="str">
        <x:v>ETAT-019</x:v>
      </x:c>
      <x:c r="B25" s="9" t="str">
        <x:v>Mesure de code</x:v>
      </x:c>
      <x:c r="C25" s="9" t="str">
        <x:v>Largeur des passages validés</x:v>
      </x:c>
      <x:c r="D25" s="9" t="str">
        <x:v>n.a.</x:v>
      </x:c>
      <x:c r="E25" s="9" t="n">
        <x:v>18</x:v>
      </x:c>
      <x:c r="F25" s="9" t="str">
        <x:v>unités de jeu</x:v>
      </x:c>
      <x:c r="G25" s="9" t="str">
        <x:v>Lecture statique, pas une mesure de performance en session.</x:v>
      </x:c>
      <x:c r="H25" s="9" t="str">
        <x:v>0f37cc52f9d8 : js/entities/Environment.js : lignes 947-1042
1d52d9ff91db : js/data/BattlefieldLayouts.js : lignes 1-61</x:v>
      </x:c>
      <x:c r="I25" s="22" t="str">
        <x:v>https://github.com/darknigthmare/Yautja-hive-warriors/blob/0f37cc52f9d83a4abecc17b80f7bfc67701677cf/js/entities/Environment.js#L947-L1042
https://github.com/darknigthmare/Yautja-hive-warriors/blob/1d52d9ff91dbe85c08256f44f8b72086ab65200a/js/data/BattlefieldLayouts.js#L1-L61</x:v>
      </x:c>
    </x:row>
    <x:row r="26" ht="117" customHeight="1">
      <x:c r="A26" s="10" t="str">
        <x:v>ETAT-020</x:v>
      </x:c>
      <x:c r="B26" s="10" t="str">
        <x:v>Mesure de code</x:v>
      </x:c>
      <x:c r="C26" s="10" t="str">
        <x:v>Population de base initiale main</x:v>
      </x:c>
      <x:c r="D26" s="10" t="n">
        <x:v>55</x:v>
      </x:c>
      <x:c r="E26" s="10" t="str">
        <x:v>n.a.</x:v>
      </x:c>
      <x:c r="F26" s="10" t="str">
        <x:v>agents de la boucle standard</x:v>
      </x:c>
      <x:c r="G26" s="10" t="str">
        <x:v>S’ajoutent 14 aliens spéciaux, 2 parasites royaux, 3 volants et 1 groupe de micro-unités, plus 6 œufs.</x:v>
      </x:c>
      <x:c r="H26" s="10" t="str">
        <x:v>0f37cc52f9d8 : js/entities/XenomorphHorde.js : lignes 81-188
0f37cc52f9d8 : js/main.js : lignes 1240-1243
1d52d9ff91db : js/entities/XenomorphHorde.js : lignes 74-181</x:v>
      </x:c>
      <x:c r="I26"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7" ht="117" customHeight="1">
      <x:c r="A27" s="9" t="str">
        <x:v>ETAT-021</x:v>
      </x:c>
      <x:c r="B27" s="9" t="str">
        <x:v>Mesure de code</x:v>
      </x:c>
      <x:c r="C27" s="9" t="str">
        <x:v>Population aliens initiale main</x:v>
      </x:c>
      <x:c r="D27" s="9" t="n">
        <x:v>69</x:v>
      </x:c>
      <x:c r="E27" s="9" t="str">
        <x:v>n.a.</x:v>
      </x:c>
      <x:c r="F27" s="9" t="str">
        <x:v>agents dans aliens</x:v>
      </x:c>
      <x:c r="G27" s="9" t="str">
        <x:v>55 standards + 14 spéciaux. Ce total exclut les listes secondaires et les soutiens.</x:v>
      </x:c>
      <x:c r="H27" s="9" t="str">
        <x:v>0f37cc52f9d8 : js/entities/XenomorphHorde.js : lignes 81-188
0f37cc52f9d8 : js/main.js : lignes 1240-1243
1d52d9ff91db : js/entities/XenomorphHorde.js : lignes 74-181</x:v>
      </x:c>
      <x:c r="I27"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8" ht="117" customHeight="1">
      <x:c r="A28" s="10" t="str">
        <x:v>ETAT-022</x:v>
      </x:c>
      <x:c r="B28" s="10" t="str">
        <x:v>Mesure de code</x:v>
      </x:c>
      <x:c r="C28" s="10" t="str">
        <x:v>Unités hostiles autonomes initiales main hors œufs</x:v>
      </x:c>
      <x:c r="D28" s="10" t="n">
        <x:v>75</x:v>
      </x:c>
      <x:c r="E28" s="10" t="str">
        <x:v>n.a.</x:v>
      </x:c>
      <x:c r="F28" s="10" t="str">
        <x:v>agents/groupes</x:v>
      </x:c>
      <x:c r="G28" s="10" t="str">
        <x:v>69 aliens + 2 royalFacehuggers + 3 mantaSwarmers + 1 microSwarm. La micro-nuée est 1 groupe de 12 visuels; pas 12 agents indépendants.</x:v>
      </x:c>
      <x:c r="H28" s="10" t="str">
        <x:v>0f37cc52f9d8 : js/entities/XenomorphHorde.js : lignes 81-188
0f37cc52f9d8 : js/main.js : lignes 1240-1243
1d52d9ff91db : js/entities/XenomorphHorde.js : lignes 74-181</x:v>
      </x:c>
      <x:c r="I28"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29" ht="90" customHeight="1">
      <x:c r="A29" s="9" t="str">
        <x:v>ETAT-023</x:v>
      </x:c>
      <x:c r="B29" s="9" t="str">
        <x:v>Mesure de code</x:v>
      </x:c>
      <x:c r="C29" s="9" t="str">
        <x:v>Alliés Yautja au départ</x:v>
      </x:c>
      <x:c r="D29" s="9" t="n">
        <x:v>3</x:v>
      </x:c>
      <x:c r="E29" s="9" t="n">
        <x:v>0</x:v>
      </x:c>
      <x:c r="F29" s="9" t="str">
        <x:v>agents</x:v>
      </x:c>
      <x:c r="G29" s="9" t="str">
        <x:v>Branche validée : 0 à l’insertion, 1 dans les secteurs suivants, 3 en sandbox.</x:v>
      </x:c>
      <x:c r="H29" s="9" t="str">
        <x:v>0f37cc52f9d8 : js/entities/YautjaAllies.js : lignes 98-173
1d52d9ff91db : js/entities/YautjaAllies.js : lignes 14-87
1d52d9ff91db : js/main.js : lignes 921-949</x:v>
      </x:c>
      <x:c r="I29" s="22" t="str">
        <x:v>https://github.com/darknigthmare/Yautja-hive-warriors/blob/0f37cc52f9d83a4abecc17b80f7bfc67701677cf/js/entities/YautjaAllies.js#L98-L173
https://github.com/darknigthmare/Yautja-hive-warriors/blob/1d52d9ff91dbe85c08256f44f8b72086ab65200a/js/entities/YautjaAllies.js#L14-L87
https://github.com/darknigthmare/Yautja-hive-warriors/blob/1d52d9ff91dbe85c08256f44f8b72086ab65200a/js/main.js#L921-L949</x:v>
      </x:c>
    </x:row>
    <x:row r="30" ht="103.5" customHeight="1">
      <x:c r="A30" s="10" t="str">
        <x:v>ETAT-024</x:v>
      </x:c>
      <x:c r="B30" s="10" t="str">
        <x:v>Mesure de code</x:v>
      </x:c>
      <x:c r="C30" s="10" t="str">
        <x:v>Marines au départ</x:v>
      </x:c>
      <x:c r="D30" s="10" t="n">
        <x:v>4</x:v>
      </x:c>
      <x:c r="E30" s="10" t="n">
        <x:v>0</x:v>
      </x:c>
      <x:c r="F30" s="10" t="str">
        <x:v>agents</x:v>
      </x:c>
      <x:c r="G30" s="10" t="str">
        <x:v>Faction tierce, pas des alliés garantis. Branche validée : 2 après l’insertion.</x:v>
      </x:c>
      <x:c r="H30" s="10" t="str">
        <x:v>0f37cc52f9d8 : js/entities/ColonialMarines.js : lignes 132-257
0f37cc52f9d8 : js/entities/Synthetics.js : lignes 285-357
1d52d9ff91db : js/main.js : lignes 921-945</x:v>
      </x:c>
      <x:c r="I30" s="23"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row>
    <x:row r="31" ht="103.5" customHeight="1">
      <x:c r="A31" s="9" t="str">
        <x:v>ETAT-025</x:v>
      </x:c>
      <x:c r="B31" s="9" t="str">
        <x:v>Mesure de code</x:v>
      </x:c>
      <x:c r="C31" s="9" t="str">
        <x:v>Synthétiques au départ</x:v>
      </x:c>
      <x:c r="D31" s="9" t="n">
        <x:v>3</x:v>
      </x:c>
      <x:c r="E31" s="9" t="n">
        <x:v>0</x:v>
      </x:c>
      <x:c r="F31" s="9" t="str">
        <x:v>agents</x:v>
      </x:c>
      <x:c r="G31" s="9" t="str">
        <x:v>Faction tierce. Branche validée : 2 après l’insertion.</x:v>
      </x:c>
      <x:c r="H31" s="9" t="str">
        <x:v>0f37cc52f9d8 : js/entities/ColonialMarines.js : lignes 132-257
0f37cc52f9d8 : js/entities/Synthetics.js : lignes 285-357
1d52d9ff91db : js/main.js : lignes 921-945</x:v>
      </x:c>
      <x:c r="I31" s="22" t="str">
        <x:v>https://github.com/darknigthmare/Yautja-hive-warriors/blob/0f37cc52f9d83a4abecc17b80f7bfc67701677cf/js/entities/ColonialMarines.js#L132-L257
https://github.com/darknigthmare/Yautja-hive-warriors/blob/0f37cc52f9d83a4abecc17b80f7bfc67701677cf/js/entities/Synthetics.js#L285-L357
https://github.com/darknigthmare/Yautja-hive-warriors/blob/1d52d9ff91dbe85c08256f44f8b72086ab65200a/js/main.js#L921-L945</x:v>
      </x:c>
    </x:row>
    <x:row r="32" ht="130.5" customHeight="1">
      <x:c r="A32" s="10" t="str">
        <x:v>ETAT-026</x:v>
      </x:c>
      <x:c r="B32" s="10" t="str">
        <x:v>Mesure de code</x:v>
      </x:c>
      <x:c r="C32" s="10" t="str">
        <x:v>Sarii recrutable dans Prey</x:v>
      </x:c>
      <x:c r="D32" s="10" t="n">
        <x:v>1</x:v>
      </x:c>
      <x:c r="E32" s="10" t="n">
        <x:v>0</x:v>
      </x:c>
      <x:c r="F32" s="10" t="str">
        <x:v>compagnonne optionnelle</x:v>
      </x:c>
      <x:c r="G32" s="10" t="str">
        <x:v>Inactive avant recrutement ; ne remplace pas les 3 alliés Yautja initiaux. Suivi et dégâts de proximité présents dans le code v65.5, sans PV ni ordres propres. Fonctionnement en partie non certifié.</x:v>
      </x:c>
      <x:c r="H32" s="10" t="str">
        <x:v>0f37cc52f9d8 : js/entities/Environment.js : lignes 15359-15390
0f37cc52f9d8 : js/entities/Environment.js : lignes 14138-14155
0f37cc52f9d8 : js/entities/Environment.js : lignes 15619-15635</x:v>
      </x:c>
      <x:c r="I32" s="23" t="str">
        <x:v>https://github.com/darknigthmare/Yautja-hive-warriors/blob/0f37cc52f9d83a4abecc17b80f7bfc67701677cf/js/entities/Environment.js#L15359-L15390
https://github.com/darknigthmare/Yautja-hive-warriors/blob/0f37cc52f9d83a4abecc17b80f7bfc67701677cf/js/entities/Environment.js#L14138-L14155
https://github.com/darknigthmare/Yautja-hive-warriors/blob/0f37cc52f9d83a4abecc17b80f7bfc67701677cf/js/entities/Environment.js#L15619-L15635</x:v>
      </x:c>
    </x:row>
    <x:row r="33" ht="117" customHeight="1">
      <x:c r="A33" s="9" t="str">
        <x:v>ETAT-027</x:v>
      </x:c>
      <x:c r="B33" s="9" t="str">
        <x:v>Mesure de code</x:v>
      </x:c>
      <x:c r="C33" s="9" t="str">
        <x:v>Renfort standard main</x:v>
      </x:c>
      <x:c r="D33" s="9" t="str">
        <x:v>45 + 15 × numéro de vague</x:v>
      </x:c>
      <x:c r="E33" s="9" t="str">
        <x:v>n.a.</x:v>
      </x:c>
      <x:c r="F33" s="9" t="str">
        <x:v>agents de base</x:v>
      </x:c>
      <x:c r="G33" s="9" t="str">
        <x:v>Sans plafond explicite en survie; lot de spéciaux en supplément.</x:v>
      </x:c>
      <x:c r="H33" s="9" t="str">
        <x:v>0f37cc52f9d8 : js/entities/XenomorphHorde.js : lignes 81-188
0f37cc52f9d8 : js/main.js : lignes 1240-1243
1d52d9ff91db : js/entities/XenomorphHorde.js : lignes 74-181</x:v>
      </x:c>
      <x:c r="I33"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4" ht="117" customHeight="1">
      <x:c r="A34" s="10" t="str">
        <x:v>ETAT-028</x:v>
      </x:c>
      <x:c r="B34" s="10" t="str">
        <x:v>Mesure de code</x:v>
      </x:c>
      <x:c r="C34" s="10" t="str">
        <x:v>Quota maximal de rencontre validé</x:v>
      </x:c>
      <x:c r="D34" s="10" t="str">
        <x:v>n.a.</x:v>
      </x:c>
      <x:c r="E34" s="10" t="n">
        <x:v>200</x:v>
      </x:c>
      <x:c r="F34" s="10" t="str">
        <x:v>aliens + file</x:v>
      </x:c>
      <x:c r="G34" s="10" t="str">
        <x:v>Plafond de configuration, pas mesure de 200 agents actifs performants.</x:v>
      </x:c>
      <x:c r="H34" s="10" t="str">
        <x:v>0f37cc52f9d8 : js/entities/XenomorphHorde.js : lignes 81-188
0f37cc52f9d8 : js/main.js : lignes 1240-1243
1d52d9ff91db : js/entities/XenomorphHorde.js : lignes 74-181</x:v>
      </x:c>
      <x:c r="I34" s="23"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5" ht="117" customHeight="1">
      <x:c r="A35" s="9" t="str">
        <x:v>ETAT-029</x:v>
      </x:c>
      <x:c r="B35" s="9" t="str">
        <x:v>Mesure de code</x:v>
      </x:c>
      <x:c r="C35" s="9" t="str">
        <x:v>Spawn initial validé avec directeur</x:v>
      </x:c>
      <x:c r="D35" s="9" t="str">
        <x:v>n.a.</x:v>
      </x:c>
      <x:c r="E35" s="9" t="n">
        <x:v>6</x:v>
      </x:c>
      <x:c r="F35" s="9" t="str">
        <x:v>aliens</x:v>
      </x:c>
      <x:c r="G35" s="9" t="str">
        <x:v>Lecture statique, pas une mesure de performance en session.</x:v>
      </x:c>
      <x:c r="H35" s="9" t="str">
        <x:v>0f37cc52f9d8 : js/entities/XenomorphHorde.js : lignes 81-188
0f37cc52f9d8 : js/main.js : lignes 1240-1243
1d52d9ff91db : js/entities/XenomorphHorde.js : lignes 74-181</x:v>
      </x:c>
      <x:c r="I35" s="22" t="str">
        <x:v>https://github.com/darknigthmare/Yautja-hive-warriors/blob/0f37cc52f9d83a4abecc17b80f7bfc67701677cf/js/entities/XenomorphHorde.js#L81-L188
https://github.com/darknigthmare/Yautja-hive-warriors/blob/0f37cc52f9d83a4abecc17b80f7bfc67701677cf/js/main.js#L1240-L1243
https://github.com/darknigthmare/Yautja-hive-warriors/blob/1d52d9ff91dbe85c08256f44f8b72086ab65200a/js/entities/XenomorphHorde.js#L74-L181</x:v>
      </x:c>
    </x:row>
    <x:row r="36" ht="49.5" customHeight="1">
      <x:c r="A36" s="10" t="str">
        <x:v>ETAT-030</x:v>
      </x:c>
      <x:c r="B36" s="10" t="str">
        <x:v>Mesure de code</x:v>
      </x:c>
      <x:c r="C36" s="10" t="str">
        <x:v>Lot de renfort validé</x:v>
      </x:c>
      <x:c r="D36" s="10" t="str">
        <x:v>n.a.</x:v>
      </x:c>
      <x:c r="E36" s="10" t="n">
        <x:v>4</x:v>
      </x:c>
      <x:c r="F36" s="10" t="str">
        <x:v>aliens toutes les 3 secondes</x:v>
      </x:c>
      <x:c r="G36" s="10" t="str">
        <x:v>Après délai de grâce, sous réserve de positions sûres.</x:v>
      </x:c>
      <x:c r="H36" s="10" t="str">
        <x:v>1d52d9ff91db : js/entities/XenomorphHorde.js : lignes 511-520</x:v>
      </x:c>
      <x:c r="I36" s="23" t="str">
        <x:v>https://github.com/darknigthmare/Yautja-hive-warriors/blob/1d52d9ff91dbe85c08256f44f8b72086ab65200a/js/entities/XenomorphHorde.js#L511-L520</x:v>
      </x:c>
    </x:row>
    <x:row r="37" ht="36" customHeight="1">
      <x:c r="A37" s="9" t="str">
        <x:v>ETAT-031</x:v>
      </x:c>
      <x:c r="B37" s="9" t="str">
        <x:v>Mesure de code</x:v>
      </x:c>
      <x:c r="C37" s="9" t="str">
        <x:v>Engagements rapprochés validés</x:v>
      </x:c>
      <x:c r="D37" s="9" t="str">
        <x:v>n.a.</x:v>
      </x:c>
      <x:c r="E37" s="9" t="n">
        <x:v>3</x:v>
      </x:c>
      <x:c r="F37" s="9" t="str">
        <x:v>attaquants par joueur</x:v>
      </x:c>
      <x:c r="G37" s="9" t="str">
        <x:v>Écart d’impacts par défaut 0,7 s; conception de lisibilité, pas capacité totale de foule.</x:v>
      </x:c>
      <x:c r="H37" s="9" t="str">
        <x:v>1d52d9ff91db : js/engine/CombatDirector.js : lignes 3-5</x:v>
      </x:c>
      <x:c r="I37" s="22" t="str">
        <x:v>https://github.com/darknigthmare/Yautja-hive-warriors/blob/1d52d9ff91dbe85c08256f44f8b72086ab65200a/js/engine/CombatDirector.js#L3-L5</x:v>
      </x:c>
    </x:row>
    <x:row r="38" ht="103.5" customHeight="1">
      <x:c r="A38" s="10" t="str">
        <x:v>ETAT-032</x:v>
      </x:c>
      <x:c r="B38" s="10" t="str">
        <x:v>Mesure de code</x:v>
      </x:c>
      <x:c r="C38" s="10" t="str">
        <x:v>Boss principal simultané</x:v>
      </x:c>
      <x:c r="D38" s="10" t="n">
        <x:v>1</x:v>
      </x:c>
      <x:c r="E38" s="10" t="n">
        <x:v>1</x:v>
      </x:c>
      <x:c r="F38" s="10" t="str">
        <x:v>activeBoss</x:v>
      </x:c>
      <x:c r="G38" s="10" t="str">
        <x:v>Les mini-boss dans la horde sont distincts de ce compteur.</x:v>
      </x:c>
      <x:c r="H38" s="10" t="str">
        <x:v>0f37cc52f9d8 : js/entities/Bosses.js : lignes 5-82
0f37cc52f9d8 : js/main.js : lignes 3737-3769
1d52d9ff91db : js/engine/BattlefieldMission.js : lignes 102-118</x:v>
      </x:c>
      <x:c r="I38" s="23" t="str">
        <x:v>https://github.com/darknigthmare/Yautja-hive-warriors/blob/0f37cc52f9d83a4abecc17b80f7bfc67701677cf/js/entities/Bosses.js#L5-L82
https://github.com/darknigthmare/Yautja-hive-warriors/blob/0f37cc52f9d83a4abecc17b80f7bfc67701677cf/js/main.js#L3737-L3769
https://github.com/darknigthmare/Yautja-hive-warriors/blob/1d52d9ff91dbe85c08256f44f8b72086ab65200a/js/engine/BattlefieldMission.js#L102-L118</x:v>
      </x:c>
    </x:row>
    <x:row r="39" ht="90" customHeight="1">
      <x:c r="A39" s="9" t="str">
        <x:v>ETAT-033</x:v>
      </x:c>
      <x:c r="B39" s="9" t="str">
        <x:v>Mesure de code</x:v>
      </x:c>
      <x:c r="C39" s="9" t="str">
        <x:v>Chapitre de campagne</x:v>
      </x:c>
      <x:c r="D39" s="9" t="n">
        <x:v>5</x:v>
      </x:c>
      <x:c r="E39" s="9" t="n">
        <x:v>5</x:v>
      </x:c>
      <x:c r="F39" s="9" t="str">
        <x:v>chapitres</x:v>
      </x:c>
      <x:c r="G39" s="9" t="str">
        <x:v>main : 4 identifiants absents et progression non raccordée. Branche validée : identifiants corrigés et complétion raccordée.</x:v>
      </x:c>
      <x:c r="H39" s="9" t="str">
        <x:v>0f37cc52f9d8 : js/engine/StoryCampaign.js : lignes 3-71
0f37cc52f9d8 : js/main.js : lignes 137-145
1d52d9ff91db : js/engine/StoryCampaign.js : lignes 3-80</x:v>
      </x:c>
      <x:c r="I39" s="22" t="str">
        <x:v>https://github.com/darknigthmare/Yautja-hive-warriors/blob/0f37cc52f9d83a4abecc17b80f7bfc67701677cf/js/engine/StoryCampaign.js#L3-L71
https://github.com/darknigthmare/Yautja-hive-warriors/blob/0f37cc52f9d83a4abecc17b80f7bfc67701677cf/js/main.js#L137-L145
https://github.com/darknigthmare/Yautja-hive-warriors/blob/1d52d9ff91dbe85c08256f44f8b72086ab65200a/js/engine/StoryCampaign.js#L3-L80</x:v>
      </x:c>
    </x:row>
    <x:row r="40" ht="117" customHeight="1">
      <x:c r="A40" s="10" t="str">
        <x:v>ETAT-034</x:v>
      </x:c>
      <x:c r="B40" s="10" t="str">
        <x:v>Mesure de code</x:v>
      </x:c>
      <x:c r="C40" s="10" t="str">
        <x:v>Fronts autonomes persistants vérifiés dans le code</x:v>
      </x:c>
      <x:c r="D40" s="10" t="n">
        <x:v>0</x:v>
      </x:c>
      <x:c r="E40" s="10" t="n">
        <x:v>0</x:v>
      </x:c>
      <x:c r="F40" s="10" t="str">
        <x:v>fronts</x:v>
      </x:c>
      <x:c r="G40" s="10" t="str">
        <x:v>Absence dans architecture examinée; le validé propose une chaîne sectorielle avec nettoyage de rencontre.</x:v>
      </x:c>
      <x:c r="H40" s="10" t="str">
        <x:v>0f37cc52f9d8 : js/main.js : lignes 3699-3769
1d52d9ff91db : js/engine/BattlefieldMission.js : lignes 71-120
1d52d9ff91db : js/engine/BattlefieldProgression.js : lignes 202-219</x:v>
      </x:c>
      <x:c r="I40" s="23" t="str">
        <x:v>https://github.com/darknigthmare/Yautja-hive-warriors/blob/0f37cc52f9d83a4abecc17b80f7bfc67701677cf/js/main.js#L3699-L3769
https://github.com/darknigthmare/Yautja-hive-warriors/blob/1d52d9ff91dbe85c08256f44f8b72086ab65200a/js/engine/BattlefieldMission.js#L71-L120
https://github.com/darknigthmare/Yautja-hive-warriors/blob/1d52d9ff91dbe85c08256f44f8b72086ab65200a/js/engine/BattlefieldProgression.js#L202-L219</x:v>
      </x:c>
    </x:row>
    <x:row r="41" ht="103.5" customHeight="1">
      <x:c r="A41" s="9" t="str">
        <x:v>ETAT-035</x:v>
      </x:c>
      <x:c r="B41" s="9" t="str">
        <x:v>Inventaire</x:v>
      </x:c>
      <x:c r="C41" s="9" t="str">
        <x:v>Chasseurs déclarés</x:v>
      </x:c>
      <x:c r="D41" s="9" t="str">
        <x:v>jungle_hunter
wolf_predator
alpha_predator
feral_predator
samurai_predator
viking_predator
city_hunter</x:v>
      </x:c>
      <x:c r="E41" s="9" t="n">
        <x:v>7</x:v>
      </x:c>
      <x:c r="F41" s="9" t="str">
        <x:v>IDs / nombre</x:v>
      </x:c>
      <x:c r="G41" s="9" t="str">
        <x:v>Présence dans le registre. Arsenal et animations intégralement 1:1 non certifiés.</x:v>
      </x:c>
      <x:c r="H41" s="9" t="str">
        <x:v>charactersData.js, main 0f37cc52f9d8</x:v>
      </x:c>
      <x:c r="I41" s="22" t="str">
        <x:v>https://github.com/darknigthmare/Yautja-hive-warriors/blob/0f37cc52f9d83a4abecc17b80f7bfc67701677cf/js/data/charactersData.js</x:v>
      </x:c>
    </x:row>
    <x:row r="42" ht="36" customHeight="1">
      <x:c r="A42" s="10" t="str">
        <x:v>ETAT-036</x:v>
      </x:c>
      <x:c r="B42" s="10" t="str">
        <x:v>Inventaire des cartes</x:v>
      </x:c>
      <x:c r="C42" s="10" t="str">
        <x:v>gunnison_forest</x:v>
      </x:c>
      <x:c r="D42" s="10" t="str">
        <x:v>Boss : predalien_queen
Vagues : 5</x:v>
      </x:c>
      <x:c r="E42" s="10" t="str">
        <x:v>Présente</x:v>
      </x:c>
      <x:c r="F42" s="10" t="str">
        <x:v>déclaration de carte</x:v>
      </x:c>
      <x:c r="G42" s="10" t="str">
        <x:v>Le fait qu’une carte soit déclarée ne prouve pas sa jouabilité ni sa fidélité complète.</x:v>
      </x:c>
      <x:c r="H42" s="10" t="str">
        <x:v>levelsData.js, main 0f37cc52f9d8</x:v>
      </x:c>
      <x:c r="I42" s="23" t="str">
        <x:v>https://github.com/darknigthmare/Yautja-hive-warriors/blob/0f37cc52f9d83a4abecc17b80f7bfc67701677cf/js/data/levelsData.js</x:v>
      </x:c>
    </x:row>
    <x:row r="43" ht="36" customHeight="1">
      <x:c r="A43" s="9" t="str">
        <x:v>ETAT-037</x:v>
      </x:c>
      <x:c r="B43" s="9" t="str">
        <x:v>Inventaire des cartes</x:v>
      </x:c>
      <x:c r="C43" s="9" t="str">
        <x:v>xenomorph_prime</x:v>
      </x:c>
      <x:c r="D43" s="9" t="str">
        <x:v>Boss : empress_matriarch
Vagues : 6</x:v>
      </x:c>
      <x:c r="E43" s="9" t="str">
        <x:v>Présente</x:v>
      </x:c>
      <x:c r="F43" s="9" t="str">
        <x:v>déclaration de carte</x:v>
      </x:c>
      <x:c r="G43" s="9" t="str">
        <x:v>Le fait qu’une carte soit déclarée ne prouve pas sa jouabilité ni sa fidélité complète.</x:v>
      </x:c>
      <x:c r="H43" s="9" t="str">
        <x:v>levelsData.js, main 0f37cc52f9d8</x:v>
      </x:c>
      <x:c r="I43" s="22" t="str">
        <x:v>https://github.com/darknigthmare/Yautja-hive-warriors/blob/0f37cc52f9d83a4abecc17b80f7bfc67701677cf/js/data/levelsData.js</x:v>
      </x:c>
    </x:row>
    <x:row r="44" ht="36" customHeight="1">
      <x:c r="A44" s="10" t="str">
        <x:v>ETAT-038</x:v>
      </x:c>
      <x:c r="B44" s="10" t="str">
        <x:v>Inventaire des cartes</x:v>
      </x:c>
      <x:c r="C44" s="10" t="str">
        <x:v>antarctic_pyramid</x:v>
      </x:c>
      <x:c r="D44" s="10" t="str">
        <x:v>Boss : xenomorph_queen
Vagues : 5</x:v>
      </x:c>
      <x:c r="E44" s="10" t="str">
        <x:v>Présente</x:v>
      </x:c>
      <x:c r="F44" s="10" t="str">
        <x:v>déclaration de carte</x:v>
      </x:c>
      <x:c r="G44" s="10" t="str">
        <x:v>Le fait qu’une carte soit déclarée ne prouve pas sa jouabilité ni sa fidélité complète.</x:v>
      </x:c>
      <x:c r="H44" s="10" t="str">
        <x:v>levelsData.js, main 0f37cc52f9d8</x:v>
      </x:c>
      <x:c r="I44" s="23" t="str">
        <x:v>https://github.com/darknigthmare/Yautja-hive-warriors/blob/0f37cc52f9d83a4abecc17b80f7bfc67701677cf/js/data/levelsData.js</x:v>
      </x:c>
    </x:row>
    <x:row r="45" ht="36" customHeight="1">
      <x:c r="A45" s="9" t="str">
        <x:v>ETAT-039</x:v>
      </x:c>
      <x:c r="B45" s="9" t="str">
        <x:v>Inventaire des cartes</x:v>
      </x:c>
      <x:c r="C45" s="9" t="str">
        <x:v>la_rooftops</x:v>
      </x:c>
      <x:c r="D45" s="9" t="str">
        <x:v>Boss : predalien
Vagues : 5</x:v>
      </x:c>
      <x:c r="E45" s="9" t="str">
        <x:v>Présente</x:v>
      </x:c>
      <x:c r="F45" s="9" t="str">
        <x:v>déclaration de carte</x:v>
      </x:c>
      <x:c r="G45" s="9" t="str">
        <x:v>Le fait qu’une carte soit déclarée ne prouve pas sa jouabilité ni sa fidélité complète.</x:v>
      </x:c>
      <x:c r="H45" s="9" t="str">
        <x:v>levelsData.js, main 0f37cc52f9d8</x:v>
      </x:c>
      <x:c r="I45" s="22" t="str">
        <x:v>https://github.com/darknigthmare/Yautja-hive-warriors/blob/0f37cc52f9d83a4abecc17b80f7bfc67701677cf/js/data/levelsData.js</x:v>
      </x:c>
    </x:row>
    <x:row r="46" ht="36" customHeight="1">
      <x:c r="A46" s="10" t="str">
        <x:v>ETAT-040</x:v>
      </x:c>
      <x:c r="B46" s="10" t="str">
        <x:v>Inventaire des cartes</x:v>
      </x:c>
      <x:c r="C46" s="10" t="str">
        <x:v>val_verde_jungle</x:v>
      </x:c>
      <x:c r="D46" s="10" t="str">
        <x:v>Boss : praetorian
Vagues : 5</x:v>
      </x:c>
      <x:c r="E46" s="10" t="str">
        <x:v>Présente</x:v>
      </x:c>
      <x:c r="F46" s="10" t="str">
        <x:v>déclaration de carte</x:v>
      </x:c>
      <x:c r="G46" s="10" t="str">
        <x:v>Le fait qu’une carte soit déclarée ne prouve pas sa jouabilité ni sa fidélité complète.</x:v>
      </x:c>
      <x:c r="H46" s="10" t="str">
        <x:v>levelsData.js, main 0f37cc52f9d8</x:v>
      </x:c>
      <x:c r="I46" s="23" t="str">
        <x:v>https://github.com/darknigthmare/Yautja-hive-warriors/blob/0f37cc52f9d83a4abecc17b80f7bfc67701677cf/js/data/levelsData.js</x:v>
      </x:c>
    </x:row>
    <x:row r="47" ht="36" customHeight="1">
      <x:c r="A47" s="9" t="str">
        <x:v>ETAT-041</x:v>
      </x:c>
      <x:c r="B47" s="9" t="str">
        <x:v>Inventaire des cartes</x:v>
      </x:c>
      <x:c r="C47" s="9" t="str">
        <x:v>romulus_station</x:v>
      </x:c>
      <x:c r="D47" s="9" t="str">
        <x:v>Boss : the_offspring
Vagues : 6</x:v>
      </x:c>
      <x:c r="E47" s="9" t="str">
        <x:v>Présente</x:v>
      </x:c>
      <x:c r="F47" s="9" t="str">
        <x:v>déclaration de carte</x:v>
      </x:c>
      <x:c r="G47" s="9" t="str">
        <x:v>Le fait qu’une carte soit déclarée ne prouve pas sa jouabilité ni sa fidélité complète.</x:v>
      </x:c>
      <x:c r="H47" s="9" t="str">
        <x:v>levelsData.js, main 0f37cc52f9d8</x:v>
      </x:c>
      <x:c r="I47" s="22" t="str">
        <x:v>https://github.com/darknigthmare/Yautja-hive-warriors/blob/0f37cc52f9d83a4abecc17b80f7bfc67701677cf/js/data/levelsData.js</x:v>
      </x:c>
    </x:row>
    <x:row r="48" ht="36" customHeight="1">
      <x:c r="A48" s="10" t="str">
        <x:v>ETAT-042</x:v>
      </x:c>
      <x:c r="B48" s="10" t="str">
        <x:v>Inventaire des cartes</x:v>
      </x:c>
      <x:c r="C48" s="10" t="str">
        <x:v>charon_rogue_base</x:v>
      </x:c>
      <x:c r="D48" s="10" t="str">
        <x:v>Boss : rogue_king_prime
Vagues : 6</x:v>
      </x:c>
      <x:c r="E48" s="10" t="str">
        <x:v>Absente de ce registre</x:v>
      </x:c>
      <x:c r="F48" s="10" t="str">
        <x:v>déclaration de carte</x:v>
      </x:c>
      <x:c r="G48" s="10" t="str">
        <x:v>Le fait qu’une carte soit déclarée ne prouve pas sa jouabilité ni sa fidélité complète.</x:v>
      </x:c>
      <x:c r="H48" s="10" t="str">
        <x:v>levelsData.js, main 0f37cc52f9d8</x:v>
      </x:c>
      <x:c r="I48" s="23" t="str">
        <x:v>https://github.com/darknigthmare/Yautja-hive-warriors/blob/0f37cc52f9d83a4abecc17b80f7bfc67701677cf/js/data/levelsData.js</x:v>
      </x:c>
    </x:row>
    <x:row r="49" ht="36" customHeight="1">
      <x:c r="A49" s="9" t="str">
        <x:v>ETAT-043</x:v>
      </x:c>
      <x:c r="B49" s="9" t="str">
        <x:v>Inventaire des cartes</x:v>
      </x:c>
      <x:c r="C49" s="9" t="str">
        <x:v>game_preserve_planet</x:v>
      </x:c>
      <x:c r="D49" s="9" t="str">
        <x:v>Boss : berserker_super_predator
Vagues : 6</x:v>
      </x:c>
      <x:c r="E49" s="9" t="str">
        <x:v>Absente de ce registre</x:v>
      </x:c>
      <x:c r="F49" s="9" t="str">
        <x:v>déclaration de carte</x:v>
      </x:c>
      <x:c r="G49" s="9" t="str">
        <x:v>Le fait qu’une carte soit déclarée ne prouve pas sa jouabilité ni sa fidélité complète.</x:v>
      </x:c>
      <x:c r="H49" s="9" t="str">
        <x:v>levelsData.js, main 0f37cc52f9d8</x:v>
      </x:c>
      <x:c r="I49" s="22" t="str">
        <x:v>https://github.com/darknigthmare/Yautja-hive-warriors/blob/0f37cc52f9d83a4abecc17b80f7bfc67701677cf/js/data/levelsData.js</x:v>
      </x:c>
    </x:row>
    <x:row r="50" ht="36" customHeight="1">
      <x:c r="A50" s="10" t="str">
        <x:v>ETAT-044</x:v>
      </x:c>
      <x:c r="B50" s="10" t="str">
        <x:v>Inventaire des cartes</x:v>
      </x:c>
      <x:c r="C50" s="10" t="str">
        <x:v>stargazer_facility</x:v>
      </x:c>
      <x:c r="D50" s="10" t="str">
        <x:v>Boss : ultimate_upgrade_predator
Vagues : 6</x:v>
      </x:c>
      <x:c r="E50" s="10" t="str">
        <x:v>Absente de ce registre</x:v>
      </x:c>
      <x:c r="F50" s="10" t="str">
        <x:v>déclaration de carte</x:v>
      </x:c>
      <x:c r="G50" s="10" t="str">
        <x:v>Le fait qu’une carte soit déclarée ne prouve pas sa jouabilité ni sa fidélité complète.</x:v>
      </x:c>
      <x:c r="H50" s="10" t="str">
        <x:v>levelsData.js, main 0f37cc52f9d8</x:v>
      </x:c>
      <x:c r="I50" s="23" t="str">
        <x:v>https://github.com/darknigthmare/Yautja-hive-warriors/blob/0f37cc52f9d83a4abecc17b80f7bfc67701677cf/js/data/levelsData.js</x:v>
      </x:c>
    </x:row>
    <x:row r="51" ht="36" customHeight="1">
      <x:c r="A51" s="9" t="str">
        <x:v>ETAT-045</x:v>
      </x:c>
      <x:c r="B51" s="9" t="str">
        <x:v>Inventaire des cartes</x:v>
      </x:c>
      <x:c r="C51" s="9" t="str">
        <x:v>prey_comanche_territory</x:v>
      </x:c>
      <x:c r="D51" s="9" t="str">
        <x:v>Boss : feral_predator_boss
Vagues : 6</x:v>
      </x:c>
      <x:c r="E51" s="9" t="str">
        <x:v>Absente de ce registre</x:v>
      </x:c>
      <x:c r="F51" s="9" t="str">
        <x:v>déclaration de carte</x:v>
      </x:c>
      <x:c r="G51" s="9" t="str">
        <x:v>Le fait qu’une carte soit déclarée ne prouve pas sa jouabilité ni sa fidélité complète.</x:v>
      </x:c>
      <x:c r="H51" s="9" t="str">
        <x:v>levelsData.js, main 0f37cc52f9d8</x:v>
      </x:c>
      <x:c r="I51" s="22" t="str">
        <x:v>https://github.com/darknigthmare/Yautja-hive-warriors/blob/0f37cc52f9d83a4abecc17b80f7bfc67701677cf/js/data/levelsData.js</x:v>
      </x:c>
    </x:row>
    <x:row r="52" ht="90" customHeight="1">
      <x:c r="A52" s="10" t="str">
        <x:v>ETAT-046</x:v>
      </x:c>
      <x:c r="B52" s="10" t="str">
        <x:v>Inventaire des boss</x:v>
      </x:c>
      <x:c r="C52" s="10" t="str">
        <x:v>xenomorph_queen</x:v>
      </x:c>
      <x:c r="D52" s="10" t="str">
        <x:v>PV déclarés : 3000
Generic queen fallback intended</x:v>
      </x:c>
      <x:c r="E52" s="10" t="str">
        <x:v>explicit queen fallback</x:v>
      </x:c>
      <x:c r="F52" s="10" t="str">
        <x:v>profil déclaré</x:v>
      </x:c>
      <x:c r="G52" s="10" t="str">
        <x:v>Paramètres issus du code, pas test de difficulté ni preuve d’anatomie canonique.</x:v>
      </x:c>
      <x:c r="H52" s="10" t="str">
        <x:v>0f37cc52f9d8 : js/entities/Bosses.js : lignes 23-36
0f37cc52f9d8 : js/entities/Bosses.js : lignes 773-799
1d52d9ff91db : js/entities/Bosses.js : lignes 57-61</x:v>
      </x:c>
      <x:c r="I5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3" ht="90" customHeight="1">
      <x:c r="A53" s="9" t="str">
        <x:v>ETAT-047</x:v>
      </x:c>
      <x:c r="B53" s="9" t="str">
        <x:v>Inventaire des boss</x:v>
      </x:c>
      <x:c r="C53" s="9" t="str">
        <x:v>predalien</x:v>
      </x:c>
      <x:c r="D53" s="9" t="str">
        <x:v>PV déclarés : 3000
Missing explicit mapping; generic queen-like model</x:v>
      </x:c>
      <x:c r="E53" s="9" t="str">
        <x:v>explicit predalien model</x:v>
      </x:c>
      <x:c r="F53" s="9" t="str">
        <x:v>profil déclaré</x:v>
      </x:c>
      <x:c r="G53" s="9" t="str">
        <x:v>Paramètres issus du code, pas test de difficulté ni preuve d’anatomie canonique.</x:v>
      </x:c>
      <x:c r="H53" s="9" t="str">
        <x:v>0f37cc52f9d8 : js/entities/Bosses.js : lignes 23-36
0f37cc52f9d8 : js/entities/Bosses.js : lignes 773-799
1d52d9ff91db : js/entities/Bosses.js : lignes 57-61</x:v>
      </x:c>
      <x:c r="I5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4" ht="90" customHeight="1">
      <x:c r="A54" s="10" t="str">
        <x:v>ETAT-048</x:v>
      </x:c>
      <x:c r="B54" s="10" t="str">
        <x:v>Inventaire des boss</x:v>
      </x:c>
      <x:c r="C54" s="10" t="str">
        <x:v>praetorian</x:v>
      </x:c>
      <x:c r="D54" s="10" t="str">
        <x:v>PV déclarés : 3000
Missing explicit mapping; generic queen-like model</x:v>
      </x:c>
      <x:c r="E54" s="10" t="str">
        <x:v>explicit praetorian model</x:v>
      </x:c>
      <x:c r="F54" s="10" t="str">
        <x:v>profil déclaré</x:v>
      </x:c>
      <x:c r="G54" s="10" t="str">
        <x:v>Paramètres issus du code, pas test de difficulté ni preuve d’anatomie canonique.</x:v>
      </x:c>
      <x:c r="H54" s="10" t="str">
        <x:v>0f37cc52f9d8 : js/entities/Bosses.js : lignes 23-36
0f37cc52f9d8 : js/entities/Bosses.js : lignes 773-799
1d52d9ff91db : js/entities/Bosses.js : lignes 57-61</x:v>
      </x:c>
      <x:c r="I5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5" ht="90" customHeight="1">
      <x:c r="A55" s="9" t="str">
        <x:v>ETAT-049</x:v>
      </x:c>
      <x:c r="B55" s="9" t="str">
        <x:v>Inventaire des boss</x:v>
      </x:c>
      <x:c r="C55" s="9" t="str">
        <x:v>predalien_queen</x:v>
      </x:c>
      <x:c r="D55" s="9" t="str">
        <x:v>PV déclarés : 5000
Predalien variant of generic model</x:v>
      </x:c>
      <x:c r="E55" s="9" t="str">
        <x:v>explicit predalien model</x:v>
      </x:c>
      <x:c r="F55" s="9" t="str">
        <x:v>profil déclaré</x:v>
      </x:c>
      <x:c r="G55" s="9" t="str">
        <x:v>Paramètres issus du code, pas test de difficulté ni preuve d’anatomie canonique.</x:v>
      </x:c>
      <x:c r="H55" s="9" t="str">
        <x:v>0f37cc52f9d8 : js/entities/Bosses.js : lignes 23-36
0f37cc52f9d8 : js/entities/Bosses.js : lignes 773-799
1d52d9ff91db : js/entities/Bosses.js : lignes 57-61</x:v>
      </x:c>
      <x:c r="I5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6" ht="90" customHeight="1">
      <x:c r="A56" s="10" t="str">
        <x:v>ETAT-050</x:v>
      </x:c>
      <x:c r="B56" s="10" t="str">
        <x:v>Inventaire des boss</x:v>
      </x:c>
      <x:c r="C56" s="10" t="str">
        <x:v>empress_matriarch</x:v>
      </x:c>
      <x:c r="D56" s="10" t="str">
        <x:v>PV déclarés : 6000
Empress variant of generic model</x:v>
      </x:c>
      <x:c r="E56" s="10" t="str">
        <x:v>explicit empress model</x:v>
      </x:c>
      <x:c r="F56" s="10" t="str">
        <x:v>profil déclaré</x:v>
      </x:c>
      <x:c r="G56" s="10" t="str">
        <x:v>Paramètres issus du code, pas test de difficulté ni preuve d’anatomie canonique.</x:v>
      </x:c>
      <x:c r="H56" s="10" t="str">
        <x:v>0f37cc52f9d8 : js/entities/Bosses.js : lignes 23-36
0f37cc52f9d8 : js/entities/Bosses.js : lignes 773-799
1d52d9ff91db : js/entities/Bosses.js : lignes 57-61</x:v>
      </x:c>
      <x:c r="I5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7" ht="90" customHeight="1">
      <x:c r="A57" s="9" t="str">
        <x:v>ETAT-051</x:v>
      </x:c>
      <x:c r="B57" s="9" t="str">
        <x:v>Inventaire des boss</x:v>
      </x:c>
      <x:c r="C57" s="9" t="str">
        <x:v>the_offspring</x:v>
      </x:c>
      <x:c r="D57" s="9" t="str">
        <x:v>PV déclarés : 4500
Offspring variant of generic model</x:v>
      </x:c>
      <x:c r="E57" s="9" t="str">
        <x:v>explicit offspring model</x:v>
      </x:c>
      <x:c r="F57" s="9" t="str">
        <x:v>profil déclaré</x:v>
      </x:c>
      <x:c r="G57" s="9" t="str">
        <x:v>Paramètres issus du code, pas test de difficulté ni preuve d’anatomie canonique.</x:v>
      </x:c>
      <x:c r="H57" s="9" t="str">
        <x:v>0f37cc52f9d8 : js/entities/Bosses.js : lignes 23-36
0f37cc52f9d8 : js/entities/Bosses.js : lignes 773-799
1d52d9ff91db : js/entities/Bosses.js : lignes 57-61</x:v>
      </x:c>
      <x:c r="I57"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8" ht="90" customHeight="1">
      <x:c r="A58" s="10" t="str">
        <x:v>ETAT-052</x:v>
      </x:c>
      <x:c r="B58" s="10" t="str">
        <x:v>Inventaire des boss</x:v>
      </x:c>
      <x:c r="C58" s="10" t="str">
        <x:v>rogue_king_prime</x:v>
      </x:c>
      <x:c r="D58" s="10" t="str">
        <x:v>PV déclarés : 9500
Dedicated builder</x:v>
      </x:c>
      <x:c r="E58" s="10" t="str">
        <x:v>not present as dedicated type</x:v>
      </x:c>
      <x:c r="F58" s="10" t="str">
        <x:v>profil déclaré</x:v>
      </x:c>
      <x:c r="G58" s="10" t="str">
        <x:v>Paramètres issus du code, pas test de difficulté ni preuve d’anatomie canonique.</x:v>
      </x:c>
      <x:c r="H58" s="10" t="str">
        <x:v>0f37cc52f9d8 : js/entities/Bosses.js : lignes 23-36
0f37cc52f9d8 : js/entities/Bosses.js : lignes 773-799
1d52d9ff91db : js/entities/Bosses.js : lignes 57-61</x:v>
      </x:c>
      <x:c r="I58"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59" ht="90" customHeight="1">
      <x:c r="A59" s="9" t="str">
        <x:v>ETAT-053</x:v>
      </x:c>
      <x:c r="B59" s="9" t="str">
        <x:v>Inventaire des boss</x:v>
      </x:c>
      <x:c r="C59" s="9" t="str">
        <x:v>awakened_engineer</x:v>
      </x:c>
      <x:c r="D59" s="9" t="str">
        <x:v>PV déclarés : 8500
Dedicated builder</x:v>
      </x:c>
      <x:c r="E59" s="9" t="str">
        <x:v>not present as dedicated type</x:v>
      </x:c>
      <x:c r="F59" s="9" t="str">
        <x:v>profil déclaré</x:v>
      </x:c>
      <x:c r="G59" s="9" t="str">
        <x:v>Paramètres issus du code, pas test de difficulté ni preuve d’anatomie canonique.</x:v>
      </x:c>
      <x:c r="H59" s="9" t="str">
        <x:v>0f37cc52f9d8 : js/entities/Bosses.js : lignes 23-36
0f37cc52f9d8 : js/entities/Bosses.js : lignes 773-799
1d52d9ff91db : js/entities/Bosses.js : lignes 57-61</x:v>
      </x:c>
      <x:c r="I59"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0" ht="90" customHeight="1">
      <x:c r="A60" s="10" t="str">
        <x:v>ETAT-054</x:v>
      </x:c>
      <x:c r="B60" s="10" t="str">
        <x:v>Inventaire des boss</x:v>
      </x:c>
      <x:c r="C60" s="10" t="str">
        <x:v>predalien_matriarch_titan</x:v>
      </x:c>
      <x:c r="D60" s="10" t="str">
        <x:v>PV déclarés : 10000
Titan variant; forced at wave5</x:v>
      </x:c>
      <x:c r="E60" s="10" t="str">
        <x:v>not present as dedicated type</x:v>
      </x:c>
      <x:c r="F60" s="10" t="str">
        <x:v>profil déclaré</x:v>
      </x:c>
      <x:c r="G60" s="10" t="str">
        <x:v>Paramètres issus du code, pas test de difficulté ni preuve d’anatomie canonique.</x:v>
      </x:c>
      <x:c r="H60" s="10" t="str">
        <x:v>0f37cc52f9d8 : js/entities/Bosses.js : lignes 23-36
0f37cc52f9d8 : js/entities/Bosses.js : lignes 773-799
1d52d9ff91db : js/entities/Bosses.js : lignes 57-61</x:v>
      </x:c>
      <x:c r="I60"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1" ht="90" customHeight="1">
      <x:c r="A61" s="9" t="str">
        <x:v>ETAT-055</x:v>
      </x:c>
      <x:c r="B61" s="9" t="str">
        <x:v>Inventaire des boss</x:v>
      </x:c>
      <x:c r="C61" s="9" t="str">
        <x:v>imperial_queen</x:v>
      </x:c>
      <x:c r="D61" s="9" t="str">
        <x:v>PV déclarés : 8000
Imperial scale of generic model</x:v>
      </x:c>
      <x:c r="E61" s="9" t="str">
        <x:v>explicit imperial model</x:v>
      </x:c>
      <x:c r="F61" s="9" t="str">
        <x:v>profil déclaré</x:v>
      </x:c>
      <x:c r="G61" s="9" t="str">
        <x:v>Paramètres issus du code, pas test de difficulté ni preuve d’anatomie canonique.</x:v>
      </x:c>
      <x:c r="H61" s="9" t="str">
        <x:v>0f37cc52f9d8 : js/entities/Bosses.js : lignes 23-36
0f37cc52f9d8 : js/entities/Bosses.js : lignes 773-799
1d52d9ff91db : js/entities/Bosses.js : lignes 57-61</x:v>
      </x:c>
      <x:c r="I61"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2" ht="90" customHeight="1">
      <x:c r="A62" s="10" t="str">
        <x:v>ETAT-056</x:v>
      </x:c>
      <x:c r="B62" s="10" t="str">
        <x:v>Inventaire des boss</x:v>
      </x:c>
      <x:c r="C62" s="10" t="str">
        <x:v>predalien_abomination</x:v>
      </x:c>
      <x:c r="D62" s="10" t="str">
        <x:v>PV déclarés : 6500
Abomination variant of generic model</x:v>
      </x:c>
      <x:c r="E62" s="10" t="str">
        <x:v>not present as dedicated type</x:v>
      </x:c>
      <x:c r="F62" s="10" t="str">
        <x:v>profil déclaré</x:v>
      </x:c>
      <x:c r="G62" s="10" t="str">
        <x:v>Paramètres issus du code, pas test de difficulté ni preuve d’anatomie canonique.</x:v>
      </x:c>
      <x:c r="H62" s="10" t="str">
        <x:v>0f37cc52f9d8 : js/entities/Bosses.js : lignes 23-36
0f37cc52f9d8 : js/entities/Bosses.js : lignes 773-799
1d52d9ff91db : js/entities/Bosses.js : lignes 57-61</x:v>
      </x:c>
      <x:c r="I62"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3" ht="90" customHeight="1">
      <x:c r="A63" s="9" t="str">
        <x:v>ETAT-057</x:v>
      </x:c>
      <x:c r="B63" s="9" t="str">
        <x:v>Inventaire des boss</x:v>
      </x:c>
      <x:c r="C63" s="9" t="str">
        <x:v>trilobite_prime</x:v>
      </x:c>
      <x:c r="D63" s="9" t="str">
        <x:v>PV déclarés : 7000
Dedicated builder</x:v>
      </x:c>
      <x:c r="E63" s="9" t="str">
        <x:v>not present as dedicated type</x:v>
      </x:c>
      <x:c r="F63" s="9" t="str">
        <x:v>profil déclaré</x:v>
      </x:c>
      <x:c r="G63" s="9" t="str">
        <x:v>Paramètres issus du code, pas test de difficulté ni preuve d’anatomie canonique.</x:v>
      </x:c>
      <x:c r="H63" s="9" t="str">
        <x:v>0f37cc52f9d8 : js/entities/Bosses.js : lignes 23-36
0f37cc52f9d8 : js/entities/Bosses.js : lignes 773-799
1d52d9ff91db : js/entities/Bosses.js : lignes 57-61</x:v>
      </x:c>
      <x:c r="I63"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4" ht="90" customHeight="1">
      <x:c r="A64" s="10" t="str">
        <x:v>ETAT-058</x:v>
      </x:c>
      <x:c r="B64" s="10" t="str">
        <x:v>Inventaire des boss</x:v>
      </x:c>
      <x:c r="C64" s="10" t="str">
        <x:v>berserker_super_predator</x:v>
      </x:c>
      <x:c r="D64" s="10" t="str">
        <x:v>PV déclarés : 8800
Dedicated builder</x:v>
      </x:c>
      <x:c r="E64" s="10" t="str">
        <x:v>not present as dedicated type</x:v>
      </x:c>
      <x:c r="F64" s="10" t="str">
        <x:v>profil déclaré</x:v>
      </x:c>
      <x:c r="G64" s="10" t="str">
        <x:v>Paramètres issus du code, pas test de difficulté ni preuve d’anatomie canonique.</x:v>
      </x:c>
      <x:c r="H64" s="10" t="str">
        <x:v>0f37cc52f9d8 : js/entities/Bosses.js : lignes 23-36
0f37cc52f9d8 : js/entities/Bosses.js : lignes 773-799
1d52d9ff91db : js/entities/Bosses.js : lignes 57-61</x:v>
      </x:c>
      <x:c r="I64"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5" ht="90" customHeight="1">
      <x:c r="A65" s="9" t="str">
        <x:v>ETAT-059</x:v>
      </x:c>
      <x:c r="B65" s="9" t="str">
        <x:v>Inventaire des boss</x:v>
      </x:c>
      <x:c r="C65" s="9" t="str">
        <x:v>ultimate_upgrade_predator</x:v>
      </x:c>
      <x:c r="D65" s="9" t="str">
        <x:v>PV déclarés : 9200
Dedicated builder</x:v>
      </x:c>
      <x:c r="E65" s="9" t="str">
        <x:v>not present as dedicated type</x:v>
      </x:c>
      <x:c r="F65" s="9" t="str">
        <x:v>profil déclaré</x:v>
      </x:c>
      <x:c r="G65" s="9" t="str">
        <x:v>Paramètres issus du code, pas test de difficulté ni preuve d’anatomie canonique.</x:v>
      </x:c>
      <x:c r="H65" s="9" t="str">
        <x:v>0f37cc52f9d8 : js/entities/Bosses.js : lignes 23-36
0f37cc52f9d8 : js/entities/Bosses.js : lignes 773-799
1d52d9ff91db : js/entities/Bosses.js : lignes 57-61</x:v>
      </x:c>
      <x:c r="I65" s="22"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6" ht="90" customHeight="1">
      <x:c r="A66" s="10" t="str">
        <x:v>ETAT-060</x:v>
      </x:c>
      <x:c r="B66" s="10" t="str">
        <x:v>Inventaire des boss</x:v>
      </x:c>
      <x:c r="C66" s="10" t="str">
        <x:v>feral_predator_boss</x:v>
      </x:c>
      <x:c r="D66" s="10" t="str">
        <x:v>PV déclarés : 8600
Dedicated builder; combat paths require correction</x:v>
      </x:c>
      <x:c r="E66" s="10" t="str">
        <x:v>not present as dedicated type</x:v>
      </x:c>
      <x:c r="F66" s="10" t="str">
        <x:v>profil déclaré</x:v>
      </x:c>
      <x:c r="G66" s="10" t="str">
        <x:v>Paramètres issus du code, pas test de difficulté ni preuve d’anatomie canonique.</x:v>
      </x:c>
      <x:c r="H66" s="10" t="str">
        <x:v>0f37cc52f9d8 : js/entities/Bosses.js : lignes 23-36
0f37cc52f9d8 : js/entities/Bosses.js : lignes 773-799
1d52d9ff91db : js/entities/Bosses.js : lignes 57-61</x:v>
      </x:c>
      <x:c r="I66" s="23" t="str">
        <x:v>https://github.com/darknigthmare/Yautja-hive-warriors/blob/0f37cc52f9d83a4abecc17b80f7bfc67701677cf/js/entities/Bosses.js#L23-L36
https://github.com/darknigthmare/Yautja-hive-warriors/blob/0f37cc52f9d83a4abecc17b80f7bfc67701677cf/js/entities/Bosses.js#L773-L799
https://github.com/darknigthmare/Yautja-hive-warriors/blob/1d52d9ff91dbe85c08256f44f8b72086ab65200a/js/entities/Bosses.js#L57-L61</x:v>
      </x:c>
    </x:row>
    <x:row r="67" ht="130.5" customHeight="1">
      <x:c r="A67" s="9" t="str">
        <x:v>ETAT-061</x:v>
      </x:c>
      <x:c r="B67" s="9" t="str">
        <x:v>Architecture</x:v>
      </x:c>
      <x:c r="C67" s="9" t="str">
        <x:v>Modules et parcours</x:v>
      </x:c>
      <x:c r="D67" s="9" t="str">
        <x:v>Wave arena
Ten themed maps
Seven hunters
Musou and weapons
Global morale
One main boss
Local AI supports
Local trophies</x:v>
      </x:c>
      <x:c r="E67" s="9" t="str">
        <x:v>Six connected sectors per biome
BattlefieldMission
BattlefieldProgression
CombatDirector
HostilePressure
SceneResources
Collision and visibility
Imported graphics and model audits
Repaired campaign and forge</x:v>
      </x:c>
      <x:c r="F67" s="9" t="str">
        <x:v>inventaire</x:v>
      </x:c>
      <x:c r="G67" s="9" t="str">
        <x:v>Ces deux états doivent être réconciliés sans perte des améliorations spécifiques.</x:v>
      </x:c>
      <x:c r="H67" s="9" t="str">
        <x:v>Audit statique de main récent et comparaison ciblée avec branche codex/validated-gameplay-20261025. Pas d’édition du jeu. Les valeurs proposées sont critères de conception, pas chiffres de Dynasty Warriors.</x:v>
      </x:c>
      <x:c r="I67" s="22" t="str">
        <x:v>https://github.com/darknigthmare/Yautja-hive-warriors</x:v>
      </x:c>
    </x:row>
    <x:row r="68" ht="103.5" customHeight="1">
      <x:c r="A68" s="10" t="str">
        <x:v>ETAT-062</x:v>
      </x:c>
      <x:c r="B68" s="10" t="str">
        <x:v>Référence récente</x:v>
      </x:c>
      <x:c r="C68" s="10" t="str">
        <x:v>Dernière sortie Dynasty Warriors</x:v>
      </x:c>
      <x:c r="D68" s="10" t="str">
        <x:v>DYNASTY WARRIORS 3 Complete Edition Remastered</x:v>
      </x:c>
      <x:c r="E68" s="10" t="str">
        <x:v>2026-10-01</x:v>
      </x:c>
      <x:c r="F68" s="10" t="str">
        <x:v>jeu / date</x:v>
      </x:c>
      <x:c r="G68" s="10" t="str">
        <x:v>Inclut un remaster. Le dernier nouvel épisode de fond est Origins.</x:v>
      </x:c>
      <x:c r="H68" s="10" t="str">
        <x:v>DW-S05 — DW3 Complete Edition Remastered — fiche officielle
Koei Tecmo, sortie 01/10/2026
Consulté le 2026-10-26
DW-S06 — DW3 Remastered — lancement effectif
Koei Tecmo, communiqué 01/10/2026
Consulté le 2026-10-26</x:v>
      </x:c>
      <x:c r="I68" s="23" t="str">
        <x:v>https://www.koeitecmoamerica.com/games/dynasty-warriors-3-complete-edition-remastered/
https://www.koeitecmoamerica.com/news/witness-a-warrior-reignited-in-dynasty-warriors-3-complete-edition-remastered-out-now/</x:v>
      </x:c>
    </x:row>
    <x:row r="69" ht="103.5" customHeight="1">
      <x:c r="A69" s="9" t="str">
        <x:v>ETAT-063</x:v>
      </x:c>
      <x:c r="B69" s="9" t="str">
        <x:v>Référence de gameplay</x:v>
      </x:c>
      <x:c r="C69" s="9" t="str">
        <x:v>Dernier nouvel épisode de fond</x:v>
      </x:c>
      <x:c r="D69" s="9" t="str">
        <x:v>DYNASTY WARRIORS: ORIGINS</x:v>
      </x:c>
      <x:c r="E69" s="9" t="str">
        <x:v>2025-01-17</x:v>
      </x:c>
      <x:c r="F69" s="9" t="str">
        <x:v>jeu / date</x:v>
      </x:c>
      <x:c r="G69" s="9" t="str">
        <x:v>Référence principale pour foule, coordination et tactiques.</x:v>
      </x:c>
      <x:c r="H69" s="9" t="str">
        <x:v>DW-S01 — Origins — système officiel
Koei Tecmo, documentation des mécanismes
Consulté le 2026-10-26
DW-S11 — Origins — date de sortie officielle
Koei Tecmo, fiche officielle
Consulté le 2026-10-26</x:v>
      </x:c>
      <x:c r="I69" s="22" t="str">
        <x:v>https://www.koeitecmoamerica.com/dw_origins/us/system/
https://www.koeitecmoamerica.com/games/dynasty-warriors-origins/</x:v>
      </x:c>
    </x:row>
    <x:row r="70" ht="103.5" customHeight="1">
      <x:c r="A70" s="10" t="str">
        <x:v>ETAT-064</x:v>
      </x:c>
      <x:c r="B70" s="10" t="str">
        <x:v>Extension de référence</x:v>
      </x:c>
      <x:c r="C70" s="10" t="str">
        <x:v>Extension récente d’Origins</x:v>
      </x:c>
      <x:c r="D70" s="10" t="str">
        <x:v>Visions of Four Heroes</x:v>
      </x:c>
      <x:c r="E70" s="10" t="str">
        <x:v>2026-01-22</x:v>
      </x:c>
      <x:c r="F70" s="10" t="str">
        <x:v>extension / date</x:v>
      </x:c>
      <x:c r="G70" s="10" t="str">
        <x:v>Contexte de la comparaison, sans reproduction de contenu dans le projet.</x:v>
      </x:c>
      <x:c r="H70" s="10" t="str">
        <x:v>DW-S08 — Visions of Four Heroes — lancement effectif
Koei Tecmo, communiqué 22/01/2026
Consulté le 2026-10-26
DW-S09 — Visions of Four Heroes — systèmes annoncés
Koei Tecmo, communiqué 11/11/2025
Consulté le 2026-10-26</x:v>
      </x:c>
      <x:c r="I70" s="23" t="str">
        <x:v>https://www.koeitecmoamerica.com/news/dive-into-the-action-of-dynasty-warriors-origins-with-the-nintendo-switch-2-version-and-large-scale-dlc-available-now/
https://www.koeitecmoamerica.com/news/dynasty-warriors-origins-visions-of-four-heroes-digital-pre-orders-are-now-live/</x:v>
      </x:c>
    </x:row>
    <x:row r="71" ht="49.5" customHeight="1">
      <x:c r="A71" s="9" t="str">
        <x:v>ETAT-065</x:v>
      </x:c>
      <x:c r="B71" s="9" t="str">
        <x:v>Correctifs de référence</x:v>
      </x:c>
      <x:c r="C71" s="9" t="str">
        <x:v>Dernier patch DW3 observé</x:v>
      </x:c>
      <x:c r="D71" s="9" t="str">
        <x:v>Version 1.0.2 / Steam 1.0.1, publiée le 08/10/2026, Xbox et Switch 2 le 13/10/2026.</x:v>
      </x:c>
      <x:c r="E71" s="9" t="str">
        <x:v>n.a.</x:v>
      </x:c>
      <x:c r="F71" s="9" t="str">
        <x:v>version</x:v>
      </x:c>
      <x:c r="G71" s="9" t="str">
        <x:v>État des sources consultées au 26/10/2026.</x:v>
      </x:c>
      <x:c r="H71" s="9" t="str">
        <x:v>DW-S10 — DW3 Remastered — correctifs officiels
Koei Tecmo, correctifs octobre 2026
Consulté le 2026-10-26</x:v>
      </x:c>
      <x:c r="I71" s="22" t="str">
        <x:v>https://www.koeitecmoamerica.com/dw3-re/us/update/</x:v>
      </x:c>
    </x:row>
    <x:row r="72" ht="157.5" customHeight="1">
      <x:c r="A72" s="10" t="str">
        <x:v>ETAT-066</x:v>
      </x:c>
      <x:c r="B72" s="10" t="str">
        <x:v>Limite de comparaison</x:v>
      </x:c>
      <x:c r="C72" s="10" t="str">
        <x:v>Coopération et nombre de soldats</x:v>
      </x:c>
      <x:c r="D72" s="10" t="str">
        <x:v>La coopération en ligne DW3 Remastered est annoncée après lancement, sans disponibilité confirmée par les pages consultées. Origins est présenté comme un jeu solo. Aucune source primaire consultée ne fixe un plafond universel exact de 10 000 soldats simultanément actifs. La formule 1 contre 1 000 est un positionnement de jeu, pas un budget technique constant.</x:v>
      </x:c>
      <x:c r="E72" s="10" t="str">
        <x:v>n.a.</x:v>
      </x:c>
      <x:c r="F72" s="10" t="str">
        <x:v>preuve</x:v>
      </x:c>
      <x:c r="G72" s="10" t="str">
        <x:v>Ne pas présenter un chiffre marketing comme plafond technique d’agents complets.</x:v>
      </x:c>
      <x:c r="H72" s="10" t="str">
        <x:v>DW-S01 — Origins — système officiel
Koei Tecmo, documentation des mécanismes
Consulté le 2026-10-26
DW-S02 — Origins — armées et affrontements par milliers
Koei Tecmo, communiqué 14/02/2025
Consulté le 2026-10-26
DW-S07 — DW3 Remastered — modes et systèmes
Koei Tecmo, site officiel
Consulté le 2026-10-26</x:v>
      </x:c>
      <x:c r="I72" s="23" t="str">
        <x:v>https://www.koeitecmoamerica.com/dw_origins/us/system/
https://www.koeitecmoamerica.com/news/koei-tecmos-dynasty-warriors-origins-sells-over-1-million-units-worldwide/
https://www.koeitecmoamerica.com/dw3-re/us/</x:v>
      </x:c>
    </x:row>
    <x:row r="73" ht="63" customHeight="1">
      <x:c r="A73" s="9" t="str">
        <x:v>ETAT-067</x:v>
      </x:c>
      <x:c r="B73" s="9" t="str">
        <x:v>Méthode</x:v>
      </x:c>
      <x:c r="C73" s="9" t="str">
        <x:v>Périmètre du code</x:v>
      </x:c>
      <x:c r="D73" s="9" t="str">
        <x:v>Audit statique de main récent et comparaison ciblée avec branche codex/validated-gameplay-20261025. Pas d’édition du jeu. Les valeurs proposées sont critères de conception, pas chiffres de Dynasty Warriors.</x:v>
      </x:c>
      <x:c r="E73" s="9" t="str">
        <x:v>main est non analysable JS; tests locaux de syntaxe échoués documentés. Gameplay/FPS non mesurés par cet agent. Les QA des docs validées sont historiques, non relancées ici.</x:v>
      </x:c>
      <x:c r="F73" s="9" t="str">
        <x:v>méthode</x:v>
      </x:c>
      <x:c r="G73" s="9" t="str">
        <x:v>Un commentaire Canon1:1 n’est pas une source externe; vérifier œuvres indépendamment.</x:v>
      </x:c>
      <x:c r="H73" s="9" t="str">
        <x:v>Parent a confirmé alias public par empreinte HTML identique au rapport de livraison de la branche validée, sans SHA Git inscrit dans métadonnées du déploiement CLI.</x:v>
      </x:c>
      <x:c r="I73" s="22" t="str">
        <x:v>https://github.com/darknigthmare/Yautja-hive-warriors</x:v>
      </x:c>
    </x:row>
    <x:row r="74" ht="63" customHeight="1">
      <x:c r="A74" s="10" t="str">
        <x:v>ETAT-068</x:v>
      </x:c>
      <x:c r="B74" s="10" t="str">
        <x:v>Audit différentiel</x:v>
      </x:c>
      <x:c r="C74" s="10" t="str">
        <x:v>Version de main auditée</x:v>
      </x:c>
      <x:c r="D74" s="10" t="str">
        <x:v>v65.5</x:v>
      </x:c>
      <x:c r="E74" s="10" t="str">
        <x:v>f1a503c435962777de78cbbfcdb343e25954602c</x:v>
      </x:c>
      <x:c r="F74" s="10" t="str">
        <x:v>version / parent</x:v>
      </x:c>
      <x:c r="G74" s="10" t="str">
        <x:v>Périmètre figé sur v65.5 / 0f37cc52. Audit v64→v65 : 8 fichiers, +1170/−2 lignes ; puis v65→v65.5 : 5 fichiers, +377 lignes. Sarii, boue, arbre-appât et branche du puma inspectés. Preuves main recalées sur 0f37cc52 ; fondements de foule/fronts/architecture inchangés.</x:v>
      </x:c>
      <x:c r="H74" s="10" t="str">
        <x:v>0f37cc52f9d83a4abecc17b80f7bfc67701677cf</x:v>
      </x:c>
      <x:c r="I74" s="23" t="str">
        <x:v>https://github.com/darknigthmare/Yautja-hive-warriors/commit/0f37cc52f9d83a4abecc17b80f7bfc67701677cf</x:v>
      </x:c>
    </x:row>
    <x:row r="75" ht="36" customHeight="1">
      <x:c r="A75" s="9" t="str">
        <x:v>ETAT-069</x:v>
      </x:c>
      <x:c r="B75" s="9" t="str">
        <x:v>Audit différentiel</x:v>
      </x:c>
      <x:c r="C75" s="9" t="str">
        <x:v>Déploiement du dernier main</x:v>
      </x:c>
      <x:c r="D75" s="9" t="str">
        <x:v>QUEUED</x:v>
      </x:c>
      <x:c r="E75" s="9" t="str">
        <x:v>0f37cc52f9d83a4abecc17b80f7bfc67701677cf</x:v>
      </x:c>
      <x:c r="F75" s="9" t="str">
        <x:v>état / SHA</x:v>
      </x:c>
      <x:c r="G75" s="9" t="str">
        <x:v>get_deployment vérifié par agent principal à la clôture ; résultat de build non disponible</x:v>
      </x:c>
      <x:c r="H75" s="9" t="str">
        <x:v>dpl_EajNYsgsBjjTmTHGUE1Wm6rPTggR</x:v>
      </x:c>
      <x:c r="I75" s="22" t="str">
        <x:v>https://vercel.com/darknigthmares-projects/yautja-hive-warriors/EajNYsgsBjjTmTHGUE1Wm6rPTggR</x:v>
      </x:c>
    </x:row>
    <x:row r="76" ht="252" customHeight="1">
      <x:c r="A76" s="10" t="str">
        <x:v>ETAT-070</x:v>
      </x:c>
      <x:c r="B76" s="10" t="str">
        <x:v>Méthode</x:v>
      </x:c>
      <x:c r="C76" s="10" t="str">
        <x:v>Références Dynasty Warriors</x:v>
      </x:c>
      <x:c r="D76" s="10" t="str">
        <x:v>Sources primaires officielles uniquement. Les adaptations et chiffres proposés sont des décisions de conception pour Yautja Hive Warrior, pas des chiffres extraits de Dynasty Warriors ni des affirmations de canon Alien/Predator.</x:v>
      </x:c>
      <x:c r="E76" s="10" t="str">
        <x:v>n.a.</x:v>
      </x:c>
      <x:c r="F76" s="10" t="str">
        <x:v>méthode</x:v>
      </x:c>
      <x:c r="G76" s="10" t="str">
        <x:v>Toutes les comparaisons détaillées figurent dans Comparatif_DW.</x:v>
      </x:c>
      <x:c r="H76" s="10" t="str">
        <x:v>Recherche du 2026-10-26</x:v>
      </x:c>
      <x:c r="I76" s="23" t="str">
        <x:v>https://www.koeitecmoamerica.com/dw_origins/us/system/
https://www.koeitecmoamerica.com/news/koei-tecmos-dynasty-warriors-origins-sells-over-1-million-units-worldwide/
https://blog.playstation.com/?p=400135
https://www.koeitecmoamerica.com/manual/dw9e/en/4400.html
https://www.koeitecmoamerica.com/games/dynasty-warriors-3-complete-edition-remastered/
https://www.koeitecmoamerica.com/news/witness-a-warrior-reignited-in-dynasty-warriors-3-complete-edition-remastered-out-now/
https://www.koeitecmoamerica.com/dw3-re/us/
https://www.koeitecmoamerica.com/news/dive-into-the-action-of-dynasty-warriors-origins-with-the-nintendo-switch-2-version-and-large-scale-dlc-available-now/
https://www.koeitecmoamerica.com/news/dynasty-warriors-origins-visions-of-four-heroes-digital-pre-orders-are-now-live/
https://www.koeitecmoamerica.com/dw3-re/us/update/
https://www.koeitecmoamerica.com/games/dynasty-warriors-origins/
https://www.koeitecmoamerica.com/dw_origins/us/update/</x:v>
      </x:c>
    </x:row>
    <x:row r="77" ht="265.5" customHeight="1">
      <x:c r="A77" s="9" t="str">
        <x:v>ETAT-071</x:v>
      </x:c>
      <x:c r="B77" s="9" t="str">
        <x:v>Méthode</x:v>
      </x:c>
      <x:c r="C77" s="9" t="str">
        <x:v>Références Alien / Predator</x:v>
      </x:c>
      <x:c r="D77" s="9" t="str">
        <x:v>Douze sources primaires de studio, éditeur, développeur ou fabricant licencié. Les catalogues licenciés établissent une attribution et fournissent des références visuelles; ils ne certifient pas toute la continuité, les animations, la biologie ou la topographie. Les règles ci-dessous sont des recommandations d'audit. Une absence de source reste NON VERIFIE, jamais une interdiction de canon inventée.</x:v>
      </x:c>
      <x:c r="E77" s="9" t="str">
        <x:v>n.a.</x:v>
      </x:c>
      <x:c r="F77" s="9" t="str">
        <x:v>méthode</x:v>
      </x:c>
      <x:c r="G77" s="9" t="str">
        <x:v>Reconstitution, Guerre du clan et Crossover sont des catégories de production proposées pour ce projet, pas une taxonomie officielle du détenteur des droits. Le mode Reconstitution doit verrouiller une œuvre, une version et une période; les modes libres peuvent conserver les contenus existants en signalant leurs divergences.</x:v>
      </x:c>
      <x:c r="H77" s="9" t="str">
        <x:v>Recherche du 2026-10-26</x:v>
      </x:c>
      <x:c r="I77" s="22" t="str">
        <x:v>https://www.20thcenturystudios.com/movies/alien-vs-predator
https://www.20thcenturystudios.com/movies/predators
https://titanbooks.com/8479-the-complete-aliens-omnibus-volume-three-rogue-the-labyrinth/
https://store.necaonline.com/products/predator-ultimate-jungle-hunter-7-scale-action-figure
https://store.necaonline.com/blogs/news/shipping-this-week-predator-2-ultimate-city-hunter-action-figure
https://store.necaonline.com/blogs/san-diego-comic-con/neca-does-sdcc-pt-2-introducing-the-cloaked-city-hunter-predator
https://store.necaonline.com/collections/pre-orders/products/prey-ultramate-feral-predator-7-inch-scale-action-figure
https://necaonline.com/2019/07/alien-3-7-scale-action-figure-ultimate-dog-alien/
https://predator.illfonic.com/the-predator/
https://store.necaonline.com/collections/featured-at-comic-con
https://www.aliensfireteamelite.com/en/releasenotes/
https://www.20thcenturystudios.com/movies/the-predator
https://www.20thcenturystudios.com/movies/prey</x:v>
      </x:c>
    </x:row>
    <x:row r="78" ht="49.5" customHeight="1">
      <x:c r="A78" s="10" t="str">
        <x:v>ETAT-072</x:v>
      </x:c>
      <x:c r="B78" s="10" t="str">
        <x:v>Méthode de validation</x:v>
      </x:c>
      <x:c r="C78" s="10" t="str">
        <x:v>purpose</x:v>
      </x:c>
      <x:c r="D78" s="10" t="str">
        <x:v>Plan de recette future du concept Musou adapté à Yautja Hive Warrior. Ces scénarios ne constituent pas des résultats de test et n'ont pas été exécutés.</x:v>
      </x:c>
      <x:c r="E78" s="10" t="str">
        <x:v>n.a.</x:v>
      </x:c>
      <x:c r="F78" s="10" t="str">
        <x:v>plan de test</x:v>
      </x:c>
      <x:c r="G78" s="10" t="str">
        <x:v>Voir Validation pour les procédures.</x:v>
      </x:c>
      <x:c r="H78" s="10" t="str">
        <x:v>Plan du 2026-10-26</x:v>
      </x:c>
      <x:c r="I78" s="23" t="str"/>
    </x:row>
    <x:row r="79" ht="76.5" customHeight="1">
      <x:c r="A79" s="9" t="str">
        <x:v>ETAT-073</x:v>
      </x:c>
      <x:c r="B79" s="9" t="str">
        <x:v>Méthode de validation</x:v>
      </x:c>
      <x:c r="C79" s="9" t="str">
        <x:v>method</x:v>
      </x:c>
      <x:c r="D79" s="9" t="str">
        <x:v>Exécuter sur un commit et un déploiement identifiés. Fixer à l'avance graine, difficulté, équipement, budgets, plateforme et critères chiffrés. Les scénarios vérifient les résultats de jeu et la cohérence de l'expérience; ils ne remplacent pas les tests de compilation ou de fonctions décrits dans l'audit du code.</x:v>
      </x:c>
      <x:c r="E79" s="9" t="str">
        <x:v>n.a.</x:v>
      </x:c>
      <x:c r="F79" s="9" t="str">
        <x:v>plan de test</x:v>
      </x:c>
      <x:c r="G79" s="9" t="str">
        <x:v>Voir Validation pour les procédures.</x:v>
      </x:c>
      <x:c r="H79" s="9" t="str">
        <x:v>Plan du 2026-10-26</x:v>
      </x:c>
      <x:c r="I79" s="22" t="str"/>
    </x:row>
  </x:sheetData>
  <x:pageMargins left="0.7" right="0.7" top="0.75" bottom="0.75" header="0.3" footer="0.3"/>
  <x:tableParts count="1">
    <x:tablePart xmlns:r="http://schemas.openxmlformats.org/officeDocument/2006/relationships" r:id="R2682da2831ee4ff2"/>
  </x:tableParts>
</x:worksheet>
</file>

<file path=xl/worksheets/sheet13.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4" hidden="0" customWidth="1"/>
    <x:col min="2" max="2" width="43" hidden="0" customWidth="1"/>
    <x:col min="3" max="3" width="27" hidden="0" customWidth="1"/>
    <x:col min="4" max="4" width="53" hidden="0" customWidth="1"/>
    <x:col min="5" max="5" width="51" hidden="0" customWidth="1"/>
    <x:col min="6" max="6" width="52" hidden="0" customWidth="1"/>
    <x:col min="7" max="7" width="55" hidden="0" customWidth="1"/>
    <x:col min="8" max="8" width="60" hidden="0" customWidth="1"/>
    <x:col min="9" max="9" width="60" hidden="0" customWidth="1"/>
    <x:col min="10" max="10" width="67" hidden="0" customWidth="1"/>
    <x:col min="11" max="11" width="67" hidden="0" customWidth="1"/>
    <x:col min="12" max="12" width="87" hidden="0" customWidth="1"/>
    <x:col min="13" max="13" width="87" hidden="0" customWidth="1"/>
    <x:col min="14" max="14" width="90" hidden="0" customWidth="1"/>
    <x:col min="15" max="15" width="76" hidden="0" customWidth="1"/>
    <x:col min="16" max="16" width="76" hidden="0" customWidth="1"/>
    <x:col min="17" max="17" width="64" hidden="0" customWidth="1"/>
    <x:col min="18" max="18" width="65" hidden="0" customWidth="1"/>
    <x:col min="19" max="19" width="90" hidden="0" customWidth="1"/>
    <x:col min="20" max="20" width="84" hidden="0" customWidth="1"/>
    <x:col min="21" max="21" width="10" hidden="0" customWidth="1"/>
    <x:col min="22" max="22" width="93" hidden="0" customWidth="1"/>
  </x:cols>
  <x:sheetData>
    <x:row r="1" ht="12" customHeight="1">
      <x:c r="A1" s="48"/>
      <x:c r="B1" s="48"/>
      <x:c r="C1" s="48"/>
      <x:c r="D1" s="48"/>
      <x:c r="E1" s="48"/>
      <x:c r="F1" s="48"/>
      <x:c r="G1" s="48"/>
      <x:c r="H1" s="48"/>
      <x:c r="I1" s="48"/>
      <x:c r="J1" s="48"/>
      <x:c r="K1" s="48"/>
      <x:c r="L1" s="48"/>
      <x:c r="M1" s="48"/>
      <x:c r="N1" s="48"/>
      <x:c r="O1" s="48"/>
      <x:c r="P1" s="48"/>
      <x:c r="Q1" s="48"/>
      <x:c r="R1" s="48"/>
      <x:c r="S1" s="48"/>
      <x:c r="T1" s="48"/>
      <x:c r="U1" s="48"/>
      <x:c r="V1" s="48"/>
    </x:row>
    <x:row r="2" ht="29" customHeight="1">
      <x:c r="A2" s="49" t="str">
        <x:v>Guerres de clans et batailles contre les humains</x:v>
      </x:c>
      <x:c r="B2" s="48"/>
      <x:c r="C2" s="48"/>
      <x:c r="D2" s="48"/>
      <x:c r="E2" s="48"/>
      <x:c r="F2" s="48"/>
      <x:c r="G2" s="48"/>
      <x:c r="H2" s="48"/>
      <x:c r="I2" s="48"/>
      <x:c r="J2" s="48"/>
      <x:c r="K2" s="48"/>
      <x:c r="L2" s="48"/>
      <x:c r="M2" s="48"/>
      <x:c r="N2" s="48"/>
      <x:c r="O2" s="48"/>
      <x:c r="P2" s="48"/>
      <x:c r="Q2" s="48"/>
      <x:c r="R2" s="48"/>
      <x:c r="S2" s="48"/>
      <x:c r="T2" s="48"/>
      <x:c r="U2" s="48"/>
      <x:c r="V2" s="48"/>
    </x:row>
    <x:row r="3" ht="8" customHeight="1">
      <x:c r="A3" s="50"/>
      <x:c r="B3" s="50"/>
      <x:c r="C3" s="50"/>
      <x:c r="D3" s="50"/>
      <x:c r="E3" s="50"/>
      <x:c r="F3" s="50"/>
      <x:c r="G3" s="50"/>
      <x:c r="H3" s="50"/>
      <x:c r="I3" s="50"/>
      <x:c r="J3" s="50"/>
      <x:c r="K3" s="50"/>
      <x:c r="L3" s="50"/>
      <x:c r="M3" s="50"/>
      <x:c r="N3" s="50"/>
      <x:c r="O3" s="50"/>
      <x:c r="P3" s="50"/>
      <x:c r="Q3" s="50"/>
      <x:c r="R3" s="50"/>
      <x:c r="S3" s="50"/>
      <x:c r="T3" s="50"/>
      <x:c r="U3" s="50"/>
      <x:c r="V3" s="50"/>
    </x:row>
    <x:row r="4">
      <x:c r="A4" s="51" t="str">
        <x:v>Scénarios de conception reliés aux cartes, fronts, effectifs et groupes. Le budget est partagé entre les fronts, jamais multiplié par leur nombre.</x:v>
      </x:c>
      <x:c r="B4" s="48"/>
      <x:c r="C4" s="48"/>
      <x:c r="D4" s="48"/>
      <x:c r="E4" s="48"/>
      <x:c r="F4" s="48"/>
      <x:c r="G4" s="48"/>
      <x:c r="H4" s="48"/>
      <x:c r="I4" s="48"/>
      <x:c r="J4" s="48"/>
      <x:c r="K4" s="48"/>
      <x:c r="L4" s="48"/>
      <x:c r="M4" s="48"/>
      <x:c r="N4" s="48"/>
      <x:c r="O4" s="48"/>
      <x:c r="P4" s="48"/>
      <x:c r="Q4" s="48"/>
      <x:c r="R4" s="48"/>
      <x:c r="S4" s="48"/>
      <x:c r="T4" s="48"/>
      <x:c r="U4" s="48"/>
      <x:c r="V4" s="48"/>
    </x:row>
    <x:row r="5">
      <x:c r="A5" s="7" t="str">
        <x:v>27 lignes</x:v>
      </x:c>
      <x:c r="B5" s="48"/>
      <x:c r="C5" s="48"/>
      <x:c r="D5" s="48"/>
      <x:c r="E5" s="48"/>
      <x:c r="F5" s="48"/>
      <x:c r="G5" s="48"/>
      <x:c r="H5" s="48"/>
      <x:c r="I5" s="48"/>
      <x:c r="J5" s="48"/>
      <x:c r="K5" s="48"/>
      <x:c r="L5" s="48"/>
      <x:c r="M5" s="48"/>
      <x:c r="N5" s="48"/>
      <x:c r="O5" s="48"/>
      <x:c r="P5" s="48"/>
      <x:c r="Q5" s="48"/>
      <x:c r="R5" s="48"/>
      <x:c r="S5" s="48"/>
      <x:c r="T5" s="48"/>
      <x:c r="U5" s="48"/>
      <x:c r="V5" s="48"/>
    </x:row>
    <x:row r="6" ht="36" customHeight="1">
      <x:c r="A6" s="61" t="str">
        <x:v>ID</x:v>
      </x:c>
      <x:c r="B6" s="62" t="str">
        <x:v>Affrontement</x:v>
      </x:c>
      <x:c r="C6" s="62" t="str">
        <x:v>Type de guerre</x:v>
      </x:c>
      <x:c r="D6" s="62" t="str">
        <x:v>Carte et lieu</x:v>
      </x:c>
      <x:c r="E6" s="62" t="str">
        <x:v>Fronts associés</x:v>
      </x:c>
      <x:c r="F6" s="62" t="str">
        <x:v>Gabarit d’effectifs</x:v>
      </x:c>
      <x:c r="G6" s="62" t="str">
        <x:v>Camp du joueur</x:v>
      </x:c>
      <x:c r="H6" s="62" t="str">
        <x:v>Camp adverse</x:v>
      </x:c>
      <x:c r="I6" s="62" t="str">
        <x:v>Tiers / civils</x:v>
      </x:c>
      <x:c r="J6" s="62" t="str">
        <x:v>Groupes alliés</x:v>
      </x:c>
      <x:c r="K6" s="62" t="str">
        <x:v>Groupes adverses</x:v>
      </x:c>
      <x:c r="L6" s="62" t="str">
        <x:v>Implantation initiale</x:v>
      </x:c>
      <x:c r="M6" s="62" t="str">
        <x:v>Réserves et renforts</x:v>
      </x:c>
      <x:c r="N6" s="62" t="str">
        <x:v>Objectifs</x:v>
      </x:c>
      <x:c r="O6" s="62" t="str">
        <x:v>Victoire</x:v>
      </x:c>
      <x:c r="P6" s="62" t="str">
        <x:v>Défaite</x:v>
      </x:c>
      <x:c r="Q6" s="62" t="str">
        <x:v>Commandement</x:v>
      </x:c>
      <x:c r="R6" s="62" t="str">
        <x:v>Boss et chefs</x:v>
      </x:c>
      <x:c r="S6" s="62" t="str">
        <x:v>Conséquences entre fronts</x:v>
      </x:c>
      <x:c r="T6" s="62" t="str">
        <x:v>Continuité / fiction</x:v>
      </x:c>
      <x:c r="U6" s="62" t="str">
        <x:v>Priorité</x:v>
      </x:c>
      <x:c r="V6" s="63" t="str">
        <x:v>Critères de validation</x:v>
      </x:c>
    </x:row>
    <x:row r="7" ht="171" customHeight="1">
      <x:c r="A7" s="40" t="str">
        <x:v>AFF-01</x:v>
      </x:c>
      <x:c r="B7" s="40" t="str">
        <x:v>Le registre des routes saisies</x:v>
      </x:c>
      <x:c r="C7" s="40" t="str">
        <x:v>Raid et capture</x:v>
      </x:c>
      <x:c r="D7" s="40" t="str">
        <x:v>LD-14 — Anneau des Trois Docks — raid de clan</x:v>
      </x:c>
      <x:c r="E7" s="40" t="str">
        <x:v>FR-14 — Raid des archives retenues</x:v>
      </x:c>
      <x:c r="F7" s="40" t="str">
        <x:v>EFF-09 — Clans rivaux — escarmouche de chasseurs</x:v>
      </x:c>
      <x:c r="G7" s="40" t="str">
        <x:v>Clan des Cendres Veilleuses — création originale</x:v>
      </x:c>
      <x:c r="H7" s="40" t="str">
        <x:v>Clan des Lames de Basalte — création originale</x:v>
      </x:c>
      <x:c r="I7" s="40" t="str">
        <x:v>Aucun combattant tiers ; les équipements et modules de fret sont des objectifs, pas des unités ajoutées au budget.</x:v>
      </x:c>
      <x:c r="J7" s="40"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7"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7" s="40" t="str">
        <x:v>Actifs : A = E [1 × GRP-34 + 1 × GRP-33], A [1 × GRP-31] ; B = E [1 × GRP-36], A [1 × GRP-34] ; C = E [1 × GRP-32], A [aucune escouade]. Distants : A = E [2 × GRP-33], A [aucune escouade] ; B = E [3 × GRP-31], A [1 × GRP-31] ; C = E [3 × GRP-35], A [1 × GRP-35]. Réserve non déployée : Réserve = E [2 × GRP-32 + 2 × GRP-33], A [1 × GRP-33]. Chaque escouade = 4 PNJ ; commandants compris. Joueur séparé. Une unité qui change de niveau de simulation garde son ID, ses PV et son objectif. E/A désignent les camps de départ ; une trêve change les relations, sans créer ni dupliquer les agents.</x:v>
      </x:c>
      <x:c r="M7" s="40" t="str">
        <x:v>L’alerte du relais autorise au maximum une escouade de réserve à la fois par quai intact. Couper le relais suspend les nouveaux départs mais pas les patrouilles déjà sorties. Aucun contingent ne se renouvelle après épuisement ; l’extraction interrompt les demandes restantes. Les plafonds actifs et distants du budget restent contraignants : si aucun emplacement n’est disponible, le renfort attend à sa source. Chaque transfert conserve l’agent et consomme la réserve une seule fois.</x:v>
      </x:c>
      <x:c r="N7" s="40" t="str">
        <x:v>A : ouvrir le dépôt et emporter le registre intact. B : capturer le relais ou retarder son alerte. C : préserver au moins un départ relié au dépôt. Bonus : capturer Kher ou récupérer les horaires du convoi.</x:v>
      </x:c>
      <x:c r="O7" s="40" t="str">
        <x:v>Registre sécurisé et joueur revenu par une voie ouverte avec un détachement capable d’assurer le départ. Une majorité des rivaux peut rester en vie.</x:v>
      </x:c>
      <x:c r="P7" s="40" t="str">
        <x:v>Registre détruit ou emporté hors carte par les rivaux ; joueur neutralisé sans secours ; toutes les sorties devenues durablement inaccessibles après une possibilité de contre-action annoncée.</x:v>
      </x:c>
      <x:c r="Q7" s="40" t="str">
        <x:v>Kher occupe la place de chef dans le GRP-36 ennemi du front B ; il n’est pas une cinquième unité.</x:v>
      </x:c>
      <x:c r="R7" s="40" t="str">
        <x:v>BOS-26 — Kher, pisteur des Lames de Basalte</x:v>
      </x:c>
      <x:c r="S7" s="40" t="str">
        <x:v>B détermine le rythme des renforts, C le lieu du départ. Des gardes peuvent choisir de sauver les archives plutôt que poursuivre le joueur. Renseignements emportés ou perdus modifient l’information disponible pour AFF-03.</x:v>
      </x:c>
      <x:c r="T7" s="40" t="str">
        <x:v>Scénario original de conflit entre deux clans Yautja inventés ; aucune guerre, coutume, hiérarchie ou règle de duel n’est présentée comme canonique ou universelle. Mission indépendante par défaut ; en campagne, conserver l’état de Kher et du registre.</x:v>
      </x:c>
      <x:c r="U7" s="40" t="str">
        <x:v>P1</x:v>
      </x:c>
      <x:c r="V7" s="40" t="str">
        <x:v>Journal de simulation réconcilié avec EFF-09 sur trois fronts ; aucune apparition sans quai accessible. Une réussite est possible sans éliminer tous les rivaux. L’éloignement de B fait progresser son alerte ; capturer Kher conserve son état après extraction.</x:v>
      </x:c>
    </x:row>
    <x:row r="8" ht="171" customHeight="1">
      <x:c r="A8" s="41" t="str">
        <x:v>AFF-02</x:v>
      </x:c>
      <x:c r="B8" s="41" t="str">
        <x:v>La Citadelle tient ses départs</x:v>
      </x:c>
      <x:c r="C8" s="41" t="str">
        <x:v>Siège et défense mobile</x:v>
      </x:c>
      <x:c r="D8" s="41" t="str">
        <x:v>LD-12 — Citadelle attaquée / monde du clan</x:v>
      </x:c>
      <x:c r="E8" s="41" t="str">
        <x:v>FR-15 — Défense des Quatre Accès</x:v>
      </x:c>
      <x:c r="F8" s="41" t="str">
        <x:v>EFF-10 — Clans rivaux — siège exceptionnel</x:v>
      </x:c>
      <x:c r="G8" s="41" t="str">
        <x:v>Clan des Cendres Veilleuses — création originale</x:v>
      </x:c>
      <x:c r="H8" s="41" t="str">
        <x:v>Clan des Lames de Basalte — création originale</x:v>
      </x:c>
      <x:c r="I8" s="41" t="str">
        <x:v>Équipages et habitants éventuels constituent un lot non combattant distinct, à plafonner ; ils ne comptent ni dans les soldats ni dans les KOs. Aucune faction combattante tierce.</x:v>
      </x:c>
      <x:c r="J8" s="41"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8" s="4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8" s="41" t="str">
        <x:v>Actifs : A = E [2 × GRP-32], A [2 × GRP-33] ; B = E [2 × GRP-34], A [1 × GRP-34] ; C = E [2 × GRP-35], A [1 × GRP-35] ; D = E [1 × GRP-36 + 1 × GRP-33], A [aucune escouade]. Distants : A = E [4 × GRP-33], A [2 × GRP-33] ; B = E [4 × GRP-32], A [2 × GRP-34] ; C = E [4 × GRP-31], A [2 × GRP-35] ; D = E [4 × GRP-35], A [2 × GRP-31]. Réserve non déployée : Réserve = E [4 × GRP-32 + 4 × GRP-34], A [2 × GRP-33 + 2 × GRP-35]. Chaque escouade = 4 PNJ ; commandants compris. Joueur séparé. Une unité qui change de niveau de simulation garde son ID, ses PV et son objectif. E/A désignent les camps de départ ; une trêve change les relations, sans créer ni dupliquer les agents.</x:v>
      </x:c>
      <x:c r="M8" s="41" t="str">
        <x:v>Les deux camps prélèvent leurs renforts sur leur réserve du scénario. Départs seulement par le port ou les routes de fret contrôlées. Maximum deux escouades en transit par camp ; perte de route détourne ou bloque le prochain départ. Les unités de réparation ne créent aucun combattant. Les plafonds actifs et distants du budget restent contraignants : si aucun emplacement n’est disponible, le renfort attend à sa source. Chaque transfert conserve l’agent et consomme la réserve une seule fois.</x:v>
      </x:c>
      <x:c r="N8" s="41" t="str">
        <x:v>A : tenir la brèche assez longtemps pour organiser la défense. B : maintenir ou évacuer les moyens de réparation. C : préserver une sortie pour archives et survivants. D : couper l’approvisionnement de Raan ou obtenir son ordre d’arrêt.</x:v>
      </x:c>
      <x:c r="O8" s="41" t="str">
        <x:v>Archives et contingent allié sortis par une voie viable, ou assaut effectivement stoppé et port sécurisé. Perdre un rempart ne force pas la défaite si le repli annoncé reste possible.</x:v>
      </x:c>
      <x:c r="P8" s="41" t="str">
        <x:v>Archives perdues et aucune évacuation encore possible ; joueur neutralisé sans secours ; contingent d’évacuation incapable de rejoindre un point de départ malgré les contre-actions prévues.</x:v>
      </x:c>
      <x:c r="Q8" s="41" t="str">
        <x:v>Raan remplace le commandant d’un GRP-36 du front D. Les chefs de poste alliés appartiennent aux GRP-33 déjà comptés.</x:v>
      </x:c>
      <x:c r="R8" s="41" t="str">
        <x:v>BOS-27 — Raan, commandante du siège</x:v>
      </x:c>
      <x:c r="S8" s="41" t="str">
        <x:v>La brèche consomme les défenseurs disponibles, la forge conditionne les réparations et le port matérialise le retrait. Une victoire sur Raan ordonne un regroupement ; les unités isolées quittent réellement leurs fronts après réception.</x:v>
      </x:c>
      <x:c r="T8" s="41" t="str">
        <x:v>Scénario original de conflit entre deux clans Yautja inventés ; aucune guerre, coutume, hiérarchie ou règle de duel n’est présentée comme canonique ou universelle. Réutilise LD-12 avec quatre axes ; toute architecture ou vie de clan supplémentaire reste une création de cette citadelle.</x:v>
      </x:c>
      <x:c r="U8" s="41" t="str">
        <x:v>P2</x:v>
      </x:c>
      <x:c r="V8" s="41" t="str">
        <x:v>Quatre fronts avancent pendant une visite au port. EFF-10 est respecté en combat et en renfort. Au moins deux fins distinctes sont jouables : défense conservée et évacuation réussie. Aucun civil, pilote ou commandant n’est compté deux fois.</x:v>
      </x:c>
    </x:row>
    <x:row r="9" ht="144" customHeight="1">
      <x:c r="A9" s="40" t="str">
        <x:v>AFF-03</x:v>
      </x:c>
      <x:c r="B9" s="40" t="str">
        <x:v>Couper la route du Convoi gris</x:v>
      </x:c>
      <x:c r="C9" s="40" t="str">
        <x:v>Poursuite et interception</x:v>
      </x:c>
      <x:c r="D9" s="40" t="str">
        <x:v>LD-15 — Ravines du Convoi gris — poursuite et interception</x:v>
      </x:c>
      <x:c r="E9" s="40" t="str">
        <x:v>FR-16 — Interception du Convoi gris</x:v>
      </x:c>
      <x:c r="F9" s="40" t="str">
        <x:v>EFF-09 — Clans rivaux — escarmouche de chasseurs</x:v>
      </x:c>
      <x:c r="G9" s="40" t="str">
        <x:v>Clan des Cendres Veilleuses — création originale</x:v>
      </x:c>
      <x:c r="H9" s="40" t="str">
        <x:v>Clan des Lames de Basalte — création originale</x:v>
      </x:c>
      <x:c r="I9" s="40" t="str">
        <x:v>Aucun combattant tiers ; deux modules de fret originaux, sans soldats générés à leur ouverture. Les conducteurs sont inclus dans GRP-35.</x:v>
      </x:c>
      <x:c r="J9" s="40" t="str">
        <x:v>GRP-31 — Éclaireurs de relief (Yautja — modèle de détachement ; allégeance fixée par chaque opération)
GRP-32 — Intercepteurs de passage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9"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9" s="40" t="str">
        <x:v>Actifs : A = E [2 × GRP-35], A [aucune escouade] ; B = E [1 × GRP-36], A [1 × GRP-32] ; C = E [1 × GRP-33], A [1 × GRP-31]. Distants : A = E [3 × GRP-35], A [1 × GRP-31] ; B = E [2 × GRP-32], A [aucune escouade] ; C = E [3 × GRP-31], A [1 × GRP-35]. Réserve non déployée : Réserve = E [2 × GRP-33 + 2 × GRP-32], A [1 × GRP-34]. Chaque escouade = 4 PNJ ; commandants compris. Joueur séparé. Une unité qui change de niveau de simulation garde son ID, ses PV et son objectif. E/A désignent les camps de départ ; une trêve change les relations, sans créer ni dupliquer les agents.</x:v>
      </x:c>
      <x:c r="M9" s="40" t="str">
        <x:v>Les gardes se déplacent entre branches avec leurs identifiants persistants. Réserve déclenchée seulement après un signal envoyé depuis un passage accessible ; une escouade par événement d’alerte confirmé. Prendre un passage peut empêcher un départ, sans supprimer l’escorte déjà sur la route. Les plafonds actifs et distants du budget restent contraignants : si aucun emplacement n’est disponible, le renfort attend à sa source. Chaque transfert conserve l’agent et consomme la réserve une seule fois.</x:v>
      </x:c>
      <x:c r="N9" s="40" t="str">
        <x:v>A : immobiliser au moins un module et préserver son contenu. B : contrôler un passage d’interception. C : sécuriser la reprise du fret et la route du retour. Bonus : récupérer les deux modules sans détruire leur propulsion.</x:v>
      </x:c>
      <x:c r="O9" s="40" t="str">
        <x:v>Un module au minimum transféré à une escorte alliée existante puis ramené au terminus sûr. La capture de Kher est facultative.</x:v>
      </x:c>
      <x:c r="P9" s="40" t="str">
        <x:v>Les deux modules quittent la zone ou sont détruits ; aucune escorte survivante ne peut reprendre le fret et aucun secours n’est disponible ; joueur neutralisé sans secours.</x:v>
      </x:c>
      <x:c r="Q9" s="40" t="str">
        <x:v>Kher tient le GRP-36 du front B seulement s’il est libre dans une campagne liée. Sinon le même emplacement reçoit un chef anonyme sans recréer le personnage ni augmenter le quota.</x:v>
      </x:c>
      <x:c r="R9" s="40" t="str">
        <x:v>BOS-26 — Kher, pisteur des Lames de Basalte</x:v>
      </x:c>
      <x:c r="S9" s="40" t="str">
        <x:v>A avance même quand le joueur saisit B ; un module immobilisé immobilise une partie de son escorte. C décide si le fret récupéré peut sortir. Les pertes d’une interception restent présentes lors du passage au segment suivant.</x:v>
      </x:c>
      <x:c r="T9" s="40" t="str">
        <x:v>Scénario original de conflit entre deux clans Yautja inventés ; aucune guerre, coutume, hiérarchie ou règle de duel n’est présentée comme canonique ou universelle. Les modules et itinéraires sont inventés. Si AFF-01 précède cette mission, réutiliser ses renseignements et l’état de Kher ; les opérations peuvent aussi être jouées séparément.</x:v>
      </x:c>
      <x:c r="U9" s="40" t="str">
        <x:v>P1</x:v>
      </x:c>
      <x:c r="V9" s="40" t="str">
        <x:v>Une interception est réalisable avec le chasseur lent et sans téléportation. Chaque pilote appartient au contingent. Récupérer un module puis perdre l’autre produit un résultat partiel cohérent. Aucun passage de secteur ne réinitialise le convoi ou son escorte.</x:v>
      </x:c>
    </x:row>
    <x:row r="10" ht="144" customHeight="1">
      <x:c r="A10" s="41" t="str">
        <x:v>AFF-04</x:v>
      </x:c>
      <x:c r="B10" s="41" t="str">
        <x:v>L’incident des Deux Balises</x:v>
      </x:c>
      <x:c r="C10" s="41" t="str">
        <x:v>Frontière, identification et désescalade</x:v>
      </x:c>
      <x:c r="D10" s="41" t="str">
        <x:v>LD-16 — Col des Deux Balises — crise de frontière</x:v>
      </x:c>
      <x:c r="E10" s="41" t="str">
        <x:v>FR-17 — Frontière des Deux Balises</x:v>
      </x:c>
      <x:c r="F10" s="41" t="str">
        <x:v>EFF-09 — Clans rivaux — escarmouche de chasseurs</x:v>
      </x:c>
      <x:c r="G10" s="41" t="str">
        <x:v>Clan des Cendres Veilleuses — création originale</x:v>
      </x:c>
      <x:c r="H10" s="41" t="str">
        <x:v>Clan des Lames de Basalte — création originale</x:v>
      </x:c>
      <x:c r="I10" s="41" t="str">
        <x:v>Aucun combattant tiers. Un objet de preuve et des bornes de passage remplacent une faction cachée ; l’opération n’attribue pas l’incident à un peuple réel.</x:v>
      </x:c>
      <x:c r="J10" s="41" t="str">
        <x:v>GRP-31 — Éclaireurs de relief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x:v>
      </x:c>
      <x:c r="K10" s="4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10" s="41" t="str">
        <x:v>Actifs : A = E [1 × GRP-33], A [1 × GRP-31] ; B = E [2 × GRP-31], A [aucune escouade] ; C = E [1 × GRP-36], A [1 × GRP-33]. Distants : A = E [4 × GRP-32], A [1 × GRP-33] ; B = E [2 × GRP-35], A [1 × GRP-31] ; C = E [2 × GRP-33], A [aucune escouade]. Réserve non déployée : Réserve = E [2 × GRP-31 + 2 × GRP-32], A [1 × GRP-35]. Chaque escouade = 4 PNJ ; commandants compris. Joueur séparé. Une unité qui change de niveau de simulation garde son ID, ses PV et son objectif. E/A désignent les camps de départ ; une trêve change les relations, sans créer ni dupliquer les agents.</x:v>
      </x:c>
      <x:c r="M10" s="41" t="str">
        <x:v>Une montée de tension déclenche une demande vers la réserve existante. L’ordre de retrait annule les départs non effectués ; les unités en route rejoignent un point de rassemblement. Aucun renfort apparaît directement au contact pour punir une décision. Les plafonds actifs et distants du budget restent contraignants : si aucun emplacement n’est disponible, le renfort attend à sa source. Chaque transfert conserve l’agent et consomme la réserve une seule fois.</x:v>
      </x:c>
      <x:c r="N10" s="41" t="str">
        <x:v>A : identifier la patrouille qui franchit la limite et préserver un passage. B : récupérer le relevé d’incident puis accompagner ou bloquer le ravitaillement. C : transmettre l’identification et une consigne de retrait ou de passage.</x:v>
      </x:c>
      <x:c r="O10" s="41" t="str">
        <x:v>Deux passages sécurisés et relais opérationnel, avec accord local exécuté ou repli ordonné des deux contingents. Résolution sans décès possible ; aucun duel ni boss imposé.</x:v>
      </x:c>
      <x:c r="P10" s="41" t="str">
        <x:v>Escalade incontrôlée qui coupe les trois routes après signaux d’avertissement ; preuve indispensable détruite avant transmission et retrait devenu impossible ; joueur neutralisé sans secours.</x:v>
      </x:c>
      <x:c r="Q10" s="41" t="str">
        <x:v>Chefs de poste ordinaires inclus dans GRP-33 et GRP-36 ; aucun individu de boss ajouté.</x:v>
      </x:c>
      <x:c r="R10" s="41" t="str">
        <x:v>Aucun boss imposé</x:v>
      </x:c>
      <x:c r="S10" s="41" t="str">
        <x:v>Un tir sur A accroît la vigilance de B ; une preuve transmise via C peut réduire cette tension. Les patrouilles ignorées continuent leur mouvement, puis peuvent se retirer plutôt que combattre jusqu’au dernier.</x:v>
      </x:c>
      <x:c r="T10" s="41" t="str">
        <x:v>Scénario original de conflit entre deux clans Yautja inventés ; aucune guerre, coutume, hiérarchie ou règle de duel n’est présentée comme canonique ou universelle. Les droits de passage, règles de tension et solutions négociées sont propres à ce conflit fictif, sans prétention sur une loi Yautja générale.</x:v>
      </x:c>
      <x:c r="U10" s="41" t="str">
        <x:v>P2</x:v>
      </x:c>
      <x:c r="V10" s="41" t="str">
        <x:v>La même composition permet une résolution négociée et une résolution armée. Chaque changement de relation apparaît dans un journal visible. Les tirs, le relevé et le relais expliquent la tension ; aucun changement d’hostilité aléatoire.</x:v>
      </x:c>
    </x:row>
    <x:row r="11" ht="144" customHeight="1">
      <x:c r="A11" s="40" t="str">
        <x:v>AFF-05</x:v>
      </x:c>
      <x:c r="B11" s="40" t="str">
        <x:v>Un accord pendant que les fronts reculent</x:v>
      </x:c>
      <x:c r="C11" s="40" t="str">
        <x:v>Duel négocié et cessation des combats</x:v>
      </x:c>
      <x:c r="D11" s="40" t="str">
        <x:v>LD-17 — Plateau des Arches silencieuses — accord sous tension</x:v>
      </x:c>
      <x:c r="E11" s="40" t="str">
        <x:v>FR-18 — Accord sous les Arches silencieuses</x:v>
      </x:c>
      <x:c r="F11" s="40" t="str">
        <x:v>EFF-09 — Clans rivaux — escarmouche de chasseurs</x:v>
      </x:c>
      <x:c r="G11" s="40" t="str">
        <x:v>Clan des Cendres Veilleuses — création originale</x:v>
      </x:c>
      <x:c r="H11" s="40" t="str">
        <x:v>Clan des Lames de Basalte — création originale</x:v>
      </x:c>
      <x:c r="I11" s="40" t="str">
        <x:v>Aucun combattant tiers. Témoins et gardes appartiennent aux escouades déjà comptées ; leur état de trêve ne crée pas une population neutre supplémentaire.</x:v>
      </x:c>
      <x:c r="J11" s="40" t="str">
        <x:v>GRP-31 — Éclaireurs de relief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K11" s="4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11" s="40" t="str">
        <x:v>Actifs : A = E [1 × GRP-36], A [1 × GRP-36] ; B = E [1 × GRP-35], A [1 × GRP-35] ; C = E [2 × GRP-32], A [aucune escouade]. Distants : A = E [2 × GRP-33], A [aucune escouade] ; B = E [3 × GRP-35], A [1 × GRP-33] ; C = E [3 × GRP-31], A [1 × GRP-31]. Réserve non déployée : Réserve = E [2 × GRP-32 + 2 × GRP-33], A [1 × GRP-33]. Chaque escouade = 4 PNJ ; commandants compris. Joueur séparé. Une unité qui change de niveau de simulation garde son ID, ses PV et son objectif. E/A désignent les camps de départ ; une trêve change les relations, sans créer ni dupliquer les agents.</x:v>
      </x:c>
      <x:c r="M11" s="40" t="str">
        <x:v>Pendant le duel accepté, aucune réserve ne rejoint A. Sur B et C, une arrivée doit être autorisée par une menace confirmée et prélevée dans la réserve. Un accord annule les départs ; les groupes déjà engagés se retirent après réception et validation de leur chemin. Les plafonds actifs et distants du budget restent contraignants : si aucun emplacement n’est disponible, le renfort attend à sa source. Chaque transfert conserve l’agent et consomme la réserve une seule fois.</x:v>
      </x:c>
      <x:c r="N11" s="40" t="str">
        <x:v>A : obtenir un arrêt accepté par Sel, par désarmement, concession ou issue convenue du duel. B : retirer fret et blessés sans abandonner la sortie. C : livrer l’ordre de cessation aux gardes contestataires et vérifier sa réception.</x:v>
      </x:c>
      <x:c r="O11" s="40" t="str">
        <x:v>Accord ou repli accepté, retrait réalisé sur B et ordre exécuté sur C. Le joueur n’a pas besoin de tuer Sel ; sa mort ne remplace pas la transmission des ordres.</x:v>
      </x:c>
      <x:c r="P11" s="40" t="str">
        <x:v>Sorties coupées après rupture annoncée de l’accord et aucun repli possible ; attaque contre la délégation qui rend le retrait impossible ; joueur neutralisé sans secours. Refuser le duel avant son début n’est pas automatiquement un échec.</x:v>
      </x:c>
      <x:c r="Q11" s="40" t="str">
        <x:v>Sel remplace la cheffe du GRP-36 adverse sur A. Le GRP-36 allié comprend la liaison de la délégation et ses trois gardes ; le joueur reste hors de ces quatre PNJ.</x:v>
      </x:c>
      <x:c r="R11" s="40" t="str">
        <x:v>BOS-28 — Sel, porte-parole armée du clan rival</x:v>
      </x:c>
      <x:c r="S11" s="40" t="str">
        <x:v>Le duel fait évoluer la volonté d’accord ; B et C continuent d’avancer. Quitter A pour sauver le relais coûte une concession annoncée. La défaite d’un champion ne supprime pas les gardes, et une unité qui n’a pas reçu l’ordre peut encore intercepter le convoi.</x:v>
      </x:c>
      <x:c r="T11" s="40" t="str">
        <x:v>Scénario original de conflit entre deux clans Yautja inventés ; aucune guerre, coutume, hiérarchie ou règle de duel n’est présentée comme canonique ou universelle. Les conditions du duel sont proposées, acceptées ou refusées à l’écran pour cette opération uniquement. Le statut de Sel et les survivants sont persistants.</x:v>
      </x:c>
      <x:c r="U11" s="40" t="str">
        <x:v>P2</x:v>
      </x:c>
      <x:c r="V11" s="40" t="str">
        <x:v>Un enregistrement montre A, B et C évoluer pendant le duel. Une victoire seule sur Sel ne ferme pas la mission avant retrait et réception des ordres. Refus du duel, accord sans mort et rupture suivie d’un repli possèdent des sorties cohérentes.</x:v>
      </x:c>
    </x:row>
    <x:row r="12" ht="117" customHeight="1">
      <x:c r="A12" s="41" t="str">
        <x:v>AFF-06</x:v>
      </x:c>
      <x:c r="B12" s="41" t="str">
        <x:v>Reprendre le matériel capturé au port</x:v>
      </x:c>
      <x:c r="C12" s="41" t="str">
        <x:v>Yautja contre force humaine de capture — mission originale contemporaine</x:v>
      </x:c>
      <x:c r="D12" s="41" t="str">
        <x:v>LD-18 — Port de récupération — entrepôts, quais et zone de capture</x:v>
      </x:c>
      <x:c r="E12" s="41" t="str">
        <x:v>FR-19 — Port de récupération : reprendre le matériel du clan</x:v>
      </x:c>
      <x:c r="F12" s="41" t="str">
        <x:v>EFF-11 — Humains contemporains — capture et poursuite</x:v>
      </x:c>
      <x:c r="G12" s="41" t="str">
        <x:v>Un chasseur du clan et un contingent limité de 8 alliés PNJ ; personnages et guerre originaux</x:v>
      </x:c>
      <x:c r="H12" s="41" t="str">
        <x:v>Force humaine contemporaine mandatée pour saisir le matériel extraterrestre ; identité originale et objectifs de capture explicités</x:v>
      </x:c>
      <x:c r="I12" s="41" t="str">
        <x:v>16 travailleurs portuaires neutres (2 GRP-28 au format 8), hors effectifs combattants ; 2 véhicules de transfert comme matériel, équipages militaires déjà inclus ; aucun synthétique</x:v>
      </x:c>
      <x:c r="J12" s="41" t="str">
        <x:v>GRP-12 — Éclaireurs (Yautja alliés)
GRP-13 — Soutien plasma (Yautja alliés)</x:v>
      </x:c>
      <x:c r="K12" s="41" t="str">
        <x:v>GRP-37 — Équipe de capture et de couverture (Humains — force de capture contemporaine originale)
GRP-42 — Poste de commandement protégé (Humains — cellule de commandement d’opération)</x:v>
      </x:c>
      <x:c r="L12" s="41" t="str">
        <x:v>EFF-11 — Ennemis : 64 actifs (A32/B16/C16), 128 déjà déployés distants (A32/B48/C48), 64 non déployés ; total 256. Chaque front commence donc avec 64 humains déployés, la réserve de 64 est commune. 32 groupes de 8 au total : 31 groupes de troupe + 1 cellule GRP-42 ; cette dernière est incluse dans les actifs du front C, et son chef est le boss, sans unité supplémentaire. Alliés Yautja PNJ : 4 actifs sur A (1 GRP-13), 4 distants (B2/C2, 2 GRP-12 au format 2), 0 en réserve ; total 8. Joueur : 1, distinct des 8 PNJ. Non-combattants : 16 travailleurs ; véhicules : 2, sans ajout automatique de personnel.</x:v>
      </x:c>
      <x:c r="M12" s="41" t="str">
        <x:v>8 groupes GRP-37 de 8 constituent les 64 humains de réserve ; chacun n’entre qu’une fois par la route du dépôt ou le quai d’accostage. Couper les deux accès bloque la réserve encore non déployée. Les 128 distants sont déjà engagés et ne sont jamais recréés comme renforts.</x:v>
      </x:c>
      <x:c r="N12" s="41" t="str">
        <x:v>Récupérer l’équipement identifié du clan, empêcher son départ, maintenir un quai de sortie ; la prise du poste de capture est une option tactique</x:v>
      </x:c>
      <x:c r="O12" s="41" t="str">
        <x:v>L’objet validé est à bord de l’extraction et le joueur quitte le site par une voie accessible ; pertes et matériels laissés sur place consignés</x:v>
      </x:c>
      <x:c r="P12" s="41" t="str">
        <x:v>Joueur définitivement hors combat selon règle de mission, matériel évacué au-delà du théâtre, ou toutes les voies de sortie perdues sans solution annoncée de remplacement</x:v>
      </x:c>
      <x:c r="Q12" s="41" t="str">
        <x:v>BOS-29 commande depuis la cellule GRP-42 du front C ; l’opérateur du convoi poursuit son dernier ordre si la radio tombe</x:v>
      </x:c>
      <x:c r="R12" s="41" t="str">
        <x:v>BOS-29 — Commandant de la force de capture</x:v>
      </x:c>
      <x:c r="S12" s="41" t="str">
        <x:v>B ignoré permet la localisation des alliés ; C ignoré déplace le chargement et peut fermer le quai ; A prolongé consomme temps et ressources de l’extraction</x:v>
      </x:c>
      <x:c r="T12" s="41" t="str">
        <x:v>Fiction originale. Inspiration générale de chasse et de capture humaine ; ni déroulé canonique de film, ni effectif militaire officiel. Armes, dates et groupes contemporains séparés de l’univers colonial futur.</x:v>
      </x:c>
      <x:c r="U12" s="41" t="str">
        <x:v>P1</x:v>
      </x:c>
      <x:c r="V12" s="41" t="str">
        <x:v>Trois fronts évoluent hors caméra ; bilan 256 humains combattants / 8 alliés PNJ / 1 joueur exact ; 16 travailleurs séparés ; chef non compté deux fois ; capture du boss seule ne donne pas la victoire.</x:v>
      </x:c>
    </x:row>
    <x:row r="13" ht="117" customHeight="1">
      <x:c r="A13" s="40" t="str">
        <x:v>AFF-07</x:v>
      </x:c>
      <x:c r="B13" s="40" t="str">
        <x:v>Interrompre la livraison industrielle</x:v>
      </x:c>
      <x:c r="C13" s="40" t="str">
        <x:v>Yautja contre mercenaires de sécurité — mission originale contemporaine</x:v>
      </x:c>
      <x:c r="D13" s="40" t="str">
        <x:v>LD-19 — Bassin industriel sous contrat — usine, voies ferrées et dépôts</x:v>
      </x:c>
      <x:c r="E13" s="40" t="str">
        <x:v>FR-20 — Bassin industriel : interrompre la livraison d’un trophée technologique</x:v>
      </x:c>
      <x:c r="F13" s="40" t="str">
        <x:v>EFF-11 — Humains contemporains — capture et poursuite</x:v>
      </x:c>
      <x:c r="G13" s="40" t="str">
        <x:v>Un chasseur original et 8 alliés Yautja PNJ chargés de reprendre une technologie du clan</x:v>
      </x:c>
      <x:c r="H13" s="40" t="str">
        <x:v>Mercenaires et sécurité armée d’une entreprise fictive ; aucun nom de société canonique ni matériel USCM importé</x:v>
      </x:c>
      <x:c r="I13" s="40" t="str">
        <x:v>24 ouvriers neutres (3 GRP-28 au format 8), hors combat ; 1 convoi et 2 postes de surveillance automatisés comptés en matériel, opérateurs humains déjà inclus ; aucun synthétique</x:v>
      </x:c>
      <x:c r="J13" s="40" t="str">
        <x:v>GRP-12 — Éclaireurs (Yautja alliés)
GRP-13 — Soutien plasma (Yautja alliés)</x:v>
      </x:c>
      <x:c r="K13" s="40" t="str">
        <x:v>GRP-38 — Détachement de protection du convoi (Humains — mercenaires de sécurité industrielle)
GRP-42 — Poste de commandement protégé (Humains — cellule de commandement d’opération)</x:v>
      </x:c>
      <x:c r="L13" s="40" t="str">
        <x:v>EFF-11 — Ennemis : 64 actifs (A32/B16/C16), 128 déjà déployés distants (A32/B48/C48), 64 non déployés ; total 256. Chaque front commence donc avec 64 humains déployés, la réserve de 64 est commune. 32 groupes de 8 au total : 31 groupes de troupe + 1 cellule GRP-42 ; cette dernière est incluse dans les actifs du front A, et son chef est le boss, sans unité supplémentaire. Alliés Yautja PNJ : 4 actifs sur A (1 GRP-13), 4 distants (B2/C2, 2 GRP-12 au format 2), 0 en réserve ; total 8. Joueur : 1, distinct des 8 PNJ. Non-combattants : 24 ouvriers ; matériel : 1 convoi et 2 postes de surveillance, sans soldats ajoutés.</x:v>
      </x:c>
      <x:c r="M13" s="40" t="str">
        <x:v>Les 64 réservistes sont 8 GRP-38 de 8 au dépôt extérieur. Départ conditionné à un ordre transmis et à une route ouverte ; un convoi bloqué conserve ses occupants dans son registre au lieu de les cloner à pied.</x:v>
      </x:c>
      <x:c r="N13" s="40" t="str">
        <x:v>Atteindre le chargement, contrôler son transfert et ouvrir une issue ; choisir en briefing récupération ou neutralisation du matériel pour rendre la condition finale non ambiguë</x:v>
      </x:c>
      <x:c r="O13" s="40" t="str">
        <x:v>Objectif de matériel choisi accompli et extraction réussie avant sa sortie définitive ; l’usine conserve état des portails, convoi et alimentation</x:v>
      </x:c>
      <x:c r="P13" s="40" t="str">
        <x:v>Matériel livré hors du théâtre avant intervention, joueur définitivement vaincu, ou sortie perdue après l’avertissement prévu par la mission</x:v>
      </x:c>
      <x:c r="Q13" s="40" t="str">
        <x:v>BOS-30, incarnation contemporaine propre à ce site, occupe l’un des 8 postes GRP-42 sur A</x:v>
      </x:c>
      <x:c r="R13" s="40" t="str">
        <x:v>BOS-30 — Responsable tactique de sécurité</x:v>
      </x:c>
      <x:c r="S13" s="40" t="str">
        <x:v>La livraison progresse sur B ; le poste C réaffecte ses gardes si A tombe ; couper l’énergie ouvre certains accès mais en ferme d’autres selon leurs mécanismes documentés</x:v>
      </x:c>
      <x:c r="T13" s="40" t="str">
        <x:v>Entreprise, conflit et chef originaux. Technologie humaine contemporaine, équipement Yautja choisi pour les chasseurs originaux. Aucun catalogue de figurines n’est présenté comme preuve du plan ou de l’effectif.</x:v>
      </x:c>
      <x:c r="U13" s="40" t="str">
        <x:v>P1</x:v>
      </x:c>
      <x:c r="V13" s="40" t="str">
        <x:v>Trois fronts et convoi fonctionnent hors caméra ; 256/8/1 respectés ; les 24 ouvriers ne deviennent pas cibles par faction de voisinage ; objectif matériel et extraction restent requis après neutralisation du responsable.</x:v>
      </x:c>
    </x:row>
    <x:row r="14" ht="117" customHeight="1">
      <x:c r="A14" s="41" t="str">
        <x:v>AFF-08</x:v>
      </x:c>
      <x:c r="B14" s="41" t="str">
        <x:v>Reprendre une installation de la colonie</x:v>
      </x:c>
      <x:c r="C14" s="41" t="str">
        <x:v>Yautja contre force coloniale militaire — bataille originale future</x:v>
      </x:c>
      <x:c r="D14" s="41" t="str">
        <x:v>LD-11 — Colonie / processeur atmosphérique</x:v>
      </x:c>
      <x:c r="E14" s="41" t="str">
        <x:v>FR-21 — Colonie en conflit : reprendre une installation occupée</x:v>
      </x:c>
      <x:c r="F14" s="41" t="str">
        <x:v>EFF-12 — Humains du futur — opération militaire</x:v>
      </x:c>
      <x:c r="G14" s="41" t="str">
        <x:v>Un chasseur du clan avec 32 alliés Yautja PNJ répartis entre attaque, soutien et réserve ; guerre originale explicitée</x:v>
      </x:c>
      <x:c r="H14" s="41" t="str">
        <x:v>Force humaine coloniale hostile à ce clan dans le mandat de l’opération ; unités originales, sans faire de tous les Marines des ennemis permanents</x:v>
      </x:c>
      <x:c r="I14" s="41" t="str">
        <x:v>32 colons non combattants (4 GRP-28 au format 8), hors bilan militaire ; 2 transports blindés et 2 sentinelles comme matériel, équipages déjà dans les 768 humains ; aucun synthétique combattant ni ruche active par défaut</x:v>
      </x:c>
      <x:c r="J14" s="41" t="str">
        <x:v>GRP-11 — Détachement d’assaut (Yautja alliés)
GRP-13 — Soutien plasma (Yautja alliés)</x:v>
      </x:c>
      <x:c r="K14" s="41" t="str">
        <x:v>GRP-39 — Section de contre-assaut à la colonie (Humains — force coloniale militaire hostile)
GRP-42 — Poste de commandement protégé (Humains — cellule de commandement d’opération)</x:v>
      </x:c>
      <x:c r="L14" s="41"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A ; son chef est le boss déjà compté. Alliés Yautja PNJ : 12 actifs (A8 en GRP-11 au format 8, B4 en GRP-13), 12 distants (C8 en GRP-11, D4 en GRP-13), 8 en réserve (1 GRP-11) ; total 32. Joueur : 1, distinct des 32 PNJ. Non-combattants : 32 colons. Matériel : 2 transports blindés et 2 sentinelles ; occupants comptés dans les groupes militaires existants.</x:v>
      </x:c>
      <x:c r="M14" s="41" t="str">
        <x:v>Réserve humaine de 256 = 32 GRP-39 de 8, répartis en quatre lots logistiques de 64 non déployés. Les accès caserne, piste et routes déterminent les arrivées. Les 8 alliés de réserve rejoignent par une insertion du clan accessible. Réaffecter les 384 distants ne crée aucun soldat.</x:v>
      </x:c>
      <x:c r="N14" s="41" t="str">
        <x:v>Réduire coordination et ravitaillement adverses, reprendre l’objectif du clan dans les ateliers, protéger la liaison puis l’extraction ; la colonie LD-11 est réutilisée avec ses spawns de ruche désactivés pour ce preset</x:v>
      </x:c>
      <x:c r="O14" s="41" t="str">
        <x:v>Objectif récupéré, joueur extrait et au moins une route de sortie sécurisée au moment du départ ; résultat des autres fronts et bilan colonial persistants</x:v>
      </x:c>
      <x:c r="P14" s="41" t="str">
        <x:v>Perte définitive du joueur, transfert irréversible de l’objectif hors du théâtre ou fermeture annoncée de toutes les possibilités d’extraction</x:v>
      </x:c>
      <x:c r="Q14" s="41" t="str">
        <x:v>BOS-31, officier original de cette expédition, inclus dans le GRP-42 du front A ; les chefs de section restent autonomes après perte de radio</x:v>
      </x:c>
      <x:c r="R14" s="41" t="str">
        <x:v>BOS-31 — Commandant expéditionnaire de la force humaine</x:v>
      </x:c>
      <x:c r="S14" s="41" t="str">
        <x:v>B préservé fournit les appuis du contre-assaut ; C perdu coupe la liaison de transport ; D perdu oblige à une extraction secondaire préparée ou à une défaite explicitement annoncée</x:v>
      </x:c>
      <x:c r="T14" s="41" t="str">
        <x:v>Campagne originale future inspirée du périmètre colonial Alien/AVP. LD-11 n’est pas présentée comme le plan exact de LV-426. Aucun roster nommé du film, aucune hostilité universelle et aucune caste biologique injectée par défaut.</x:v>
      </x:c>
      <x:c r="U14" s="41" t="str">
        <x:v>P1</x:v>
      </x:c>
      <x:c r="V14" s="41" t="str">
        <x:v>Quatre fronts indépendants ; bilan humain 768 et allié 32, joueur séparé ; 32 colons et matériel hors quota de soldats ; désactivation réelle des sources xénomorphes du preset ; pas victoire automatique à la mort du commandant.</x:v>
      </x:c>
    </x:row>
    <x:row r="15" ht="130.5" customHeight="1">
      <x:c r="A15" s="40" t="str">
        <x:v>AFF-09</x:v>
      </x:c>
      <x:c r="B15" s="40" t="str">
        <x:v>Libérer la navette du chantier orbital</x:v>
      </x:c>
      <x:c r="C15" s="40" t="str">
        <x:v>Yautja contre sûreté humaine orbitale — opération originale future</x:v>
      </x:c>
      <x:c r="D15" s="40" t="str">
        <x:v>LD-20 — Chantier orbital — anneau de service, modules et quais d’embarquement</x:v>
      </x:c>
      <x:c r="E15" s="40" t="str">
        <x:v>FR-22 — Chantier orbital : libérer la navette saisie</x:v>
      </x:c>
      <x:c r="F15" s="40" t="str">
        <x:v>EFF-12 — Humains du futur — opération militaire</x:v>
      </x:c>
      <x:c r="G15" s="40" t="str">
        <x:v>Un chasseur original et 32 alliés Yautja PNJ affectés aux modules, au quai et à la réserve</x:v>
      </x:c>
      <x:c r="H15" s="40" t="str">
        <x:v>Sûreté humaine d’un chantier spatial fictif chargée de confisquer la navette ; équipement futur par profil explicitement défini</x:v>
      </x:c>
      <x:c r="I15" s="40" t="str">
        <x:v>16 techniciens humains neutres (2 GRP-28 de 8) et 4 synthétiques de maintenance neutres (1 GRP-26 de 4), tous hors effectifs combattants. Navettes et défenses fixes comptées en matériel ; aucun APC dans les coursives.</x:v>
      </x:c>
      <x:c r="J15" s="40" t="str">
        <x:v>GRP-11 — Détachement d’assaut (Yautja alliés)
GRP-13 — Soutien plasma (Yautja alliés)</x:v>
      </x:c>
      <x:c r="K15" s="40" t="str">
        <x:v>GRP-40 — Équipe de défense des compartiments (Humains — sûreté orbitale originale)
GRP-42 — Poste de commandement protégé (Humains — cellule de commandement d’opération)</x:v>
      </x:c>
      <x:c r="L15" s="40"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A ; son chef est le boss déjà compté. Alliés Yautja PNJ : 12 actifs (A8 en GRP-11 au format 8, B4 en GRP-13), 12 distants (C8 en GRP-11, D4 en GRP-13), 8 en réserve (1 GRP-11) ; total 32. Joueur : 1, distinct des 32 PNJ. Hors combat : 16 techniciens humains et 4 synthétiques de maintenance distincts. Matériel : navette du clan et 2 points de défense fixes, sans personnels supplémentaires.</x:v>
      </x:c>
      <x:c r="M15" s="40" t="str">
        <x:v>256 réservistes humains = 32 GRP-40 de 8 dans des navettes non encore amarrées ou casernements non ouverts. Le contrôle d’amarrage et les sas déterminent l’entrée ; compartiment isolé bloque le passage. Les synthétiques neutres ne sont jamais convertis silencieusement en renforts ennemis.</x:v>
      </x:c>
      <x:c r="N15" s="40" t="str">
        <x:v>Libérer les verrous d’amarrage, reprendre données ou matériel du clan, désactiver l’interception et maintenir le quai pendant la préparation du départ</x:v>
      </x:c>
      <x:c r="O15" s="40" t="str">
        <x:v>La navette part réellement avec les éléments requis et le joueur ; décompression, sas, modules isolés et survivants restent enregistrés au débriefing</x:v>
      </x:c>
      <x:c r="P15" s="40" t="str">
        <x:v>Joueur définitivement vaincu, navette détruite ou saisie hors du théâtre, ou perte de tous les accès au départ après avertissement et absence de secours déclaré</x:v>
      </x:c>
      <x:c r="Q15" s="40" t="str">
        <x:v>BOS-30, incarnation orbitale distincte du responsable contemporain d’AFF-07, inclus dans les 8 membres GRP-42 du front A</x:v>
      </x:c>
      <x:c r="R15" s="40" t="str">
        <x:v>BOS-30 — Responsable tactique de sécurité</x:v>
      </x:c>
      <x:c r="S15" s="40" t="str">
        <x:v>B détermine énergie et interception ; C perdu prive du retour court ; D peut être repris par une équipe débarquée pendant que le joueur contrôle A. La neutralisation du chef ne ventile pas automatiquement tous les compartiments.</x:v>
      </x:c>
      <x:c r="T15" s="40" t="str">
        <x:v>Station, société, commandant et conflit originaux du futur. La carte n’est ni Renaissance ni Nostromo ; pas d’Offspring, Rogue ou xénomorphes par défaut. La présence de synthétiques suit un protocole de maintenance séparé.</x:v>
      </x:c>
      <x:c r="U15" s="40" t="str">
        <x:v>P1</x:v>
      </x:c>
      <x:c r="V15" s="40" t="str">
        <x:v>Quatre fronts progressent indépendamment ; 768 humains combattants / 32 alliés / 1 joueur conservés ; 16 techniciens et 4 synthétiques hors quotas ; aucun renfort ne franchit un sas fermé sans chemin ; le départ requiert des conditions spatiales réelles.</x:v>
      </x:c>
    </x:row>
    <x:row r="16" ht="130.5" customHeight="1">
      <x:c r="A16" s="41" t="str">
        <x:v>AFF-10</x:v>
      </x:c>
      <x:c r="B16" s="41" t="str">
        <x:v>Extraire le captif de la cité-port</x:v>
      </x:c>
      <x:c r="C16" s="41" t="str">
        <x:v>Yautja contre cordon humain — bataille originale future avec évacuation civile</x:v>
      </x:c>
      <x:c r="D16" s="41" t="str">
        <x:v>LD-21 — Cité-port en évacuation — quartiers, centre médical et terminal</x:v>
      </x:c>
      <x:c r="E16" s="41" t="str">
        <x:v>FR-23 — Cité-port : extraire un captif sans perdre la sortie</x:v>
      </x:c>
      <x:c r="F16" s="41" t="str">
        <x:v>EFF-12 — Humains du futur — opération militaire</x:v>
      </x:c>
      <x:c r="G16" s="41" t="str">
        <x:v>Un chasseur et 32 alliés Yautja PNJ ; un captif Yautja non combattant constitue l’objectif et reste dans un registre distinct</x:v>
      </x:c>
      <x:c r="H16" s="41" t="str">
        <x:v>Force militaire coloniale originale dont le mandat explicite est confinement et interception ; ses unités sont distinctes des civils et secours</x:v>
      </x:c>
      <x:c r="I16" s="41" t="str">
        <x:v>40 civils et soignants non combattants (5 GRP-28 de 8), 1 captif Yautja non combattant, 2 véhicules d’évacuation civils et 2 transports militaires comme matériel ; équipages militaires déjà dans les 768, chauffeurs civils dans les 40</x:v>
      </x:c>
      <x:c r="J16" s="41" t="str">
        <x:v>GRP-11 — Détachement d’assaut (Yautja alliés)
GRP-13 — Soutien plasma (Yautja alliés)</x:v>
      </x:c>
      <x:c r="K16" s="41" t="str">
        <x:v>GRP-41 — Section de barrage et d’interception (Humains — cordon militaire de cité coloniale)
GRP-42 — Poste de commandement protégé (Humains — cellule de commandement d’opération)</x:v>
      </x:c>
      <x:c r="L16" s="41" t="str">
        <x:v>EFF-12 — Ennemis : 128 actifs (A48/B32/C24/D24), 384 déjà déployés distants (96 par front), 256 non déployés ; total 768. Déploiement initial par front : A144/B128/C120/D120 ; réserve commune 256. 96 groupes de 8 au total : 95 groupes de troupe + 1 cellule GRP-42, incluse dans les actifs du front B ; son chef est le boss déjà compté. Alliés Yautja PNJ : 12 actifs (A8 en GRP-11 au format 8, B4 en GRP-13), 12 distants (C8 en GRP-11, D4 en GRP-13), 8 en réserve (1 GRP-11) ; total 32. Joueur : 1, distinct des 32 PNJ. Hors combat : 40 civils/soignants et 1 captif Yautja ; le captif ne s’ajoute pas aux 32 combattants après libération. Matériel : 4 véhicules, occupants déjà rattachés à leur registre.</x:v>
      </x:c>
      <x:c r="M16" s="41" t="str">
        <x:v>256 réservistes humains = 32 GRP-41 de 8, fournis par les dépôts et la route militaire périphérique. Couper un axe retarde ou détourne ses groupes sans les effacer. Les 8 alliés de réserve arrivent par une voie du clan déclarée. Le captif libéré reste escorté et non combattant pendant cette opération.</x:v>
      </x:c>
      <x:c r="N16" s="41" t="str">
        <x:v>Atteindre et libérer le captif, empêcher son transfert hors du théâtre, ouvrir une route jusqu’au terminal et maintenir un passage utilisable durant l’extraction</x:v>
      </x:c>
      <x:c r="O16" s="41" t="str">
        <x:v>Captif et joueur extraits ; issue du cordon et bilan de l’évacuation consignés séparément. Les pertes civiles affectent le débriefing selon règles du scénario et n’alimentent jamais le compteur de victoires militaires.</x:v>
      </x:c>
      <x:c r="P16" s="41" t="str">
        <x:v>Captif mort ou transféré irréversiblement, joueur définitivement vaincu, ou toutes les voies d’extraction définitivement coupées après avertissement</x:v>
      </x:c>
      <x:c r="Q16" s="41" t="str">
        <x:v>BOS-31, officier original de cette cité distinct de celui d’AFF-08, inclus dans GRP-42 sur B ; les chefs de barrage continuent leurs consignes locales</x:v>
      </x:c>
      <x:c r="R16" s="41" t="str">
        <x:v>BOS-31 — Commandant expéditionnaire de la force humaine</x:v>
      </x:c>
      <x:c r="S16" s="41" t="str">
        <x:v>A ignoré permet le transfert du captif ; B maintenu augmente la coordination d’interception ; C perdu éloigne le terminal ; D ignoré congestionne la sortie et modifie réellement les déplacements des civils</x:v>
      </x:c>
      <x:c r="T16" s="41" t="str">
        <x:v>Ville, captif, officiers et conflit originaux dans un futur colonial. Aucun peuple ni groupe civil n’est ennemi par défaut ; coopération éventuelle avec les secours découle d’un événement explicite, sans alliance universelle humain/Yautja.</x:v>
      </x:c>
      <x:c r="U16" s="41" t="str">
        <x:v>P2</x:v>
      </x:c>
      <x:c r="V16" s="41" t="str">
        <x:v>Quatre fronts hors caméra, 768 ennemis et 32 alliés combattants préservés, 1 joueur distinct ; 40 civils et 1 captif suivis hors quotas ; véhicules/passagers sans double comptage ; libération du captif et mort du commandant ne déclenchent pas une victoire prématurée.</x:v>
      </x:c>
    </x:row>
    <x:row r="17" ht="198" customHeight="1">
      <x:c r="A17" s="40" t="str">
        <x:v>AFF-11</x:v>
      </x:c>
      <x:c r="B17" s="40" t="str">
        <x:v>Convergence sur la colonie</x:v>
      </x:c>
      <x:c r="C17" s="40" t="str">
        <x:v>Trois camps : clan du joueur, clan rival, force humaine</x:v>
      </x:c>
      <x:c r="D17" s="40" t="str">
        <x:v>LD-11 — Colonie / processeur atmosphérique</x:v>
      </x:c>
      <x:c r="E17" s="40" t="str">
        <x:v>FR-24 — Convergence sur une colonie : deux adversaires indépendants</x:v>
      </x:c>
      <x:c r="F17" s="40" t="str">
        <x:v>EFF-13 — Plusieurs camps — rivalité Yautja et force humaine</x:v>
      </x:c>
      <x:c r="G17" s="40" t="str">
        <x:v>Détachement du clan du joueur, 32 alliés PNJ alloués et un joueur</x:v>
      </x:c>
      <x:c r="H17" s="40" t="str">
        <x:v>Clan rival original : 48 combattants. Force coloniale humaine du futur : 336 combattants. Ces camps poursuivent des objectifs distincts et peuvent s’affronter entre eux.</x:v>
      </x:c>
      <x:c r="I17" s="40" t="str">
        <x:v>24 civils en trois groupes de huit, dont huit au plus actifs. Ils ne combattent pas et ne consomment aucune réserve militaire. Les véhicules et consoles sont suivis comme matériel.</x:v>
      </x:c>
      <x:c r="J17" s="40" t="str">
        <x:v>GRP-13 — Soutien plasma (Yautja alliés)
GRP-31 — Éclaireurs de relief (Yautja — modèle de détachement ; allégeance fixée par chaque opération)
GRP-35 — Escorte de fret et de retrait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x:v>
      </x:c>
      <x:c r="K17" s="40" t="str">
        <x:v>GRP-36 — Détachement de commandement (Yautja — modèle de détachement ; allégeance fixée par chaque opération)
GRP-42 — Poste de commandement protégé (Humains — cellule de commandement d’opération)
GRP-39 — Section de contre-assaut à la colonie (Humains — force coloniale militaire hostile)
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x:v>
      </x:c>
      <x:c r="L17" s="40" t="str">
        <x:v>Actifs : A [rivaux 4, humains 16, alliés 4] ; B [rivaux 8, humains 32, alliés 4] ; C [rivaux 4, humains 24, alliés 0] ; D [rivaux 0, humains 8, alliés 4]. Distants : A [rivaux 0, humains 40, alliés 0] ; B [rivaux 0, humains 40, alliés 4] ; C [rivaux 8, humains 48, alliés 4] ; D [rivaux 8, humains 48, alliés 4]. Réserve : Réserve [rivaux 16, humains 80, alliés 8]. Groupes Yautja de 4 et humains de 8 ; le commandant remplace un membre. Un joueur est ajouté séparément. Les forces gardent leurs identifiants lors des changements de détail de simulation ou de relation.</x:v>
      </x:c>
      <x:c r="M17" s="40" t="str">
        <x:v>Chaque camp possède un registre distinct. Les renforts humains arrivent par le poste logistique tant que radio et route existent. Les rivaux n’entrent que par leur zone d’insertion. Un cessez-le-feu modifie la relation d’unités existantes ; aucune nouvelle unité ni conversion automatique de la réserve adverse en alliés.</x:v>
      </x:c>
      <x:c r="N17" s="40" t="str">
        <x:v>A :quai et sortie. B :transfert de l’équipement. C :radio des renforts humains. D :corridor civil. Le choix d’un objectif doit produire un résultat observable sur au moins un autre front.</x:v>
      </x:c>
      <x:c r="O17" s="40" t="str">
        <x:v>Récupérer l’équipement et extraire le joueur par une voie tenue. Avec 12 à 23 civils évacués sur 24, obtenir une victoire partielle ; avec les 24, obtenir le meilleur bilan. Conserver les survivants et pertes des trois camps.</x:v>
      </x:c>
      <x:c r="P17" s="40" t="str">
        <x:v>Équipement emporté hors du théâtre, aucune voie de départ récupérable ou mort définitive du joueur selon les règles du mode. Si moins de 12 civils peuvent être évacués, le joueur peut encore organiser un repli, classé non victorieux avec échec de l’objectif de secours.</x:v>
      </x:c>
      <x:c r="Q17" s="40" t="str">
        <x:v>Kher (BOS-26) remplace le chef du GRP-36 rival du front A. Un officier humain original de profil BOS-31 remplace le chef du GRP-42 du même front. Ils appartiennent à deux camps indépendants.</x:v>
      </x:c>
      <x:c r="R17" s="40" t="str">
        <x:v>BOS-26 — Kher, pisteur des Lames de Basalte
BOS-31 — Commandant expéditionnaire de la force humaine</x:v>
      </x:c>
      <x:c r="S17" s="40" t="str">
        <x:v>Neutraliser la radio réduit les réaffectations humaines, pas la population déjà déployée. Capturer le chef rival peut permettre une neutralité locale. Les réserves sont finies et le boss final dépend du camp qui tient le quai.</x:v>
      </x:c>
      <x:c r="T17" s="40" t="str">
        <x:v>Mission de guerre originale du futur sur la carte de colonie proposée. Noms de clans et chaîne d’événements inventés pour le projet. Aucun effectif de film ni plan de LV-426 certifié.</x:v>
      </x:c>
      <x:c r="U17" s="40" t="str">
        <x:v>P1</x:v>
      </x:c>
      <x:c r="V17" s="40" t="str">
        <x:v>Pendant dix minutes avec le joueur sur A, observer un affrontement autonome B/C, une extraction civile et une consommation de réserve. Vérifier 48 rivaux +336 humains +32 alliés sans duplication, puis un changement de relation sans gain de population.</x:v>
      </x:c>
    </x:row>
    <x:row r="18" ht="198" customHeight="1">
      <x:c r="A18" s="41" t="str">
        <x:v>AFF-12</x:v>
      </x:c>
      <x:c r="B18" s="41" t="str">
        <x:v>Citadelle sous double pression</x:v>
      </x:c>
      <x:c r="C18" s="41" t="str">
        <x:v>Défense du clan contre deux camps aux objectifs différents</x:v>
      </x:c>
      <x:c r="D18" s="41" t="str">
        <x:v>LD-12 — Citadelle attaquée / monde du clan</x:v>
      </x:c>
      <x:c r="E18" s="41" t="str">
        <x:v>FR-25 — Citadelle sous double pression : guerre de clans et raid humain</x:v>
      </x:c>
      <x:c r="F18" s="41" t="str">
        <x:v>EFF-13 — Plusieurs camps — rivalité Yautja et force humaine</x:v>
      </x:c>
      <x:c r="G18" s="41" t="str">
        <x:v>Garnison originale du clan du joueur : 32 alliés PNJ alloués et un joueur</x:v>
      </x:c>
      <x:c r="H18" s="41" t="str">
        <x:v>Clan rival original : 96 combattants. Détachement humain du futur : 288 combattants. La rivalité et les objectifs propres empêchent une coopération automatique entre eux.</x:v>
      </x:c>
      <x:c r="I18" s="41" t="str">
        <x:v>Douze membres non combattants du clan dans les ateliers, six actifs au plus. Transport, navettes et défenses fixes sont des dispositifs séparés, équipages inclus dans leur faction combattante.</x:v>
      </x:c>
      <x:c r="J18" s="41" t="str">
        <x:v>GRP-33 — Gardes de position (Yautja — modèle de détachement ; allégeance fixée par chaque opération)
GRP-13 — Soutien plasma (Yautja alliés)
GRP-34 — Équipe de route et de réparation (Yautja — modèle de détachement ; allégeance fixée par chaque opération)
GRP-35 — Escorte de fret et de retrait (Yautja — modèle de détachement ; allégeance fixée par chaque opération)
GRP-31 — Éclaireurs de relief (Yautja — modèle de détachement ; allégeance fixée par chaque opération)</x:v>
      </x:c>
      <x:c r="K18" s="41" t="str">
        <x:v>GRP-41 — Section de barrage et d’interception (Humains — cordon militaire de cité coloniale)
GRP-36 — Détachement de commandement (Yautja — modèle de détachement ; allégeance fixée par chaque opération)
GRP-32 — Intercepteurs de passage (Yautja — modèle de détachement ; allégeance fixée par chaque opération)
GRP-31 — Éclaireurs de relief (Yautja — modèle de détachement ; allégeance fixée par chaque opération)
GRP-42 — Poste de commandement protégé (Humains — cellule de commandement d’opération)
GRP-33 — Gardes de position (Yautja — modèle de détachement ; allégeance fixée par chaque opération)
GRP-35 — Escorte de fret et de retrait (Yautja — modèle de détachement ; allégeance fixée par chaque opération)</x:v>
      </x:c>
      <x:c r="L18" s="41" t="str">
        <x:v>Actifs : A [rivaux 0, humains 32, alliés 4] ; B [rivaux 12, humains 8, alliés 4] ; C [rivaux 8, humains 24, alliés 4] ; D [rivaux 4, humains 8, alliés 0]. Distants : A [rivaux 8, humains 40, alliés 4] ; B [rivaux 16, humains 40, alliés 0] ; C [rivaux 16, humains 32, alliés 4] ; D [rivaux 8, humains 32, alliés 4]. Réserve : Réserve [rivaux 24, humains 72, alliés 8]. Groupes Yautja de 4 et humains de 8 ; le commandant remplace un membre. Un joueur est ajouté séparément. Les forces gardent leurs identifiants lors des changements de détail de simulation ou de relation.</x:v>
      </x:c>
      <x:c r="M18" s="41" t="str">
        <x:v>Le port conditionne l’arrivée de la réserve du clan. Les rivaux utilisent une passe distincte de la route des humains. Une unité embarquée n’existe pas en parallèle au sol. Une trêve éventuelle garde les unités et leur réserve dans leur camp initial, désormais neutre sur le périmètre convenu.</x:v>
      </x:c>
      <x:c r="N18" s="41" t="str">
        <x:v>A :port. B :archives et hauteurs. C :relais de commandement. D :évacuation des ateliers. Les voies civiles et les itinéraires de gros véhicules restent distincts.</x:v>
      </x:c>
      <x:c r="O18" s="41" t="str">
        <x:v>Garder l’abri et une route de sortie, rétablir le relais et empêcher ou annuler les deux prises ennemies. Sauver les douze non-combattants donne le meilleur bilan, sans remplacer les objectifs militaires.</x:v>
      </x:c>
      <x:c r="P18" s="41" t="str">
        <x:v>Capture durable des deux objectifs ennemis avec disparition de toute route de sortie, ou issue de défaite propre au joueur. Une évacuation réussie suivie d’un repli est une issue de campagne spécifique.</x:v>
      </x:c>
      <x:c r="Q18" s="41" t="str">
        <x:v>Raan (BOS-27) remplace le chef du GRP-36 rival du front B. Un officier humain original de profil BOS-31 remplace le chef du GRP-42 du front C. Le commandement de garnison appartient au clan du joueur.</x:v>
      </x:c>
      <x:c r="R18" s="41" t="str">
        <x:v>BOS-27 — Raan, commandante du siège
BOS-31 — Commandant expéditionnaire de la force humaine</x:v>
      </x:c>
      <x:c r="S18" s="41" t="str">
        <x:v>La chute du port retarde des renforts déjà alloués ; la perte des archives ouvre une mission de récupération ; une neutralité locale peut libérer une route, mais ne supprime ni le raid humain ni le front rival restant.</x:v>
      </x:c>
      <x:c r="T18" s="41" t="str">
        <x:v>Citadelle, clans et incursion future originaux. La présence de non-combattants et l’accord de cessez-le-feu sont des règles de ce scénario, sans prétendre définir toutes les sociétés Yautja.</x:v>
      </x:c>
      <x:c r="U18" s="41" t="str">
        <x:v>P2</x:v>
      </x:c>
      <x:c r="V18" s="41" t="str">
        <x:v>Simuler les quatre fronts sans caméra pendant cinq minutes, puis retrouver positions et pertes. Vérifier 96 rivaux +288 humains +32 alliés, routes de renfort finies, non-combattants séparés et effets persistants d’une retraite ou d’un cessez-le-feu.</x:v>
      </x:c>
    </x:row>
    <x:row r="19" ht="103.5" customHeight="1">
      <x:c r="A19" s="70" t="str">
        <x:v>AFF-13</x:v>
      </x:c>
      <x:c r="B19" s="70" t="str">
        <x:v>Sevastopol — ouvrir une issue sans réveiller toute la station</x:v>
      </x:c>
      <x:c r="C19" s="70" t="str">
        <x:v>Y-X avec réseau synthétique tiers</x:v>
      </x:c>
      <x:c r="D19" s="70" t="str">
        <x:v>LD-22 — Sevastopol — réseaux publics et techniques</x:v>
      </x:c>
      <x:c r="E19" s="70" t="str">
        <x:v>FR-26 — Sevastopol — ouvrir une issue sans réveiller toute la station</x:v>
      </x:c>
      <x:c r="F19" s="70" t="str">
        <x:v>EFF-15 — Infiltration de station — menace localisée</x:v>
      </x:c>
      <x:c r="G19" s="70" t="str">
        <x:v>Un joueur Yautja et 4 chasseurs alliés PNJ originaux.</x:v>
      </x:c>
      <x:c r="H19" s="70" t="str">
        <x:v>8 adultes locaux XEN-034 et 32 Working Joes HUM-016 ; les Joes ignorent les Xénomorphes par défaut.</x:v>
      </x:c>
      <x:c r="I19" s="70" t="str">
        <x:v>8 civils,4 actifs au plus ;2 dispositifs de sécurité au plus. Les Joes n’attaquent pas les Xénomorphes par défaut.</x:v>
      </x:c>
      <x:c r="J19" s="70" t="str">
        <x:v>GRP-51 — Binôme de reconnaissance (Clan du joueur — Yautja)</x:v>
      </x:c>
      <x:c r="K19" s="70" t="str">
        <x:v>GRP-43 — Adultes d’infiltration ou de colonie (Xénomorphes — incarnation locale)
GRP-50 — Binôme de maintenance (Working Joes)</x:v>
      </x:c>
      <x:c r="L19" s="70" t="str">
        <x:v>Actifs: A [Xénomorphes 1 (GRP-43), Force humaine 4 (GRP-50), Clan du joueur 2 (GRP-51)]; B [Force humaine 4 (GRP-50)]; C [Xénomorphes 1 (GRP-43), Force humaine 2 (GRP-50)]. Distants: A [Force humaine 4 (GRP-50)]; B [Xénomorphes 2 (GRP-43), Force humaine 6 (GRP-50), Clan du joueur 2 (GRP-51)]; C [Xénomorphes 2 (GRP-43), Force humaine 6 (GRP-50)]. Réserve: Réserve [Xénomorphes 2 (GRP-43), Force humaine 6 (GRP-50)]. Les groupes restent identifiés lors d’un transfert de front ou d’un changement de niveau de simulation.</x:v>
      </x:c>
      <x:c r="M19"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Interdire les armes de Marines aux Joes ; huit adultes au total constituent cette variante originale, sans nombre canonique revendiqué.</x:v>
      </x:c>
      <x:c r="N19" s="70" t="str">
        <x:v>A : Ouvrir le sas de sortie ; B : Isoler les commandes des Working Joes ; C : Conduire les rescapés par le transit</x:v>
      </x:c>
      <x:c r="O19" s="70" t="str">
        <x:v>Extraire le joueur, conserver un sas praticable et évacuer au moins 4 des 8 civils ; huit donnent le meilleur bilan.</x:v>
      </x:c>
      <x:c r="P19" s="70" t="str">
        <x:v>Plus aucune issue récupérable ou perte du joueur ; si moins de 4 civils survivent, repli classé non victorieux.</x:v>
      </x:c>
      <x:c r="Q19" s="70" t="str">
        <x:v>BOS-34 est l’adulte actif du front A, compris dans les8adultes alloués. Aucun chef humain ni neuvième adulte.</x:v>
      </x:c>
      <x:c r="R19" s="70" t="str">
        <x:v>BOS-34 — Adulte traqueur de Sevastopol</x:v>
      </x:c>
      <x:c r="S19" s="70" t="str">
        <x:v>Réseau intact : route de maintenance surveillée. Sas perdu : détour plus long. Survivants bloqués : objectif de secours incomplet.</x:v>
      </x:c>
      <x:c r="T19" s="70" t="str">
        <x:v>Isolation ; intrusion Yautja originale. Profil local XEN-034, HUM-016. Le traqueur BOS-34 remplace l’adulte actif du front A. Plan, nombres et enchaînement de bataille originaux ; source du lieu dans Lieux_medias.</x:v>
      </x:c>
      <x:c r="U19" s="70" t="str">
        <x:v>P1</x:v>
      </x:c>
      <x:c r="V19" s="70" t="str">
        <x:v>Pendant 10 minutes loin d’au moins un objectif, vérifier une décision autonome, une perte ou progression et sa persistance au retour. Contrôler les totaux 40 ennemis / 4 alliés PNJ, trois états exclusifs, chefs inclus et plafonds civils/matériels. </x:v>
      </x:c>
    </x:row>
    <x:row r="20" ht="103.5" customHeight="1">
      <x:c r="A20" s="71" t="str">
        <x:v>AFF-14</x:v>
      </x:c>
      <x:c r="B20" s="71" t="str">
        <x:v>Lethe — briser la pression sur le corridor d’évacuation</x:v>
      </x:c>
      <x:c r="C20" s="71" t="str">
        <x:v>Y-X, humains secourus neutres</x:v>
      </x:c>
      <x:c r="D20" s="71" t="str">
        <x:v>LD-23 — Lethe — colonie, usine et accès de ruche</x:v>
      </x:c>
      <x:c r="E20" s="71" t="str">
        <x:v>FR-27 — Lethe — briser la pression sur le corridor d’évacuation</x:v>
      </x:c>
      <x:c r="F20" s="71" t="str">
        <x:v>EFF-03 — Guerre du clan — bataille standard</x:v>
      </x:c>
      <x:c r="G20" s="71" t="str">
        <x:v>Un joueur Yautja et 48 chasseurs alliés PNJ originaux.</x:v>
      </x:c>
      <x:c r="H20" s="71" t="str">
        <x:v>1000 Xénomorphes du profil du théâtre ; aucun camp humain hostile ajouté.</x:v>
      </x:c>
      <x:c r="I20" s="71" t="str">
        <x:v>24 colons,8 actifs au plus ;2 véhicules de secours matériels, équipages compris dans les civils et jamais comptés comme combattants.</x:v>
      </x:c>
      <x:c r="J20" s="71" t="str">
        <x:v>GRP-51 — Binôme de reconnaissance (Clan du joueur — Yautja)</x:v>
      </x:c>
      <x:c r="K20" s="71" t="str">
        <x:v>GRP-62 — Cellule adulte de ruche (Xénomorphes — Dark Descent)
GRP-45 — Garde d’un passage de ruche (Xénomorphes — Dark Descent)</x:v>
      </x:c>
      <x:c r="L20" s="71" t="str">
        <x:v>Actifs: A [Xénomorphes 48 (GRP-62), Clan du joueur 8 (GRP-51)]; B [Xénomorphes 40 (GRP-62), Clan du joueur 4 (GRP-51)]; C [Xénomorphes 32 (GRP-62), Xénomorphes 8 (GRP-45), Clan du joueur 4 (GRP-51)]. Distants: A [Xénomorphes 192 (GRP-62), Clan du joueur 8 (GRP-51)]; B [Xénomorphes 160 (GRP-62), Clan du joueur 8 (GRP-51)]; C [Xénomorphes 160 (GRP-62), Clan du joueur 8 (GRP-51)]. Réserve: Réserve [Xénomorphes 360 (GRP-62), Clan du joueur 8 (GRP-51)]. Les groupes restent identifiés lors d’un transfert de front ou d’un changement de niveau de simulation.</x:v>
      </x:c>
      <x:c r="M20"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Population de guerre originale. Sélectionner GRP-62 et les paramètres Dark Descent ; documenter leurs attaques avant reconstitution.</x:v>
      </x:c>
      <x:c r="N20" s="71" t="str">
        <x:v>A : Maintenir le corridor civil ; B : Couper deux voies de réserve de la ruche ; C : Dégager le passage protégé par le Praetorian</x:v>
      </x:c>
      <x:c r="O20" s="71" t="str">
        <x:v>Fermer les deux voies, ouvrir le passage et extraire 16 des 24 civils ;24 donnent le meilleur bilan.</x:v>
      </x:c>
      <x:c r="P20" s="71" t="str">
        <x:v>Aucune sortie récupérable ou perte du joueur ; moins de 16 rescapés donne un repli non victorieux.</x:v>
      </x:c>
      <x:c r="Q20" s="71" t="str">
        <x:v>Rencontres BOS-32 incluses dans les groupes ; chef humain éventuel remplace un garde.</x:v>
      </x:c>
      <x:c r="R20" s="71" t="str">
        <x:v>BOS-32 — Praetorian du passage de Lethe</x:v>
      </x:c>
      <x:c r="S20" s="71" t="str">
        <x:v>Une voie non coupée augmente la pression via des unités déjà en réserve ; le corridor peut tomber hors caméra, déplaçant l’extraction.</x:v>
      </x:c>
      <x:c r="T20" s="71" t="str">
        <x:v>Dark Descent ; mission Yautja alternative. Adultes locaux GRP-62 / XEN-037 ; aucune règle AVP 2010 n’est transférée. Plan, nombres et enchaînement de bataille originaux ; source du lieu dans Lieux_medias.</x:v>
      </x:c>
      <x:c r="U20" s="71" t="str">
        <x:v>P1</x:v>
      </x:c>
      <x:c r="V20" s="71" t="str">
        <x:v>Pendant 10 minutes loin d’au moins un objectif, vérifier une décision autonome, une perte ou progression et sa persistance au retour. Contrôler les totaux 1000 ennemis / 48 alliés PNJ, trois états exclusifs, chefs inclus et plafonds civils/matériels. </x:v>
      </x:c>
    </x:row>
    <x:row r="21" ht="144" customHeight="1">
      <x:c r="A21" s="70" t="str">
        <x:v>AFF-15</x:v>
      </x:c>
      <x:c r="B21" s="70" t="str">
        <x:v>Freya Prospect — trois armées pour un même complexe</x:v>
      </x:c>
      <x:c r="C21" s="70" t="str">
        <x:v>X-Y-H, trois camps indépendants</x:v>
      </x:c>
      <x:c r="D21" s="70" t="str">
        <x:v>LD-24 — Freya Prospect — complexe, ruines et extraction</x:v>
      </x:c>
      <x:c r="E21" s="70" t="str">
        <x:v>FR-28 — Freya Prospect — trois armées pour un même complexe</x:v>
      </x:c>
      <x:c r="F21" s="70" t="str">
        <x:v>EFF-14 — Trois espèces — guerre régionale à quatre fronts</x:v>
      </x:c>
      <x:c r="G21" s="70" t="str">
        <x:v>Un joueur Yautja et 24 chasseurs alliés PNJ originaux.</x:v>
      </x:c>
      <x:c r="H21" s="70" t="str">
        <x:v>Deux camps indépendants :736 Xénomorphes du profil AVP2010 et 192 gardes humains originaux du complexe. Ces camps peuvent se battre entre eux.</x:v>
      </x:c>
      <x:c r="I21" s="70" t="str">
        <x:v>16 personnels civils,8 actifs au plus ;4 véhicules/tourelles matériels actifs au plus.</x:v>
      </x:c>
      <x:c r="J21" s="70" t="str">
        <x:v>GRP-51 — Binôme de reconnaissance (Clan du joueur — Yautja)</x:v>
      </x:c>
      <x:c r="K21" s="70" t="str">
        <x:v>GRP-54 — Cellule adulte d’assaut (Xénomorphes — profil AVP)
GRP-49 — Garde de site et transfert de données (Sécurité corporatiste originale)</x:v>
      </x:c>
      <x:c r="L21" s="70" t="str">
        <x:v>Actifs: A [Xénomorphes 32 (GRP-54), Force humaine 8 (GRP-49), Clan du joueur 4 (GRP-51)]; B [Xénomorphes 24 (GRP-54), Force humaine 8 (GRP-49), Clan du joueur 4 (GRP-51)]; C [Xénomorphes 24 (GRP-54), Force humaine 8 (GRP-49)]; D [Xénomorphes 16 (GRP-54), Force humaine 8 (GRP-49)]. Distants: A [Xénomorphes 96 (GRP-54), Force humaine 24 (GRP-49)]; B [Xénomorphes 96 (GRP-54), Force humaine 24 (GRP-49)]; C [Xénomorphes 96 (GRP-54), Force humaine 24 (GRP-49), Clan du joueur 4 (GRP-51)]; D [Xénomorphes 96 (GRP-54), Force humaine 24 (GRP-49), Clan du joueur 4 (GRP-51)]. Réserve: Réserves par camp [Xénomorphes 256 (GRP-54), Force humaine 64 (GRP-49), Clan du joueur 8 (GRP-51)]. Les groupes restent identifiés lors d’un transfert de front ou d’un changement de niveau de simulation.</x:v>
      </x:c>
      <x:c r="M21"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Deux camps adverses séparés, aucune alliance automatique. Pas de variantes Pathogen ni de classes Fireteam.</x:v>
      </x:c>
      <x:c r="N21" s="70" t="str">
        <x:v>A : Tenir l’extraction du clan ; B : Interrompre le transfert humain ; C : Fermer la voie d’invasion de la ruche ; D : Protéger le relais et la route de repli</x:v>
      </x:c>
      <x:c r="O21" s="70" t="str">
        <x:v>Récupérer l’objectif, tenir une route d’extraction et empêcher la sortie du convoi adverse.</x:v>
      </x:c>
      <x:c r="P21" s="70" t="str">
        <x:v>Objectif emporté hors du théâtre, extraction irrécupérable ou perte du joueur.</x:v>
      </x:c>
      <x:c r="Q21" s="70" t="str">
        <x:v>Coordination locale originale ; aucun personnage nommé créé en plusieurs exemplaires.</x:v>
      </x:c>
      <x:c r="R21" s="70" t="str">
        <x:v>Aucun boss imposé</x:v>
      </x:c>
      <x:c r="S21" s="70" t="str">
        <x:v>Le camp qui garde son axe engage une réserve finie ; un transfert quitté réellement sort du théâtre, un tunnel fermé impose un détour.</x:v>
      </x:c>
      <x:c r="T21" s="70" t="str">
        <x:v>Cadre AVP 2010 ; acteurs génériques et bataille originale. Les gardes GRP-49 deviennent du personnel de sécurité original de ce complexe. Plan, nombres et enchaînement de bataille originaux ; source du lieu dans Lieux_medias.</x:v>
      </x:c>
      <x:c r="U21" s="70" t="str">
        <x:v>P1</x:v>
      </x:c>
      <x:c r="V21" s="70" t="str">
        <x:v>Pendant 10 minutes loin d’au moins un objectif, vérifier une décision autonome, une perte ou progression et sa persistance au retour. Contrôler les totaux 928 ennemis / 24 alliés PNJ, trois états exclusifs, chefs inclus et plafonds civils/matériels. </x:v>
      </x:c>
    </x:row>
    <x:row r="22" ht="144" customHeight="1">
      <x:c r="A22" s="71" t="str">
        <x:v>AFF-16</x:v>
      </x:c>
      <x:c r="B22" s="71" t="str">
        <x:v>LV-895 — prendre le relais entre ruines et complexe</x:v>
      </x:c>
      <x:c r="C22" s="71" t="str">
        <x:v>X-Y-H, synthétiques corporatistes indépendants</x:v>
      </x:c>
      <x:c r="D22" s="71" t="str">
        <x:v>LD-25 — LV-895 — périphérie industrielle et ruines</x:v>
      </x:c>
      <x:c r="E22" s="71" t="str">
        <x:v>FR-29 — LV-895 — prendre le relais entre ruines et complexe</x:v>
      </x:c>
      <x:c r="F22" s="71" t="str">
        <x:v>EFF-14 — Trois espèces — guerre régionale à quatre fronts</x:v>
      </x:c>
      <x:c r="G22" s="71" t="str">
        <x:v>Un joueur Yautja et 24 chasseurs alliés PNJ originaux.</x:v>
      </x:c>
      <x:c r="H22" s="71" t="str">
        <x:v>Deux camps indépendants :736 Xénomorphes du preset Fireteam Elite et 192 synthétiques de combat Weyland-Yutani HUM-015 ; aucun garde humain hostile dans cette allocation.</x:v>
      </x:c>
      <x:c r="I22" s="71" t="str">
        <x:v>12 chercheurs originaux,4 actifs au plus ;2 tourelles et 2 plateformes de transport actives au plus.</x:v>
      </x:c>
      <x:c r="J22" s="71" t="str">
        <x:v>GRP-51 — Binôme de reconnaissance (Clan du joueur — Yautja)</x:v>
      </x:c>
      <x:c r="K22" s="71" t="str">
        <x:v>GRP-44 — Pression mobile et tir acide (Xénomorphes — Fireteam Elite)
GRP-46 — Section de sécurité robotique (Synthétiques de combat Weyland-Yutani)</x:v>
      </x:c>
      <x:c r="L22" s="71" t="str">
        <x:v>Actifs: A [Xénomorphes 32 (GRP-44), Force humaine 8 (GRP-46), Clan du joueur 4 (GRP-51)]; B [Xénomorphes 24 (GRP-44), Force humaine 8 (GRP-46), Clan du joueur 4 (GRP-51)]; C [Xénomorphes 24 (GRP-44), Force humaine 8 (GRP-46)]; D [Xénomorphes 16 (GRP-44), Force humaine 8 (GRP-46)]. Distants: A [Xénomorphes 96 (GRP-44), Force humaine 24 (GRP-46)]; B [Xénomorphes 96 (GRP-44), Force humaine 24 (GRP-46)]; C [Xénomorphes 96 (GRP-44), Force humaine 24 (GRP-46), Clan du joueur 4 (GRP-51)]; D [Xénomorphes 96 (GRP-44), Force humaine 24 (GRP-46), Clan du joueur 4 (GRP-51)]. Réserve: Réserves par camp [Xénomorphes 256 (GRP-44), Force humaine 64 (GRP-46), Clan du joueur 8 (GRP-51)]. Les groupes restent identifiés lors d’un transfert de front ou d’un changement de niveau de simulation.</x:v>
      </x:c>
      <x:c r="M22"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Preset standard : Pathogen Runner/Blight/Brute/Queen désactivés. Un scénario Pathogen exige une variante explicite et un foyer distinct.</x:v>
      </x:c>
      <x:c r="N22" s="71" t="str">
        <x:v>A :prendre le relais et identifier le module de données. B :empêcher le transfert de ce module par les synthétiques. C :déloger le Spitter de la passe. D :garder l’extraction.</x:v>
      </x:c>
      <x:c r="O22" s="71" t="str">
        <x:v>Récupérer le même module de données au relais ou sur le convoi intercepté, puis extraire le joueur et le module par une route tenue.</x:v>
      </x:c>
      <x:c r="P22" s="71" t="str">
        <x:v>Le module est emporté hors du théâtre par le convoi, toutes les routes d’extraction sont irrécupérables ou le joueur meurt.</x:v>
      </x:c>
      <x:c r="Q22" s="71" t="str">
        <x:v>BOS-33 remplace un Spitter déjà présent dans le GRP-44 actif du front C. Contrôleurs synthétiques inclus dans GRP-46 ; aucun chef humain supplémentaire.</x:v>
      </x:c>
      <x:c r="R22" s="71" t="str">
        <x:v>BOS-33 — Spitter en position dominante</x:v>
      </x:c>
      <x:c r="S22" s="71" t="str">
        <x:v>Relais perdu : coordination locale seulement et module déplacé sur le convoi. Passe libérée : route de secours ouverte. Convoi quittant réellement le théâtre avec le module : échec de récupération.</x:v>
      </x:c>
      <x:c r="T22" s="71" t="str">
        <x:v>Fireteam Elite ; campagne Yautja originale, XEN-006/012 et HUM-015. BOS-33 remplace un Spitter du GRP-44 déjà actif au front C. Plan, nombres et enchaînement de bataille originaux ; source du lieu dans Lieux_medias.</x:v>
      </x:c>
      <x:c r="U22" s="71" t="str">
        <x:v>P1</x:v>
      </x:c>
      <x:c r="V22" s="71" t="str">
        <x:v>Pendant 10 minutes loin d’au moins un objectif, vérifier une décision autonome, une perte ou progression et sa persistance au retour. Contrôler les totaux 928 ennemis / 24 alliés PNJ, trois états exclusifs, chefs inclus et plafonds civils/matériels. </x:v>
      </x:c>
    </x:row>
    <x:row r="23" ht="144" customHeight="1">
      <x:c r="A23" s="70" t="str">
        <x:v>AFF-17</x:v>
      </x:c>
      <x:c r="B23" s="70" t="str">
        <x:v>Prodigy City — récupérer, contenir et évacuer</x:v>
      </x:c>
      <x:c r="C23" s="70" t="str">
        <x:v>X-Y-H, variante de guerre de 2120</x:v>
      </x:c>
      <x:c r="D23" s="70" t="str">
        <x:v>LD-26 — Prodigy City — cordon autour du Maginot</x:v>
      </x:c>
      <x:c r="E23" s="70" t="str">
        <x:v>FR-30 — Prodigy City — récupérer, contenir et évacuer</x:v>
      </x:c>
      <x:c r="F23" s="70" t="str">
        <x:v>EFF-14 — Trois espèces — guerre régionale à quatre fronts</x:v>
      </x:c>
      <x:c r="G23" s="70" t="str">
        <x:v>Un joueur Yautja et 24 chasseurs alliés PNJ originaux.</x:v>
      </x:c>
      <x:c r="H23" s="70" t="str">
        <x:v>Deux camps indépendants :736 adultes locaux XEN-036 et 192 soldats tactiques Prodigy originaux HUM-021. Ces effectifs sont ceux de la variante de guerre, pas de la série.</x:v>
      </x:c>
      <x:c r="I23" s="70" t="str">
        <x:v>40 civils,8 actifs au plus ;4 véhicules/dispositifs actifs au plus. Wendy, Hermit, Kirsh et Morrow restent hors roster automatique.</x:v>
      </x:c>
      <x:c r="J23" s="70" t="str">
        <x:v>GRP-51 — Binôme de reconnaissance (Clan du joueur — Yautja)</x:v>
      </x:c>
      <x:c r="K23" s="70" t="str">
        <x:v>GRP-43 — Adultes d’infiltration ou de colonie (Xénomorphes — incarnation locale)
GRP-48 — Protection et récupération (Prodigy — équipe tactique)</x:v>
      </x:c>
      <x:c r="L23" s="70" t="str">
        <x:v>Actifs: A [Xénomorphes 32 (GRP-43), Force humaine 8 (GRP-48), Clan du joueur 4 (GRP-51)]; B [Xénomorphes 24 (GRP-43), Force humaine 8 (GRP-48), Clan du joueur 4 (GRP-51)]; C [Xénomorphes 24 (GRP-43), Force humaine 8 (GRP-48)]; D [Xénomorphes 16 (GRP-43), Force humaine 8 (GRP-48)]. Distants: A [Xénomorphes 96 (GRP-43), Force humaine 24 (GRP-48)]; B [Xénomorphes 96 (GRP-43), Force humaine 24 (GRP-48)]; C [Xénomorphes 96 (GRP-43), Force humaine 24 (GRP-48), Clan du joueur 4 (GRP-51)]; D [Xénomorphes 96 (GRP-43), Force humaine 24 (GRP-48), Clan du joueur 4 (GRP-51)]. Réserve: Réserves par camp [Xénomorphes 256 (GRP-43), Force humaine 64 (GRP-48), Clan du joueur 8 (GRP-51)]. Les groupes restent identifiés lors d’un transfert de front ou d’un changement de niveau de simulation.</x:v>
      </x:c>
      <x:c r="M23"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Ne pas inclure les autres espèces du Maginot dans le quota Xénomorphe. Aucun clone de Wendy ni arsenal USCM ajouté.</x:v>
      </x:c>
      <x:c r="N23" s="70" t="str">
        <x:v>A : Sécuriser la route civile ; B : Isoler un secteur de l’épave ; C : Intercepter les données convoitées ; D : Préserver le départ du clan</x:v>
      </x:c>
      <x:c r="O23" s="70" t="str">
        <x:v>Fermer le secteur dangereux, extraire les données et sauver au moins 24 des 40 civils ;40 donnent le meilleur bilan.</x:v>
      </x:c>
      <x:c r="P23" s="70" t="str">
        <x:v>Données perdues, toutes les sorties irréparables ou perte du joueur ; moins de 24 rescapés donne un repli sans victoire.</x:v>
      </x:c>
      <x:c r="Q23" s="70" t="str">
        <x:v>BOS-35 remplace un garde du GRP-48 actif du front A. Wendy, Hermit, Kirsh et Morrow ne sont pas générés dans ces groupes.</x:v>
      </x:c>
      <x:c r="R23" s="70" t="str">
        <x:v>BOS-35 — Responsable du cordon Prodigy</x:v>
      </x:c>
      <x:c r="S23" s="70" t="str">
        <x:v>Cordon perdu : le convoi change de route. Epave laissée ouverte : les réserves présentes se déplacent vers la ville. Secours retardé : bilan civil dégradé.</x:v>
      </x:c>
      <x:c r="T23" s="70" t="str">
        <x:v>Alien: Earth ; invasion étendue et Yautja totalement originaux, sans prétendre reproduire l’épisode. Profil adulte XEN-036 ; BOS-35 remplace un garde Prodigy au front A. Plan, nombres et enchaînement de bataille originaux ; source du lieu dans Lieux_medias.</x:v>
      </x:c>
      <x:c r="U23" s="70" t="str">
        <x:v>P2</x:v>
      </x:c>
      <x:c r="V23" s="70" t="str">
        <x:v>Pendant 10 minutes loin d’au moins un objectif, vérifier une décision autonome, une perte ou progression et sa persistance au retour. Contrôler les totaux 928 ennemis / 24 alliés PNJ, trois états exclusifs, chefs inclus et plafonds civils/matériels. </x:v>
      </x:c>
    </x:row>
    <x:row r="24" ht="117" customHeight="1">
      <x:c r="A24" s="71" t="str">
        <x:v>AFF-18</x:v>
      </x:c>
      <x:c r="B24" s="71" t="str">
        <x:v>Tobler-9 — garder le refuge ouvert</x:v>
      </x:c>
      <x:c r="C24" s="71" t="str">
        <x:v>Y-X, pacte local avec les survivants</x:v>
      </x:c>
      <x:c r="D24" s="71" t="str">
        <x:v>LD-27 — Tobler-9 — avant-poste, refuge et sous-sol</x:v>
      </x:c>
      <x:c r="E24" s="71" t="str">
        <x:v>FR-31 — Tobler-9 — garder le refuge ouvert</x:v>
      </x:c>
      <x:c r="F24" s="71" t="str">
        <x:v>EFF-03 — Guerre du clan — bataille standard</x:v>
      </x:c>
      <x:c r="G24" s="71" t="str">
        <x:v>Un joueur Yautja et 48 chasseurs alliés PNJ originaux.</x:v>
      </x:c>
      <x:c r="H24" s="71" t="str">
        <x:v>1000 Xénomorphes du profil du théâtre ; aucun camp humain hostile ajouté.</x:v>
      </x:c>
      <x:c r="I24" s="71" t="str">
        <x:v>24 survivants civils,8 actifs au plus ;2 ascenseurs/portes lourdes matériels actifs. Aucun synthétique nommé ajouté au décompte. Steel Team n’est ni une réserve ni un groupe actif dans ce preset.</x:v>
      </x:c>
      <x:c r="J24" s="71" t="str">
        <x:v>GRP-51 — Binôme de reconnaissance (Clan du joueur — Yautja)</x:v>
      </x:c>
      <x:c r="K24" s="71" t="str">
        <x:v>GRP-43 — Adultes d’infiltration ou de colonie (Xénomorphes — incarnation locale)</x:v>
      </x:c>
      <x:c r="L24" s="71" t="str">
        <x:v>Actifs: A [Xénomorphes 48 (GRP-43), Clan du joueur 8 (GRP-51)]; B [Xénomorphes 40 (GRP-43), Clan du joueur 4 (GRP-51)]; C [Xénomorphes 40 (GRP-43), Clan du joueur 4 (GRP-51)]. Distants: A [Xénomorphes 192 (GRP-43), Clan du joueur 8 (GRP-51)]; B [Xénomorphes 160 (GRP-43), Clan du joueur 8 (GRP-51)]; C [Xénomorphes 160 (GRP-43), Clan du joueur 8 (GRP-51)]. Réserve: Réserve [Xénomorphes 360 (GRP-43), Clan du joueur 8 (GRP-51)]. Les groupes restent identifiés lors d’un transfert de front ou d’un changement de niveau de simulation.</x:v>
      </x:c>
      <x:c r="M24"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Profil ICARUS non activé tant que ses attributs ne sont pas vérifiés dans l’œuvre ; le nom de la souche est attesté. Le pacte ne convertit pas les civils en troupes. Evénement Steel Team désactivé dans ce preset chiffré. Toute activation exige un roster vérifié et une réallocation à budget constant ; aucun synthétique supplémentaire ni clone de personnage.</x:v>
      </x:c>
      <x:c r="N24" s="71" t="str">
        <x:v>A : Tenir le passage du refuge ; B : Relancer l’accès technique ; C : Couper la voie d’arrivée vers l’extraction</x:v>
      </x:c>
      <x:c r="O24" s="71" t="str">
        <x:v>Maintenir un abri, fermer une voie de ruche et évacuer au moins 16 des 24 civils.</x:v>
      </x:c>
      <x:c r="P24" s="71" t="str">
        <x:v>Aucun refuge ni sortie récupérable, ou perte du joueur ; moins de 16 rescapés donne un repli non victorieux.</x:v>
      </x:c>
      <x:c r="Q24" s="71" t="str">
        <x:v>Coordination locale originale ; aucun personnage nommé créé en plusieurs exemplaires.</x:v>
      </x:c>
      <x:c r="R24" s="71" t="str">
        <x:v>Aucun boss imposé</x:v>
      </x:c>
      <x:c r="S24" s="71" t="str">
        <x:v>Accès technique rétabli : raccourci utilisable par toutes les factions compatibles. Refuge perdu : extraction déplacée et ressources limitées.</x:v>
      </x:c>
      <x:c r="T24" s="71" t="str">
        <x:v>Arc Marvel 2022 ; mission Yautja originale, profil local XEN-035. Steel Team est un événement narratif optionnel dont la composition exacte doit être relevée avant ajout. Plan, nombres et enchaînement de bataille originaux ; source du lieu dans Lieux_medias. Sélecteur obligatoire XEN-035 : Tobler-9, Marvel2022 ; aucun tirage mélangeant les trois arcs.</x:v>
      </x:c>
      <x:c r="U24" s="71" t="str">
        <x:v>P1</x:v>
      </x:c>
      <x:c r="V24" s="71" t="str">
        <x:v>Pendant 10 minutes loin d’au moins un objectif, vérifier une décision autonome, une perte ou progression et sa persistance au retour. Contrôler les totaux 1000 ennemis / 48 alliés PNJ, trois états exclusifs, chefs inclus et plafonds civils/matériels. </x:v>
      </x:c>
    </x:row>
    <x:row r="25" ht="103.5" customHeight="1">
      <x:c r="A25" s="70" t="str">
        <x:v>AFF-19</x:v>
      </x:c>
      <x:c r="B25" s="70" t="str">
        <x:v>Epsilon — ouvrir le quai avant le transfert</x:v>
      </x:c>
      <x:c r="C25" s="70" t="str">
        <x:v>X-Y-H, infiltration localisée</x:v>
      </x:c>
      <x:c r="D25" s="70" t="str">
        <x:v>LD-28 — Station Epsilon — sas, laboratoires et quai</x:v>
      </x:c>
      <x:c r="E25" s="70" t="str">
        <x:v>FR-32 — Epsilon — ouvrir le quai avant le transfert</x:v>
      </x:c>
      <x:c r="F25" s="70" t="str">
        <x:v>EFF-15 — Infiltration de station — menace localisée</x:v>
      </x:c>
      <x:c r="G25" s="70" t="str">
        <x:v>Un joueur Yautja et 4 chasseurs alliés PNJ originaux.</x:v>
      </x:c>
      <x:c r="H25" s="70" t="str">
        <x:v>8 Xénomorphes et 32 humains ou synthétiques ; relations détaillées par le preset.</x:v>
      </x:c>
      <x:c r="I25" s="70" t="str">
        <x:v>8 civils,4 actifs au plus ;2 navettes/dispositifs actifs au plus.</x:v>
      </x:c>
      <x:c r="J25" s="70" t="str">
        <x:v>GRP-51 — Binôme de reconnaissance (Clan du joueur — Yautja)</x:v>
      </x:c>
      <x:c r="K25" s="70" t="str">
        <x:v>GRP-43 — Adultes d’infiltration ou de colonie (Xénomorphes — incarnation locale)
GRP-49 — Garde de site et transfert de données (Sécurité corporatiste originale)</x:v>
      </x:c>
      <x:c r="L25" s="70" t="str">
        <x:v>Actifs: A [Xénomorphes 1 (GRP-43), Force humaine 4 (GRP-49), Clan du joueur 2 (GRP-51)]; B [Force humaine 4 (GRP-49)]; C [Xénomorphes 1 (GRP-43), Force humaine 2 (GRP-49)]. Distants: A [Force humaine 4 (GRP-49)]; B [Xénomorphes 2 (GRP-43), Force humaine 6 (GRP-49), Clan du joueur 2 (GRP-51)]; C [Xénomorphes 2 (GRP-43), Force humaine 6 (GRP-49)]. Réserve: Réserve [Xénomorphes 2 (GRP-43), Force humaine 6 (GRP-49)]. Les groupes restent identifiés lors d’un transfert de front ou d’un changement de niveau de simulation.</x:v>
      </x:c>
      <x:c r="M25"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Contrairement au preset Sevastopol, la force humaine est ici une garde originale armée et ses relations avec les adultes sont hostiles.</x:v>
      </x:c>
      <x:c r="N25" s="70" t="str">
        <x:v>A : Empêcher la sortie du transfert ; B : Rouvrir le sas de secours ; C : Tenir le quai d’extraction</x:v>
      </x:c>
      <x:c r="O25" s="70" t="str">
        <x:v>Récupérer l’objectif et extraire le joueur avec au moins 4 des 8 rescapés.</x:v>
      </x:c>
      <x:c r="P25" s="70" t="str">
        <x:v>Objectif quitté réellement le théâtre, toutes sorties fermées ou perte du joueur ; moins de 4 rescapés donne un repli non victorieux.</x:v>
      </x:c>
      <x:c r="Q25" s="70" t="str">
        <x:v>Coordination locale originale ; aucun personnage nommé créé en plusieurs exemplaires.</x:v>
      </x:c>
      <x:c r="R25" s="70" t="str">
        <x:v>Aucun boss imposé</x:v>
      </x:c>
      <x:c r="S25" s="70" t="str">
        <x:v>Transfert laissé seul : départ possible. Sas bloqué : civils retardés. Quai perdu : seconde sortie à rouvrir.</x:v>
      </x:c>
      <x:c r="T25" s="70" t="str">
        <x:v>Arc Marvel 2021 ; intrusion Yautja et gardes corporatistes originaux, adultes locaux XEN-035. Plan, nombres et enchaînement de bataille originaux ; source du lieu dans Lieux_medias. Sélecteur obligatoire XEN-035 : Epsilon, Marvel2021 ; aucun tirage mélangeant les trois arcs.</x:v>
      </x:c>
      <x:c r="U25" s="70" t="str">
        <x:v>P1</x:v>
      </x:c>
      <x:c r="V25" s="70" t="str">
        <x:v>Pendant 10 minutes loin d’au moins un objectif, vérifier une décision autonome, une perte ou progression et sa persistance au retour. Contrôler les totaux 40 ennemis / 4 alliés PNJ, trois états exclusifs, chefs inclus et plafonds civils/matériels. </x:v>
      </x:c>
    </x:row>
    <x:row r="26" ht="117" customHeight="1">
      <x:c r="A26" s="71" t="str">
        <x:v>AFF-20</x:v>
      </x:c>
      <x:c r="B26" s="71" t="str">
        <x:v>Neonopolis — la route des technologies dérobées</x:v>
      </x:c>
      <x:c r="C26" s="71" t="str">
        <x:v>Yautja contre sécurité humaine ; raid de grande ampleur original</x:v>
      </x:c>
      <x:c r="D26" s="71" t="str">
        <x:v>LD-29 — Neonopolis — récupération technologique dans les quartiers industriels</x:v>
      </x:c>
      <x:c r="E26" s="71" t="str">
        <x:v>FR-33 — Neonopolis : interrompre le circuit du matériel dérobé</x:v>
      </x:c>
      <x:c r="F26" s="71" t="str">
        <x:v>EFF-12 — Humains du futur — opération militaire</x:v>
      </x:c>
      <x:c r="G26" s="71" t="str">
        <x:v>Clan des Cendres Veilleuses, création originale ; chasseur du joueur inédit. Scarface et Stone Heart non déployés dans le preset.</x:v>
      </x:c>
      <x:c r="H26" s="71" t="str">
        <x:v>Force industrielle humaine inventée à Neonopolis ; aucune identité canonique attribuée à ses 768 combattants.</x:v>
      </x:c>
      <x:c r="I26" s="71" t="str">
        <x:v>48 ouvriers et habitants neutres : 16 actifs au plus et les autres suivis à distance, sans réserve civile créée. 4 véhicules et 2 tourelles sont du matériel ; opérateurs humains déjà inclus dans GRP-55. Aucun synthétique ni xénomorphe dans ce preset.</x:v>
      </x:c>
      <x:c r="J26" s="71"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6" s="71" t="str">
        <x:v>GRP-55 — Section de garde, transfert et verrouillage (Humains — sécurité industrielle de Neonopolis, opération originale)</x:v>
      </x:c>
      <x:c r="L26" s="71" t="str">
        <x:v>Actifs — A : E [6 × GRP-55 (48 PNJ)] ; A [1 × GRP-31 (4 PNJ)] | B : E [4 × GRP-55 (32 PNJ)] ; A [1 × GRP-34 (4 PNJ)] | C : E [3 × GRP-55 (24 PNJ)] ; A [1 × GRP-35 (4 PNJ)] | D : E [3 × GRP-55 (24 PNJ)] ; A [0]. Distants — A : E [12 × GRP-55 (96 PNJ)] ; A [1 × GRP-33 (4 PNJ)] | B : E [12 × GRP-55 (96 PNJ)] ; A [0] | C : E [12 × GRP-55 (96 PNJ)] ; A [1 × GRP-35 (4 PNJ)] | D : E [12 × GRP-55 (96 PNJ)] ; A [1 × GRP-31 (4 PNJ)]. Réserve non déployée — Réserve : E [32 × GRP-55 (256 PNJ)] ; A [2 × GRP-33 (8 PNJ)]. Joueur séparé ; chefs compris ; civils et matériels dans leurs registres distincts.</x:v>
      </x:c>
      <x:c r="M26" s="71" t="str">
        <x:v>La réserve de 256 humains peut partir par le dépôt C si la route et les communications sont disponibles ; arrivée par section de 8. Les 8 alliés en réserve arrivent par la sortie D, par groupes de 4. Couper un passage arrête les départs suivants, pas les unités déjà en route.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6" s="71" t="str">
        <x:v>A récupérer le module ; B copier les registres ; C empêcher sa sortie adverse ; D garder une extraction. Bonus : protéger les civils et capturer Voss.</x:v>
      </x:c>
      <x:c r="O26" s="71" t="str">
        <x:v>Module et copie des registres sécurisés, joueur et module extraits par une route accessible. Les pertes civiles donnent un bilan séparé, sans transformer les civils en ennemis.</x:v>
      </x:c>
      <x:c r="P26" s="71" t="str">
        <x:v>Module emporté hors carte ou détruit avant récupération ; joueur neutralisé sans secours ; aucune sortie récupérable après délai de contre-action annoncé.</x:v>
      </x:c>
      <x:c r="Q26" s="71" t="str">
        <x:v>BOS-36 Mara Voss remplace le chef de la première GRP-55 active de A ; comprise dans les 48 ennemis de ce front.</x:v>
      </x:c>
      <x:c r="R26" s="71" t="str">
        <x:v>BOS-36 — Mara Voss, responsable du transfert industriel</x:v>
      </x:c>
      <x:c r="S26" s="71" t="str">
        <x:v>L’état de B change l’information et le trajet du convoi ; C détermine les arrivées ; D affecte les verrouillages et l’extraction. Neutraliser Voss ne termine pas automatiquement la mission.</x:v>
      </x:c>
      <x:c r="T26" s="71" t="str">
        <x:v>Scénario et personnages additionnels originaux, non reconstitution du déroulement de l’œuvre. Effectifs, objectifs, groupes et dimensions sont des propositions de jeu. Inspiration : Y-L03 / Y-S22 et Y-S23. 768 humains et 32 alliés sont un budget de guerre original, pas un recensement de Neonopolis.</x:v>
      </x:c>
      <x:c r="U26" s="71" t="str">
        <x:v>P1</x:v>
      </x:c>
      <x:c r="V26" s="71" t="str">
        <x:v>Journal vérifiant 128/384/256 E et 12/12/8 A ; module transporté par un itinéraire réel ; aucune section dupliquée à l’arrivée ; civils hors objectifs de kills ; le résultat de chacun des quatre fronts change la mission.</x:v>
      </x:c>
    </x:row>
    <x:row r="27" ht="144" customHeight="1">
      <x:c r="A27" s="70" t="str">
        <x:v>AFF-21</x:v>
      </x:c>
      <x:c r="B27" s="70" t="str">
        <x:v>Genna — balise disputée entre deux clans</x:v>
      </x:c>
      <x:c r="C27" s="70" t="str">
        <x:v>Yautja contre Yautja ; conflit original sur lieu de film</x:v>
      </x:c>
      <x:c r="D27" s="70" t="str">
        <x:v>LD-30 — Genna — trois voies de récupération d’une balise de clan</x:v>
      </x:c>
      <x:c r="E27" s="70" t="str">
        <x:v>FR-34 — Genna : reprendre une balise avant son transport</x:v>
      </x:c>
      <x:c r="F27" s="70" t="str">
        <x:v>EFF-09 — Clans rivaux — escarmouche de chasseurs</x:v>
      </x:c>
      <x:c r="G27" s="70" t="str">
        <x:v>Clan des Cendres Veilleuses, original ; aucun lien revendiqué avec la famille de Dek.</x:v>
      </x:c>
      <x:c r="H27" s="70" t="str">
        <x:v>Clan des Roches Creuses, original ; Vorrek commande cette seule opération.</x:v>
      </x:c>
      <x:c r="I27" s="70" t="str">
        <x:v>Aucun combattant tiers ni civil. Faune combattante et personnages nommés de Badlands absents ; dangers de parcours éventuels sont des règles originales et ne simulent pas une nouvelle caste.</x:v>
      </x:c>
      <x:c r="J27" s="70" t="str">
        <x:v>GRP-31 — Éclaireurs de relief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7" s="70"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27" s="70" t="str">
        <x:v>Actifs — A : E [2 × GRP-31 (8 PNJ)] ; A [1 × GRP-31 (4 PNJ)] | B : E [1 × GRP-36 (4 PNJ)] ; A [1 × GRP-34 (4 PNJ)] | C : E [1 × GRP-32 (4 PNJ)] ; A [0]. Distants — A : E [2 × GRP-33 (8 PNJ)] ; A [0] | B : E [3 × GRP-32 (12 PNJ)] ; A [1 × GRP-33 (4 PNJ)] | C : E [3 × GRP-35 (12 PNJ)] ; A [1 × GRP-35 (4 PNJ)]. Réserve non déployée — Réserve : E [2 × GRP-31 (8 PNJ) + 2 × GRP-33 (8 PNJ)] ; A [1 × GRP-35 (4 PNJ)]. Joueur séparé ; chefs compris ; civils et matériels dans leurs registres distincts.</x:v>
      </x:c>
      <x:c r="M27" s="70" t="str">
        <x:v>Réserve rivale de 16 depuis le camp C ou une approche A encore reliée ; réserve alliée de 4 par C après sécurisation. Une escouade de 4 par départ ; une balise coupée retarde l’ordre, sans faire apparaître de renfort.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7" s="70" t="str">
        <x:v>A ouvrir une route ; B récupérer la balise ou intercepter son transfert ; C préserver un départ. Option : obtenir un retrait de Vorrek par une trêve propre à cette mission.</x:v>
      </x:c>
      <x:c r="O27" s="70" t="str">
        <x:v>Balise sous contrôle du clan du joueur, joueur sorti par C et état des survivants conservé ; extermination non requise.</x:v>
      </x:c>
      <x:c r="P27" s="70" t="str">
        <x:v>Balise définitivement emportée hors théâtre par les rivaux ; joueur neutralisé sans secours ; camp et route de départ irrécupérables après alerte et possibilité d’intervention.</x:v>
      </x:c>
      <x:c r="Q27" s="70" t="str">
        <x:v>BOS-37 Vorrek dans le GRP-36 actif de B ; un des quatre PNJ du groupe.</x:v>
      </x:c>
      <x:c r="R27" s="70" t="str">
        <x:v>BOS-37 — Vorrek, chef de la récupération rivale</x:v>
      </x:c>
      <x:c r="S27" s="70" t="str">
        <x:v>A influence la détection, B la localisation du module, C les arrivées et la sortie. Une trêve n’atteint les patrouilles éloignées qu’après transmission effective.</x:v>
      </x:c>
      <x:c r="T27" s="70" t="str">
        <x:v>Scénario et personnages additionnels originaux, non reconstitution du déroulement de l’œuvre. Effectifs, objectifs, groupes et dimensions sont des propositions de jeu. Lieu sourcé Y-L01 / Y-S17 ; la présence de ces deux clans sur Genna, leurs armes et ce conflit ne sont pas des faits de Badlands.</x:v>
      </x:c>
      <x:c r="U27" s="70" t="str">
        <x:v>P2</x:v>
      </x:c>
      <x:c r="V27" s="70" t="str">
        <x:v>16/32/16 rivaux et 8/8/4 alliés exactement ; absence de Dek/Thia/animaux nommés dans le roster ; balise et trêve ont des transitions journalisées ; trois fronts actifs hors caméra.</x:v>
      </x:c>
    </x:row>
    <x:row r="28" ht="144" customHeight="1">
      <x:c r="A28" s="71" t="str">
        <x:v>AFF-22</x:v>
      </x:c>
      <x:c r="B28" s="71" t="str">
        <x:v>The Last Hunt — libération dans une réserve alternative</x:v>
      </x:c>
      <x:c r="C28" s="71" t="str">
        <x:v>Yautja contre ravisseurs Yautja ; humains à secourir</x:v>
      </x:c>
      <x:c r="D28" s="71" t="str">
        <x:v>LD-31 — Réserve de The Last Hunt — opération de libération alternative</x:v>
      </x:c>
      <x:c r="E28" s="71" t="str">
        <x:v>FR-35 — Réserve alternative : ouvrir le corridor des captifs</x:v>
      </x:c>
      <x:c r="F28" s="71" t="str">
        <x:v>EFF-09 — Clans rivaux — escarmouche de chasseurs</x:v>
      </x:c>
      <x:c r="G28" s="71" t="str">
        <x:v>Détachement original des Cendres Veilleuses, engagé pour cette mission de secours.</x:v>
      </x:c>
      <x:c r="H28" s="71" t="str">
        <x:v>Ravisseurs Yautja originaux du groupe de Narek ; aucune équivalence avec tous les clans ni avec le Super Predator du comic.</x:v>
      </x:c>
      <x:c r="I28" s="71" t="str">
        <x:v>24 humains captifs non combattants, trois groupes de 8, au maximum 8 actifs simultanément. Les autres restent suivis à distance ; extraction, décès et déplacement persistent. 1 transport de départ est du matériel, son pilote fait déjà partie d’un GRP-35 allié.</x:v>
      </x:c>
      <x:c r="J28" s="71" t="str">
        <x:v>GRP-32 — Intercepteurs de passage (Yautja — modèle de détachement ; allégeance fixée par chaque opération)
GRP-33 — Gardes de position (Yautja — modèle de détachement ; allégeance fixée par chaque opération)
GRP-34 — Équipe de route et de réparation (Yautja — modèle de détachement ; allégeance fixée par chaque opération)
GRP-35 — Escorte de fret et de retrait (Yautja — modèle de détachement ; allégeance fixée par chaque opération)</x:v>
      </x:c>
      <x:c r="K28" s="71" t="str">
        <x:v>GRP-31 — Éclaireurs de relief (Yautja — modèle de détachement ; allégeance fixée par chaque opération)
GRP-32 — Intercepteurs de passage (Yautja — modèle de détachement ; allégeance fixée par chaque opération)
GRP-33 — Gardes de position (Yautja — modèle de détachement ; allégeance fixée par chaque opération)
GRP-35 — Escorte de fret et de retrait (Yautja — modèle de détachement ; allégeance fixée par chaque opération)
GRP-36 — Détachement de commandement (Yautja — modèle de détachement ; allégeance fixée par chaque opération)</x:v>
      </x:c>
      <x:c r="L28" s="71" t="str">
        <x:v>Actifs — A : E [2 × GRP-33 (8 PNJ)] ; A [1 × GRP-32 (4 PNJ)] | B : E [1 × GRP-31 (4 PNJ)] ; A [1 × GRP-34 (4 PNJ)] | C : E [1 × GRP-36 (4 PNJ)] ; A [0]. Distants — A : E [3 × GRP-32 (12 PNJ)] ; A [1 × GRP-33 (4 PNJ)] | B : E [3 × GRP-33 (12 PNJ)] ; A [1 × GRP-35 (4 PNJ)] | C : E [2 × GRP-35 (8 PNJ)] ; A [0]. Réserve non déployée — Réserve : E [2 × GRP-32 (8 PNJ) + 2 × GRP-33 (8 PNJ)] ; A [1 × GRP-35 (4 PNJ)]. Joueur séparé ; chefs compris ; civils et matériels dans leurs registres distincts.</x:v>
      </x:c>
      <x:c r="M28" s="71" t="str">
        <x:v>Les 16 rivaux de réserve entrent par la garde extérieure reliée à C, par groupes de 4 ; les 4 alliés de réserve arrivent au point de départ dès ouverture de la liaison. Capturer la commande bloque les nouveaux départs adverses, pas les patrouilles en marche.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8" s="71" t="str">
        <x:v>A libérer 16 captifs ; B protéger le troisième groupe et le corridor ; C ouvrir le départ. Extraire au moins 16 captifs, en conserver le maximum et enregistrer leur bilan individuel.</x:v>
      </x:c>
      <x:c r="O28" s="71" t="str">
        <x:v>Au moins 16 captifs sur 24 et joueur extraits = victoire. De 16 à 23 : secours partiel ; 24 : secours complet.</x:v>
      </x:c>
      <x:c r="P28" s="71" t="str">
        <x:v>Moins de 16 captifs encore sauvables : objectif de victoire échoué, repli de survivants encore possible. Joueur neutralisé sans secours ou départ irrécupérable après contre-action : échec de mission.</x:v>
      </x:c>
      <x:c r="Q28" s="71" t="str">
        <x:v>BOS-38 Narek remplace le commandant du GRP-36 actif de C ; inclus dans les 4 rivaux de ce groupe.</x:v>
      </x:c>
      <x:c r="R28" s="71" t="str">
        <x:v>BOS-38 — Narek, gardien rival du site de captivité</x:v>
      </x:c>
      <x:c r="S28" s="71" t="str">
        <x:v>Les gardes peuvent déplacer des captifs sur une route connue. La perte d’un poste modifie un verrou et le risque d’interception ; la défaite du gardien n’extrait personne automatiquement.</x:v>
      </x:c>
      <x:c r="T28" s="71" t="str">
        <x:v>Scénario et personnages additionnels originaux, non reconstitution du déroulement de l’œuvre. Effectifs, objectifs, groupes et dimensions sont des propositions de jeu. Lieu inspiré de Y-L04 / Y-S21 ; les captifs, leur nombre, Narek, le motif de secours et les trois abris sont inventés pour cette variante. Theta et le Super Predator du comic ne sont pas déployés.</x:v>
      </x:c>
      <x:c r="U28" s="71" t="str">
        <x:v>P2</x:v>
      </x:c>
      <x:c r="V28" s="71" t="str">
        <x:v>64 rivaux/20 alliés alloués ; 24 captifs réconciliés à tout instant et cap actif 8 ; 0 captif compté comme kill ; seuil 16 conduit à une issue définie ; actions A/B/C déterminent les routes réellement ouvertes.</x:v>
      </x:c>
    </x:row>
    <x:row r="29" ht="117" customHeight="1">
      <x:c r="A29" s="70" t="str">
        <x:v>AFF-23</x:v>
      </x:c>
      <x:c r="B29" s="70" t="str">
        <x:v>Toundra — rencontre alternative avec Theta</x:v>
      </x:c>
      <x:c r="C29" s="70" t="str">
        <x:v>Traque Yautja/humains restreinte ; trêve locale possible</x:v>
      </x:c>
      <x:c r="D29" s="70" t="str">
        <x:v>LD-32 — Planète de toundra — épave de Theta et approche de l’avant-poste</x:v>
      </x:c>
      <x:c r="E29" s="70" t="str">
        <x:v>FR-36 — Toundra : récupération sous surveillance de Theta</x:v>
      </x:c>
      <x:c r="F29" s="70" t="str">
        <x:v>EFF-17 — Traque de toundra — rencontres de faible densité</x:v>
      </x:c>
      <x:c r="G29" s="70" t="str">
        <x:v>Chasseur Yautja inédit et 4 éclaireurs alliés originaux ; aucun clan canonique revendiqué.</x:v>
      </x:c>
      <x:c r="H29" s="70" t="str">
        <x:v>Theta Berwick unique (HUM-032, GRP-57) et 7 gardes d’avant-poste originaux (GRP-56), adversaires initiaux conditionnels et non une chaîne de commandement commune.</x:v>
      </x:c>
      <x:c r="I29" s="70" t="str">
        <x:v>4 habitants non armés de l’avant-poste, ajout de scénario : 2 actifs au plus, les autres suivis à distance. Épave, balise et équipements de liaison sont du matériel. Theta n’est jamais comptée parmi ces civils.</x:v>
      </x:c>
      <x:c r="J29" s="70" t="str">
        <x:v>GRP-12 — Éclaireurs (Yautja alliés)</x:v>
      </x:c>
      <x:c r="K29" s="70" t="str">
        <x:v>GRP-56 — Petite patrouille d’approche (Humains — garde originale de l’avant-poste de toundra)
GRP-57 — Acteur unique de traque et de décision (Humaine — Theta Berwick, relation locale de scénario)</x:v>
      </x:c>
      <x:c r="L29" s="70" t="str">
        <x:v>Actifs — A : E [1 × GRP-57 (1 PNJ) + 1 × GRP-56 (1 PNJ)] ; A [1 × GRP-12 (2 PNJ)] | B : E [1 × GRP-56 (2 PNJ)] ; A [0] | C : E [0] ; A [0]. Distants — A : E [0] ; A [0] | B : E [1 × GRP-56 (2 PNJ)] ; A [0] | C : E [1 × GRP-56 (2 PNJ)] ; A [1 × GRP-12 (2 PNJ)]. Réserve non déployée — Réserve : E [0] ; A [0]. Joueur séparé ; chefs compris ; civils et matériels dans leurs registres distincts.</x:v>
      </x:c>
      <x:c r="M29" s="70" t="str">
        <x:v>Aucune réserve, aucune nouvelle patrouille. Theta et les sept gardes déplacent leurs propres IDs entre A/B/C ; les deux binômes alliés restent exactement 4. Une trêve conserve les identités et plafonds d’acteurs : les comptes de relations hostiles/neutres changent, sans transfert implicite dans les 4 alliés. Réserves finies : chaque transfert garde ID, PV, objectif et état. Un agent occupe exactement un état actif/distant/réserve ; l’entrée attend une place libre sous les plafonds globaux. Aucun renfort à partir d’un mort ni apparition au contact. E/A décrivent les camps initiaux ; une trêve modifie les relations sans dupliquer les acteurs.</x:v>
      </x:c>
      <x:c r="N29" s="70" t="str">
        <x:v>A récupérer la balise originale ajoutée près de l’épave ; B reconnaître un retour protégé ; C ouvrir une liaison d’identification ou une sortie. Option : aider Theta et convenir d’une non-agression locale.</x:v>
      </x:c>
      <x:c r="O29" s="70" t="str">
        <x:v>Balise et joueur extraits ; état de Theta connu (vivante hostile, neutre, secourue ou morte). La neutraliser n’est pas un objectif nécessaire ; trêve et survie donnent le meilleur bilan narratif proposé.</x:v>
      </x:c>
      <x:c r="P29" s="70" t="str">
        <x:v>Joueur neutralisé sans secours, balise définitivement perdue ou sortie irrécupérable après avertissement et contre-action. Une rupture de trêve annule son avantage narratif sans engendrer de nouvelles unités.</x:v>
      </x:c>
      <x:c r="Q29" s="70" t="str">
        <x:v>Theta décide seule ; chaque petit groupe de gardes a son responsable inclus. Aucun boss supplémentaire, aucune santé de monstre pour Theta.</x:v>
      </x:c>
      <x:c r="R29" s="70" t="str">
        <x:v>Aucun boss imposé</x:v>
      </x:c>
      <x:c r="S29" s="70" t="str">
        <x:v>Theta poursuit sa marche sans attendre le joueur. L’approche B change l’exposition, C l’identification et la sortie. Une trêve locale avec Theta ne rend pas les gardes alliés automatiquement.</x:v>
      </x:c>
      <x:c r="T29" s="70" t="str">
        <x:v>Scénario et personnages additionnels originaux, non reconstitution du déroulement de l’œuvre. Effectifs, objectifs, groupes et dimensions sont des propositions de jeu. H-L09 et HUM-032 ; Marvel Predator (2022) #2 établit seulement Theta échouée, l’avant-poste et une traque. La balise, les sept gardes, les quatre alliés et l’issue négociée sont inventés.</x:v>
      </x:c>
      <x:c r="U29" s="70" t="str">
        <x:v>P2</x:v>
      </x:c>
      <x:c r="V29" s="70" t="str">
        <x:v>Départ E=4 actifs +4 distants, A=2+2, réserves=0, joueur=1. Un seul HUM-032/GRP-57 ; 7 gardes exactement ; après trêve, la conservation des 8 acteurs initiaux ennemis est vérifiée séparément des relations ; aucun groupe ne dépasse son min/max.</x:v>
      </x:c>
    </x:row>
    <x:row r="30" ht="103.5" customHeight="1">
      <x:c r="A30" s="71" t="str">
        <x:v>AFF-24</x:v>
      </x:c>
      <x:c r="B30" s="71" t="str">
        <x:v>Lune des Spinners — secourir l’habitat</x:v>
      </x:c>
      <x:c r="C30" s="71" t="str">
        <x:v>Y-X, colonie humaine à évacuer</x:v>
      </x:c>
      <x:c r="D30" s="71" t="str">
        <x:v>LD-33 — Lune des Spinners — habitat et terraformation</x:v>
      </x:c>
      <x:c r="E30" s="71" t="str">
        <x:v>FR-37 — Lune des Spinners — secourir l’habitat</x:v>
      </x:c>
      <x:c r="F30" s="71" t="str">
        <x:v>EFF-03 — Guerre du clan — bataille standard</x:v>
      </x:c>
      <x:c r="G30" s="71" t="str">
        <x:v>Un joueur Yautja et 48 chasseurs alliés PNJ originaux.</x:v>
      </x:c>
      <x:c r="H30" s="71" t="str">
        <x:v>1000 Xénomorphes du profil du théâtre ; aucun camp humain hostile ajouté.</x:v>
      </x:c>
      <x:c r="I30" s="71" t="str">
        <x:v>36 Spinners civils,8 actifs au plus ;3 transports matériels actifs au plus.</x:v>
      </x:c>
      <x:c r="J30" s="71" t="str">
        <x:v>GRP-51 — Binôme de reconnaissance (Clan du joueur — Yautja)</x:v>
      </x:c>
      <x:c r="K30" s="71" t="str">
        <x:v>GRP-43 — Adultes d’infiltration ou de colonie (Xénomorphes — incarnation locale)</x:v>
      </x:c>
      <x:c r="L30" s="71" t="str">
        <x:v>Actifs: A [Xénomorphes 48 (GRP-43), Clan du joueur 8 (GRP-51)]; B [Xénomorphes 40 (GRP-43), Clan du joueur 4 (GRP-51)]; C [Xénomorphes 40 (GRP-43), Clan du joueur 4 (GRP-51)]. Distants: A [Xénomorphes 192 (GRP-43), Clan du joueur 8 (GRP-51)]; B [Xénomorphes 160 (GRP-43), Clan du joueur 8 (GRP-51)]; C [Xénomorphes 160 (GRP-43), Clan du joueur 8 (GRP-51)]. Réserve: Réserve [Xénomorphes 360 (GRP-43), Clan du joueur 8 (GRP-51)]. Les groupes restent identifiés lors d’un transfert de front ou d’un changement de niveau de simulation.</x:v>
      </x:c>
      <x:c r="M30"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Aucun arsenal de Marines attribué aux habitants. La colonie ajoutée doit montrer habitat et ressources capables d’expliquer les routes.</x:v>
      </x:c>
      <x:c r="N30" s="71" t="str">
        <x:v>A : Protéger les habitants ; B : Rétablir la route du chantier ; C : Couper l’accès de ruche à l’embarquement</x:v>
      </x:c>
      <x:c r="O30" s="71" t="str">
        <x:v>Evacuer 24 des 36 civils et extraire le joueur ;36 donnent le meilleur bilan.</x:v>
      </x:c>
      <x:c r="P30" s="71" t="str">
        <x:v>Aucun embarquement récupérable ou perte du joueur ; moins de 24 rescapés donne un repli non victorieux.</x:v>
      </x:c>
      <x:c r="Q30" s="71" t="str">
        <x:v>Coordination locale originale ; aucun personnage nommé créé en plusieurs exemplaires.</x:v>
      </x:c>
      <x:c r="R30" s="71" t="str">
        <x:v>Aucun boss imposé</x:v>
      </x:c>
      <x:c r="S30" s="71" t="str">
        <x:v>Chantier fermé : secours plus lent. Passage de ruche ouvert : pression déplacée vers l’embarquement. Habitants laissés seuls : pertes persistantes.</x:v>
      </x:c>
      <x:c r="T30" s="71" t="str">
        <x:v>Arc Marvel 2021 ; monde nommé prudemment, intervention Yautja et effectifs de guerre originaux. Profil local XEN-035. Plan, nombres et enchaînement de bataille originaux ; source du lieu dans Lieux_medias. Sélecteur obligatoire XEN-035 : Spinners / Revival, Marvel2021 ; aucun tirage mélangeant les trois arcs.</x:v>
      </x:c>
      <x:c r="U30" s="71" t="str">
        <x:v>P2</x:v>
      </x:c>
      <x:c r="V30" s="71" t="str">
        <x:v>Pendant 10 minutes loin d’au moins un objectif, vérifier une décision autonome, une perte ou progression et sa persistance au retour. Contrôler les totaux 1000 ennemis / 48 alliés PNJ, trois états exclusifs, chefs inclus et plafonds civils/matériels. </x:v>
      </x:c>
    </x:row>
    <x:row r="31" ht="103.5" customHeight="1">
      <x:c r="A31" s="70" t="str">
        <x:v>AFF-25</x:v>
      </x:c>
      <x:c r="B31" s="70" t="str">
        <x:v>Lethe — variante Colonial Marines contre la ruche</x:v>
      </x:c>
      <x:c r="C31" s="70" t="str">
        <x:v>X-H, mode humain secondaire optionnel</x:v>
      </x:c>
      <x:c r="D31" s="70" t="str">
        <x:v>LD-23 — Lethe — colonie, usine et accès de ruche</x:v>
      </x:c>
      <x:c r="E31" s="70" t="str">
        <x:v>FR-38 — Lethe — variante Colonial Marines contre la ruche</x:v>
      </x:c>
      <x:c r="F31" s="70" t="str">
        <x:v>EFF-16 — Variante humaine optionnelle — trois fronts contre une ruche</x:v>
      </x:c>
      <x:c r="G31" s="70" t="str">
        <x:v>Un joueur humain original à créer ; 32 alliés PNJ. Mode secondaire optionnel, dépend d’un contrôleur humain jouable absent du périmètre validé.</x:v>
      </x:c>
      <x:c r="H31" s="70" t="str">
        <x:v>576 Xénomorphes du profil du théâtre ; aucun camp humain hostile ajouté.</x:v>
      </x:c>
      <x:c r="I31" s="70" t="str">
        <x:v>12 civils,4 actifs au plus ;2 véhicules matériels actifs au plus.</x:v>
      </x:c>
      <x:c r="J31" s="70" t="str">
        <x:v>GRP-53 — Section de terrain (Colonial Marines — Lethe)</x:v>
      </x:c>
      <x:c r="K31" s="70" t="str">
        <x:v>GRP-62 — Cellule adulte de ruche (Xénomorphes — Dark Descent)
GRP-45 — Garde d’un passage de ruche (Xénomorphes — Dark Descent)</x:v>
      </x:c>
      <x:c r="L31" s="70" t="str">
        <x:v>Actifs: A [Xénomorphes 32 (GRP-62), Défense humaine 4 (GRP-53)]; B [Xénomorphes 32 (GRP-62), Défense humaine 4 (GRP-53)]; C [Xénomorphes 24 (GRP-62), Xénomorphes 8 (GRP-45), Défense humaine 4 (GRP-53)]. Distants: A [Xénomorphes 96 (GRP-62), Défense humaine 4 (GRP-53)]; B [Xénomorphes 96 (GRP-62), Défense humaine 4 (GRP-53)]; C [Xénomorphes 96 (GRP-62), Défense humaine 4 (GRP-53)]. Réserve: Réserve [Xénomorphes 192 (GRP-62), Défense humaine 8 (GRP-53)]. Les groupes restent identifiés lors d’un transfert de front ou d’un changement de niveau de simulation.</x:v>
      </x:c>
      <x:c r="M31" s="70"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Contrôleur humain, caméra et arsenal jouables à ajouter avant recette ; ne pas présenter ce mode comme déjà compatible.</x:v>
      </x:c>
      <x:c r="N31" s="70" t="str">
        <x:v>A : Ouvrir la route de retour ; B : Protéger le relais ; C : Dégager le passage de ruche</x:v>
      </x:c>
      <x:c r="O31" s="70" t="str">
        <x:v>Rétablir la route, tenir le relais et extraire au moins 8 alliés PNJ survivants.</x:v>
      </x:c>
      <x:c r="P31" s="70" t="str">
        <x:v>Joueur perdu ou aucune route de retour ; si moins de 8 alliés subsistent, retraite non victorieuse.</x:v>
      </x:c>
      <x:c r="Q31" s="70" t="str">
        <x:v>Rencontres BOS-32 incluses dans les groupes ; chef humain éventuel remplace un garde.</x:v>
      </x:c>
      <x:c r="R31" s="70" t="str">
        <x:v>BOS-32 — Praetorian du passage de Lethe</x:v>
      </x:c>
      <x:c r="S31" s="70" t="str">
        <x:v>Relais perdu : ordres limités localement. Section abandonnée : repli ou pertes, pas téléportation vers le joueur.</x:v>
      </x:c>
      <x:c r="T31" s="70" t="str">
        <x:v>Dark Descent ; déroulement et nombres originaux. Adultes locaux GRP-62 / XEN-037, sans règles AVP 2010. Plan, nombres et enchaînement de bataille originaux ; source du lieu dans Lieux_medias.</x:v>
      </x:c>
      <x:c r="U31" s="70" t="str">
        <x:v>P2</x:v>
      </x:c>
      <x:c r="V31" s="70" t="str">
        <x:v>Pendant 10 minutes loin d’au moins un objectif, vérifier une décision autonome, une perte ou progression et sa persistance au retour. Contrôler les totaux 576 ennemis / 32 alliés PNJ, trois états exclusifs, chefs inclus et plafonds civils/matériels. Exécution bloquée avant livraison du personnage humain jouable.</x:v>
      </x:c>
    </x:row>
    <x:row r="32" ht="117" customHeight="1">
      <x:c r="A32" s="71" t="str">
        <x:v>AFF-26</x:v>
      </x:c>
      <x:c r="B32" s="71" t="str">
        <x:v>Tobler-9 — variante défense des survivants</x:v>
      </x:c>
      <x:c r="C32" s="71" t="str">
        <x:v>X-H, humains et coopération synthétique scénarisée</x:v>
      </x:c>
      <x:c r="D32" s="71" t="str">
        <x:v>LD-27 — Tobler-9 — avant-poste, refuge et sous-sol</x:v>
      </x:c>
      <x:c r="E32" s="71" t="str">
        <x:v>FR-39 — Tobler-9 — variante défense des survivants</x:v>
      </x:c>
      <x:c r="F32" s="71" t="str">
        <x:v>EFF-16 — Variante humaine optionnelle — trois fronts contre une ruche</x:v>
      </x:c>
      <x:c r="G32" s="71" t="str">
        <x:v>Un joueur humain original à créer ; 32 alliés PNJ. Mode secondaire optionnel, dépend d’un contrôleur humain jouable absent du périmètre validé.</x:v>
      </x:c>
      <x:c r="H32" s="71" t="str">
        <x:v>576 Xénomorphes du profil du théâtre ; aucun camp humain hostile ajouté.</x:v>
      </x:c>
      <x:c r="I32" s="71" t="str">
        <x:v>24 civils,8 actifs au plus ;2 dispositifs matériels actifs. Steel Team n’est pas une réserve supplémentaire. Steel Team n’est ni une réserve ni un groupe actif dans ce preset.</x:v>
      </x:c>
      <x:c r="J32" s="71" t="str">
        <x:v>GRP-52 — Equipe de défense locale (Survivants de Tobler-9)</x:v>
      </x:c>
      <x:c r="K32" s="71" t="str">
        <x:v>GRP-43 — Adultes d’infiltration ou de colonie (Xénomorphes — incarnation locale)</x:v>
      </x:c>
      <x:c r="L32" s="71" t="str">
        <x:v>Actifs: A [Xénomorphes 32 (GRP-43), Défense humaine 4 (GRP-52)]; B [Xénomorphes 32 (GRP-43), Défense humaine 4 (GRP-52)]; C [Xénomorphes 32 (GRP-43), Défense humaine 4 (GRP-52)]. Distants: A [Xénomorphes 96 (GRP-43), Défense humaine 4 (GRP-52)]; B [Xénomorphes 96 (GRP-43), Défense humaine 4 (GRP-52)]; C [Xénomorphes 96 (GRP-43), Défense humaine 4 (GRP-52)]. Réserve: Réserve [Xénomorphes 192 (GRP-43), Défense humaine 8 (GRP-52)]. Les groupes restent identifiés lors d’un transfert de front ou d’un changement de niveau de simulation.</x:v>
      </x:c>
      <x:c r="M32" s="71" t="str">
        <x:v>Réserves finies par camp et points d’entrée reliés. Un renfort quitte la réserve pour l’état distant/en transit ; il entre dans le budget actif à l’arrivée. Transit compris dans le plafond distant, jamais un quatrième état non compté. Arrivée impossible si la route est coupée. Blessures, morts et captures persistent. Joueur humain à développer ; profil Xénomorphe local XEN-035, pas mutations de Fireteam. Evénement Steel Team désactivé dans ce preset chiffré. Toute activation exige un roster vérifié et une réallocation à budget constant ; aucun synthétique supplémentaire ni clone de personnage.</x:v>
      </x:c>
      <x:c r="N32" s="71" t="str">
        <x:v>A : Tenir le refuge ; B : Rétablir la voie technique ; C : Repousser la pression sur l’extraction</x:v>
      </x:c>
      <x:c r="O32" s="71" t="str">
        <x:v>Maintenir un refuge accessible, ouvrir l’extraction et sauver 16 des 24 civils.</x:v>
      </x:c>
      <x:c r="P32" s="71" t="str">
        <x:v>Aucun abri ou trajet récupérable, ou perte du joueur ; moins de 16 rescapés donne un repli non victorieux.</x:v>
      </x:c>
      <x:c r="Q32" s="71" t="str">
        <x:v>Coordination locale originale ; aucun personnage nommé créé en plusieurs exemplaires.</x:v>
      </x:c>
      <x:c r="R32" s="71" t="str">
        <x:v>Aucun boss imposé</x:v>
      </x:c>
      <x:c r="S32" s="71" t="str">
        <x:v>Refuge compromis : regroupement vers un abri réellement existant. Pacte rompu : accès négocié fermé, sans apparition magique d’ennemis.</x:v>
      </x:c>
      <x:c r="T32" s="71" t="str">
        <x:v>Arc Marvel 2022 ; mode humain et composition originaux. Un accord avec Steel Team peut être un événement unique après vérification de ses membres ; aucun clone dans GRP-52. Plan, nombres et enchaînement de bataille originaux ; source du lieu dans Lieux_medias. Sélecteur obligatoire XEN-035 : Tobler-9, Marvel2022 ; aucun tirage mélangeant les trois arcs.</x:v>
      </x:c>
      <x:c r="U32" s="71" t="str">
        <x:v>P2</x:v>
      </x:c>
      <x:c r="V32" s="71" t="str">
        <x:v>Pendant 10 minutes loin d’au moins un objectif, vérifier une décision autonome, une perte ou progression et sa persistance au retour. Contrôler les totaux 576 ennemis / 32 alliés PNJ, trois états exclusifs, chefs inclus et plafonds civils/matériels. Exécution bloquée avant livraison du personnage humain jouable.</x:v>
      </x:c>
    </x:row>
    <x:row r="33" ht="333" customHeight="1">
      <x:c r="A33" s="70" t="str">
        <x:v>AFF-27</x:v>
      </x:c>
      <x:c r="B33" s="70" t="str">
        <x:v>LV-742 : les quatre fronts de la ruche des failles</x:v>
      </x:c>
      <x:c r="C33" s="70" t="str">
        <x:v>Guerre à trois espèces — sabotage logistique, rivalité de routes et assaut de ruche</x:v>
      </x:c>
      <x:c r="D33" s="70" t="str">
        <x:v>LD-34 — LV-742 — bassin atmosphérique et ruche des failles</x:v>
      </x:c>
      <x:c r="E33" s="70" t="str">
        <x:v>FR-40 — LV-742 — couper les renforts pendant que trois camps se disputent la vallée</x:v>
      </x:c>
      <x:c r="F33" s="70" t="str">
        <x:v>EFF-14 — Trois espèces — guerre régionale à quatre fronts</x:v>
      </x:c>
      <x:c r="G33" s="70" t="str">
        <x:v>Un chasseur joueur et 24 Yautja PNJ du clan original de l’opération ; huit PNJ actifs au plafond initial.</x:v>
      </x:c>
      <x:c r="H33" s="70" t="str">
        <x:v>Deux camps autonomes : 736 Xénomorphes de la ruche et 192 combattants Colonial Marines, dont leurs synthétiques et pilotes. Ils peuvent se combattre sans action ni présence du joueur.</x:v>
      </x:c>
      <x:c r="I33" s="70" t="str">
        <x:v>Aucun quatrième camp combattant. Les hôtes capturés conservent leur provenance et quittent le combat ; matériel et œufs ont des limites séparées. Aucun individu unique d’un autre média ajouté.
Plafonds matériels / objets, séparés des combattants :
Sentry Gun humaine : actifs 2, distants 2, réserve 2, total 6 ; PNJ combattants ajoutés 0. Implantation : A : 1 active + 1 distante ; B : 1 active + 1 distante ; 2 en réserve à A
Predgun Yautja — YAU-037 : actifs 1, distants 1, réserve 1, total 3 ; PNJ combattants ajoutés 0. Implantation : D : 1 active ; B : 1 distante ; D : 1 en réserve
Sanctuaire / Shrine : actifs 1, distants 0, réserve 0, total 1 ; PNJ combattants ajoutés 0. Implantation : D, plateforme avec deux voies d’évacuation
Dropship humain de renfort : actifs 1, distants 0, réserve 0, total 1 ; PNJ combattants ajoutés 0. Implantation : A puis sortie ; véhicule événementiel réutilisable sans duplication
Œufs et hôtes immobilisés : actifs 24, distants 48, réserve 0, total 72 ; PNJ combattants ajoutés 0. Implantation : Chambres de C uniquement, visibilité selon secteur</x:v>
      </x:c>
      <x:c r="J33" s="70" t="str">
        <x:v>GRP-61 — Détachement de chasse ou de couverture (Yautja — clan du joueur dans le cadre Extinction)</x:v>
      </x:c>
      <x:c r="K33" s="70" t="str">
        <x:v>GRP-58 — Cellule mobile de ruche (Xénomorphes — ruche de LV-742)
GRP-59 — Garde d’un conduit ou du centre reproducteur (Xénomorphes — garde de la ruche de LV-742)
GRP-60 — Section de ligne et de soutien technique (Humains et soutien synthétique — Colonial Marines d’Extinction)</x:v>
      </x:c>
      <x:c r="L33" s="70" t="str">
        <x:v>Actifs A [X 24, H 16, Y 0] ; B [X 32, H 8, Y 4] ; C [X 24, H 0, Y 0] ; D [X 16, H 8, Y 4]. Distants A [X 96, H 32, Y 0] ; B [X 96, H 32, Y 4] ; C [X 128, H 16, Y 0] ; D [X 64, H 16, Y 4]. Réserve [X 256, H 64, Y 8]. Joueur séparé, départ sur D. La reine est l’une des 128 unités distantes X de C. Les unités gardent ID, PV, escouade, faction et position lorsqu’elles passent de réserve à distant puis actif. Les plafonds sont partagés entre les quatre fronts ; matérialiser un groupe attend une place disponible et ne le clone jamais. Chef, spécialiste, boss et pilote combattant sont inclus dans le nombre PNJ. Joueur séparé.</x:v>
      </x:c>
      <x:c r="M33" s="70" t="str">
        <x:v>Humains : balise atteignable et CommTech vivant nécessaires à l’ordre, stock fini de 64. Xénomorphes : conduits ouverts et stock de 256, maturation potentielle comprise ; une naissance consomme une place biologique réservée et ne gonfle pas le total initial. Yautja : route de D et deux détachements de quatre en réserve. Les pertes ne sont jamais recréées gratuitement. Couper une source annule les départs futurs ; les groupes déjà en transit poursuivent ou changent de route de façon visible. Les unités gardent ID, PV, escouade, faction et position lorsqu’elles passent de réserve à distant puis actif. Les plafonds sont partagés entre les quatre fronts ; matérialiser un groupe attend une place disponible et ne le clone jamais. Chef, spécialiste, boss et pilote combattant sont inclus dans le nombre PNJ. Joueur séparé.
Sentry Gun humaine — Transport et déploiement uniquement par un Synthetic déjà compté ; un objet porté ne tire pas et n’est pas dupliqué sur son emplacement précédent.
Predgun Yautja — YAU-037 — Matériel du roster Extinction, budget de tirs et de collision distinct ; emballage, transfert et déploiement conservent son identifiant. Pas d’opérateur ajouté hors quota.
Sanctuaire / Shrine — Point logistique et objet de scénario ; pas de deuxième sanctuaire créé après sa perte. Ses effets précis sont vérifiés dans le jeu avant reproduction.
Dropship humain de renfort — Un transport à la fois ; passagers prélevés dans la réserve et conservés sous le même ID, pas de pilotes combattants supplémentaires. Échec d’atterrissage retarde la demande, sans générer des troupes.
Œufs et hôtes immobilisés — Compteur d’objets séparé ; tout parasite ou adulte activé débite les réserves Xénomorphes d’EFF-14. Un hôte capturé quitte le combat du camp humain ; aucun PNJ simultanément capturé et combattant.</x:v>
      </x:c>
      <x:c r="N33" s="70" t="str">
        <x:v>A : interrompre les renforts humains par balise, installation ou retrait du CommTech A-COMMAND. B : ouvrir un passage sûr vers C et préserver le retour. C : couper deux conduits désignés puis neutraliser la reine unique. D : transmettre les données récupérées et extraire le joueur ainsi que les survivants regroupés.</x:v>
      </x:c>
      <x:c r="O33" s="70" t="str">
        <x:v>Liaison de renfort humaine neutralisée ou retrait local exécuté, deux conduits principaux fermés, reine neutralisée, données et survivants disponibles extraits par une route encore praticable. Les morts et blessés restent comptabilisés ; absence de pertes alliées constitue une meilleure issue, pas une condition obligatoire implicite.</x:v>
      </x:c>
      <x:c r="P33" s="70" t="str">
        <x:v>Joueur neutralisé sans secours possible ; destruction de l’objectif de données après avertissement ; ou perte de la sortie principale et du repli annoncé avant que les survivants puissent quitter le théâtre. La simple perte temporaire d’un front ne provoque pas une défaite instantanée arbitraire.</x:v>
      </x:c>
      <x:c r="Q33" s="70" t="str">
        <x:v>Le CommTech A-COMMAND est inclus dans une section GRP-60 active de A et n’est pas un boss géant. BOS-39 est la reine unique de C-QUEEN, incluse dans GRP-59. Le chef de liaison Yautja est inclus dans le GRP-61 de D ; le joueur n’ajoute pas un PNJ au groupe.</x:v>
      </x:c>
      <x:c r="R33" s="70" t="str">
        <x:v>BOS-39 — Reine de la ruche des failles de LV-742</x:v>
      </x:c>
      <x:c r="S33" s="70" t="str">
        <x:v>Pendant l’assaut de C, A peut encore livrer sa réserve, B peut couper le retour et D peut subir une infiltration. Saboter A peut déplacer une section humaine sur B, laissant les Xénomorphes progresser vers les ateliers. Une retraite humaine locale modifie la relation ou l’objectif de cette section sans convertir tout le camp en allié. La neutralisation de la reine ferme des renforts, mais ne termine pas l’évacuation.</x:v>
      </x:c>
      <x:c r="T33" s="70" t="str">
        <x:v>Opération originale située sur LV-742 dans le cadre de Aliens versus Predator: Extinction. Espèces et unités sont celles du jeu ; intrigue, terrain, objectifs, effectifs et formations ci-dessous sont des propositions musou, sans prétendre reproduire une mission ni un plan officiel. Tous les profils médiatiques sélectionnés sont Extinction ; aucune contamination par Pathogen, Neomorph, Grid, Alpha, Offspring ou héros de films. Les effectifs, le clan et le nom de ruche sont originaux.
Profils du catalogue : XEN-001 ; XEN-002 ; XEN-004 ; XEN-005 ; XEN-006 ; XEN-007 ; XEN-008 ; HUM-001 ; HUM-002 ; HUM-003 ; HUM-036 ; HUM-037 ; HUM-038 ; HUM-039 ; HUM-040 ; HUM-041 ; YAU-029 ; YAU-030 ; YAU-031 ; YAU-032 ; YAU-033 ; YAU-034 ; YAU-035 ; YAU-036 ; YAU-037
X-S01 — Aliens versus Predator: Extinction — manuel officiel PS2
https://gamingalexandria.com/ps2/Aliens%20Versus%20Predator%20Extinction/Aliens%20Versus%20Predator%20Extinction%20-%20Manual.pdf</x:v>
      </x:c>
      <x:c r="U33" s="70" t="str">
        <x:v>P1</x:v>
      </x:c>
      <x:c r="V33" s="70" t="str">
        <x:v>Vérifier les sommes 96/384/256 X, 32/96/64 H, 8/8/8 Y et un joueur ; simuler les quatre fronts cinq minutes sans caméra puis matérialiser chaque front en conservant positions, pertes et stocks. Aucune deuxième reine ni copie de commandant. Tester coupe de chaque route, perte d’un CommTech, transport de tourelle, éclosion budgétée et retrait humain sans création d’agents. Mesurer temps CPU/GPU et mémoire au plafond de 137 combattants actifs incluant joueur ; réduire le niveau de détail si nécessaire avant d’augmenter ce plafond.</x:v>
      </x:c>
    </x:row>
  </x:sheetData>
  <x:conditionalFormatting sqref="U7:U18">
    <x:cfRule type="cellIs" dxfId="37" priority="1" operator="equal">
      <x:formula>"P0"</x:formula>
    </x:cfRule>
    <x:cfRule type="cellIs" dxfId="38" priority="2" operator="equal">
      <x:formula>"P1"</x:formula>
    </x:cfRule>
    <x:cfRule type="cellIs" dxfId="39" priority="3" operator="equal">
      <x:formula>"P2"</x:formula>
    </x:cfRule>
  </x:conditionalFormatting>
  <x:conditionalFormatting sqref="U19:U33">
    <x:cfRule type="cellIs" dxfId="67" priority="4" operator="equal">
      <x:formula>"P0"</x:formula>
    </x:cfRule>
    <x:cfRule type="cellIs" dxfId="68" priority="5" operator="equal">
      <x:formula>"P1"</x:formula>
    </x:cfRule>
    <x:cfRule type="cellIs" dxfId="69" priority="6" operator="equal">
      <x:formula>"P2"</x:formula>
    </x:cfRule>
  </x:conditionalFormatting>
  <x:dataValidations count="2">
    <x:dataValidation type="list" sqref="U7:U18">
      <x:formula1>"P0,P1,P2,P3"</x:formula1>
    </x:dataValidation>
    <x:dataValidation type="list" sqref="U19:U33">
      <x:formula1>"P0,P1,P2,P3"</x:formula1>
    </x:dataValidation>
  </x:dataValidations>
  <x:pageMargins left="0.7" right="0.7" top="0.75" bottom="0.75" header="0.3" footer="0.3"/>
  <x:tableParts count="1">
    <x:tablePart xmlns:r="http://schemas.openxmlformats.org/officeDocument/2006/relationships" r:id="R41f7ec575c6c47bd"/>
  </x:tableParts>
</x:worksheet>
</file>

<file path=xl/worksheets/sheet14.xml><?xml version="1.0" encoding="utf-8"?>
<x:worksheet xmlns:x="http://schemas.openxmlformats.org/spreadsheetml/2006/main">
  <x:sheetPr>
    <x:tabColor rgb="FF5E7154"/>
  </x:sheetPr>
  <x:sheetViews>
    <x:sheetView showGridLines="0" workbookViewId="0">
      <x:pane xSplit="3" ySplit="6" topLeftCell="D7" activePane="bottomRight" state="frozen"/>
    </x:sheetView>
  </x:sheetViews>
  <x:sheetFormatPr defaultRowHeight="15"/>
  <x:cols>
    <x:col min="1" max="1" width="14" hidden="0" customWidth="1"/>
    <x:col min="2" max="2" width="24" hidden="0" customWidth="1"/>
    <x:col min="3" max="3" width="43" hidden="0" customWidth="1"/>
    <x:col min="4" max="4" width="34" hidden="0" customWidth="1"/>
    <x:col min="5" max="5" width="34" hidden="0" customWidth="1"/>
    <x:col min="6" max="6" width="47" hidden="0" customWidth="1"/>
    <x:col min="7" max="7" width="22" hidden="0" customWidth="1"/>
    <x:col min="8" max="8" width="64" hidden="0" customWidth="1"/>
    <x:col min="9" max="9" width="32" hidden="0" customWidth="1"/>
    <x:col min="10" max="10" width="81" hidden="0" customWidth="1"/>
    <x:col min="11" max="11" width="71" hidden="0" customWidth="1"/>
    <x:col min="12" max="12" width="70" hidden="0" customWidth="1"/>
    <x:col min="13" max="13" width="50" hidden="0" customWidth="1"/>
    <x:col min="14" max="14" width="86" hidden="0" customWidth="1"/>
    <x:col min="15" max="15" width="83" hidden="0" customWidth="1"/>
    <x:col min="16" max="16" width="76" hidden="0" customWidth="1"/>
    <x:col min="17" max="17" width="82" hidden="0" customWidth="1"/>
    <x:col min="18" max="18" width="70" hidden="0" customWidth="1"/>
    <x:col min="19" max="19" width="75" hidden="0" customWidth="1"/>
    <x:col min="20" max="20" width="91" hidden="0" customWidth="1"/>
    <x:col min="21" max="21" width="10" hidden="0" customWidth="1"/>
  </x:cols>
  <x:sheetData>
    <x:row r="1" ht="12" customHeight="1">
      <x:c r="A1" s="78"/>
      <x:c r="B1" s="78"/>
      <x:c r="C1" s="78"/>
      <x:c r="D1" s="78"/>
      <x:c r="E1" s="78"/>
      <x:c r="F1" s="78"/>
      <x:c r="G1" s="78"/>
      <x:c r="H1" s="78"/>
      <x:c r="I1" s="78"/>
      <x:c r="J1" s="78"/>
      <x:c r="K1" s="78"/>
      <x:c r="L1" s="78"/>
      <x:c r="M1" s="78"/>
      <x:c r="N1" s="78"/>
      <x:c r="O1" s="78"/>
      <x:c r="P1" s="78"/>
      <x:c r="Q1" s="78"/>
      <x:c r="R1" s="78"/>
      <x:c r="S1" s="78"/>
      <x:c r="T1" s="78"/>
      <x:c r="U1" s="78"/>
    </x:row>
    <x:row r="2" ht="29" customHeight="1">
      <x:c r="A2" s="79" t="str">
        <x:v>Bestiaire, rôles et dispositifs des médias</x:v>
      </x:c>
      <x:c r="B2" s="78"/>
      <x:c r="C2" s="78"/>
      <x:c r="D2" s="78"/>
      <x:c r="E2" s="78"/>
      <x:c r="F2" s="78"/>
      <x:c r="G2" s="78"/>
      <x:c r="H2" s="78"/>
      <x:c r="I2" s="78"/>
      <x:c r="J2" s="78"/>
      <x:c r="K2" s="78"/>
      <x:c r="L2" s="78"/>
      <x:c r="M2" s="78"/>
      <x:c r="N2" s="78"/>
      <x:c r="O2" s="78"/>
      <x:c r="P2" s="78"/>
      <x:c r="Q2" s="78"/>
      <x:c r="R2" s="78"/>
      <x:c r="S2" s="78"/>
      <x:c r="T2" s="78"/>
      <x:c r="U2" s="78"/>
    </x:row>
    <x:row r="3" ht="8" customHeight="1">
      <x:c r="A3" s="80"/>
      <x:c r="B3" s="80"/>
      <x:c r="C3" s="80"/>
      <x:c r="D3" s="80"/>
      <x:c r="E3" s="80"/>
      <x:c r="F3" s="80"/>
      <x:c r="G3" s="80"/>
      <x:c r="H3" s="80"/>
      <x:c r="I3" s="80"/>
      <x:c r="J3" s="80"/>
      <x:c r="K3" s="80"/>
      <x:c r="L3" s="80"/>
      <x:c r="M3" s="80"/>
      <x:c r="N3" s="80"/>
      <x:c r="O3" s="80"/>
      <x:c r="P3" s="80"/>
      <x:c r="Q3" s="80"/>
      <x:c r="R3" s="80"/>
      <x:c r="S3" s="80"/>
      <x:c r="T3" s="80"/>
      <x:c r="U3" s="80"/>
    </x:row>
    <x:row r="4">
      <x:c r="A4" s="81" t="str">
        <x:v>Chaque entrée conserve son œuvre, sa continuité et sa preuve. Le rôle jouable, les groupes et les adaptations restent des propositions à développer.</x:v>
      </x:c>
      <x:c r="B4" s="78"/>
      <x:c r="C4" s="78"/>
      <x:c r="D4" s="78"/>
      <x:c r="E4" s="78"/>
      <x:c r="F4" s="78"/>
      <x:c r="G4" s="78"/>
      <x:c r="H4" s="78"/>
      <x:c r="I4" s="78"/>
      <x:c r="J4" s="78"/>
      <x:c r="K4" s="78"/>
      <x:c r="L4" s="78"/>
      <x:c r="M4" s="78"/>
      <x:c r="N4" s="78"/>
      <x:c r="O4" s="78"/>
      <x:c r="P4" s="78"/>
      <x:c r="Q4" s="78"/>
      <x:c r="R4" s="78"/>
      <x:c r="S4" s="78"/>
      <x:c r="T4" s="78"/>
      <x:c r="U4" s="78"/>
    </x:row>
    <x:row r="5">
      <x:c r="A5" s="94" t="str">
        <x:v>217 lignes. Contrôle du 27/10/2026.</x:v>
      </x:c>
      <x:c r="B5" s="78"/>
      <x:c r="C5" s="78"/>
      <x:c r="D5" s="78"/>
      <x:c r="E5" s="78"/>
      <x:c r="F5" s="78"/>
      <x:c r="G5" s="78"/>
      <x:c r="H5" s="78"/>
      <x:c r="I5" s="78"/>
      <x:c r="J5" s="78"/>
      <x:c r="K5" s="78"/>
      <x:c r="L5" s="78"/>
      <x:c r="M5" s="78"/>
      <x:c r="N5" s="78"/>
      <x:c r="O5" s="78"/>
      <x:c r="P5" s="78"/>
      <x:c r="Q5" s="78"/>
      <x:c r="R5" s="78"/>
      <x:c r="S5" s="78"/>
      <x:c r="T5" s="78"/>
      <x:c r="U5" s="78"/>
    </x:row>
    <x:row r="6" ht="36" customHeight="1">
      <x:c r="A6" s="91" t="str">
        <x:v>ID</x:v>
      </x:c>
      <x:c r="B6" s="92" t="str">
        <x:v>Famille / faction</x:v>
      </x:c>
      <x:c r="C6" s="92" t="str">
        <x:v>Profil, forme ou dispositif</x:v>
      </x:c>
      <x:c r="D6" s="92" t="str">
        <x:v>Nature de l’entrée</x:v>
      </x:c>
      <x:c r="E6" s="92" t="str">
        <x:v>Éligibilité au spawn</x:v>
      </x:c>
      <x:c r="F6" s="92" t="str">
        <x:v>Œuvre de référence</x:v>
      </x:c>
      <x:c r="G6" s="92" t="str">
        <x:v>Média</x:v>
      </x:c>
      <x:c r="H6" s="92" t="str">
        <x:v>Continuité / périmètre</x:v>
      </x:c>
      <x:c r="I6" s="92" t="str">
        <x:v>Niveau de preuve</x:v>
      </x:c>
      <x:c r="J6" s="92" t="str">
        <x:v>Fait établi par la source</x:v>
      </x:c>
      <x:c r="K6" s="92" t="str">
        <x:v>Source et portée</x:v>
      </x:c>
      <x:c r="L6" s="92" t="str">
        <x:v>URL de la source</x:v>
      </x:c>
      <x:c r="M6" s="92" t="str">
        <x:v>État du code 39871c45</x:v>
      </x:c>
      <x:c r="N6" s="92" t="str">
        <x:v>Preuve de code au 27/10/2026</x:v>
      </x:c>
      <x:c r="O6" s="92" t="str">
        <x:v>Travail restant proposé</x:v>
      </x:c>
      <x:c r="P6" s="92" t="str">
        <x:v>Rôle de combat proposé</x:v>
      </x:c>
      <x:c r="Q6" s="92" t="str">
        <x:v>Règle de groupe proposée</x:v>
      </x:c>
      <x:c r="R6" s="92" t="str">
        <x:v>Affrontements compatibles</x:v>
      </x:c>
      <x:c r="S6" s="92" t="str">
        <x:v>Lieux compatibles</x:v>
      </x:c>
      <x:c r="T6" s="92" t="str">
        <x:v>Restrictions de cohérence</x:v>
      </x:c>
      <x:c r="U6" s="93" t="str">
        <x:v>Priorité</x:v>
      </x:c>
    </x:row>
    <x:row r="7" ht="103.5" hidden="0" customHeight="1">
      <x:c r="A7" s="70" t="str">
        <x:v>XEN-001</x:v>
      </x:c>
      <x:c r="B7" s="70" t="str">
        <x:v>Xénomorphes</x:v>
      </x:c>
      <x:c r="C7" s="70" t="str">
        <x:v>Œuf / Ovomorphe</x:v>
      </x:c>
      <x:c r="D7" s="70" t="str">
        <x:v>Stade de vie — structure reproductrice</x:v>
      </x:c>
      <x:c r="E7" s="70" t="str">
        <x:v>commun</x:v>
      </x:c>
      <x:c r="F7" s="70" t="str">
        <x:v>Aliens versus Predator: Extinction</x:v>
      </x:c>
      <x:c r="G7" s="70" t="str">
        <x:v>Jeu</x:v>
      </x:c>
      <x:c r="H7" s="70" t="str">
        <x:v>Cycle du jeu Extinction ; les règles d’hôtes restent propres à cette œuvre.</x:v>
      </x:c>
      <x:c r="I7" s="70" t="str">
        <x:v>Confirmé dans l’œuvre référencée ; adaptation de gameplay distincte</x:v>
      </x:c>
      <x:c r="J7" s="70" t="str">
        <x:v>L’œuf libère un Facehugger.</x:v>
      </x:c>
      <x:c r="K7"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7" s="77" t="str">
        <x:v>https://gamingalexandria.com/ps2/Aliens%20Versus%20Predator%20Extinction/Aliens%20Versus%20Predator%20Extinction%20-%20Manual.pdf</x:v>
      </x:c>
      <x:c r="M7" s="70" t="str">
        <x:v>Catalogue présent (39871c45). Œufs et éclosion présents ; nurseries et correspondance aux médias à contrôler.</x:v>
      </x:c>
      <x:c r="N7"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https://github.com/darknigthmare/Yautja-hive-warriors/blob/39871c450379225de8174711237632e6aa883f04/js/entities/XenomorphHorde.js#L395-L417</x:v>
      </x:c>
      <x:c r="O7" s="70" t="str">
        <x:v>Remplacer la distribution autour du joueur par des nurseries persistantes, reliées aux hôtes et aux réserves de la ruche.</x:v>
      </x:c>
      <x:c r="P7" s="70" t="str">
        <x:v>Proposition : objectif de décontamination et obstacle à progression, sans équivalent soldat.</x:v>
      </x:c>
      <x:c r="Q7" s="70" t="str">
        <x:v>Proposition : amas de 4–8 œufs placés à l’édition ; chaque éclosion débite un stock, sans duplication à chaque vague.</x:v>
      </x:c>
      <x:c r="R7" s="70" t="str">
        <x:v>X/H, X/Y, X/Y/H : attestés dans le cadre AVP Extinction.</x:v>
      </x:c>
      <x:c r="S7" s="70" t="str">
        <x:v>X-L01 — LV-742 — zones de guerre d’Extinction
X-L09 — Pyramide antarctique</x:v>
      </x:c>
      <x:c r="T7" s="70" t="str">
        <x:v>Ne pas compter les œufs comme combattants actifs ; ne pas imposer une même nursery à toutes les époques.</x:v>
      </x:c>
      <x:c r="U7" s="70" t="str">
        <x:v>P1</x:v>
      </x:c>
    </x:row>
    <x:row r="8" ht="204" hidden="0" customHeight="1">
      <x:c r="A8" s="71" t="str">
        <x:v>XEN-002</x:v>
      </x:c>
      <x:c r="B8" s="71" t="str">
        <x:v>Xénomorphes</x:v>
      </x:c>
      <x:c r="C8" s="71" t="str">
        <x:v>Facehugger</x:v>
      </x:c>
      <x:c r="D8" s="71" t="str">
        <x:v>Stade de vie — parasitoïde</x:v>
      </x:c>
      <x:c r="E8" s="71" t="str">
        <x:v>commun</x:v>
      </x:c>
      <x:c r="F8" s="71" t="str">
        <x:v>Aliens versus Predator: Extinction ; Alien: Covenant
Aliens: Fireteam Elite 2
Aliens: Dark Descent</x:v>
      </x:c>
      <x:c r="G8" s="71" t="str">
        <x:v>Jeu ; film</x:v>
      </x:c>
      <x:c r="H8" s="71" t="str">
        <x:v>Cycle vérifié dans Extinction ; représentation filmique confirmée séparément.
Incarnation Aliens: Fireteam Elite 2 : nom attesté ; preset local distinct, sans importer les statistiques d’un autre jeu.
Incarnation Aliens: Dark Descent : sélection locale séparée, sans combattant supplémentaire.</x:v>
      </x:c>
      <x:c r="I8" s="71" t="str">
        <x:v>Confirmé dans l’œuvre référencée ; adaptation de gameplay distincte</x:v>
      </x:c>
      <x:c r="J8" s="71" t="str">
        <x:v>Le Facehugger implante le Chestburster.
Aliens: Fireteam Elite 2 : nom présent dans les publications officielles.
Aliens: Dark Descent : nom attesté par la source officielle.</x:v>
      </x:c>
      <x:c r="K8" s="71" t="str">
        <x:v>X-S01 — Aliens versus Predator: Extinction — manuel officiel PS2
Manuel primaire ; copie archivée par Gaming Alexandria
Portée : Extraits indexés du document officiel ; PDF trop volumineux pour open. Biologie et transformations limitées à Extinction ; aucune règle universelle déduite.
X-S06 — Alien: Covenant products revealed
Présentation officielle de produits licenciés
Portée : Confirme les appellations Xenomorph et Neomorph, les formes jeune/adulte et le Creature Pack ; pas une taxonomie universelle.
XC-S01 — Aliens: Fireteam Elite 2 — Xenomorph Showcase, 20 août 2026
Annonce officielle du développeur sur Steam
Portée : Fait cité uniquement ; identité, capacités et biologie non extrapolées au-delà de cette preuve.
XC-S13 — Aliens: Dark Descent — actualités et notes de mise à jour officielles
Publications du développeur/éditeur sur Steam
Portée : Fait cité uniquement ; identité, capacités et biologie non extrapolées au-delà de cette preuve.</x:v>
      </x:c>
      <x:c r="L8" s="76" t="str">
        <x:v>https://gamingalexandria.com/ps2/Aliens%20Versus%20Predator%20Extinction/Aliens%20Versus%20Predator%20Extinction%20-%20Manual.pdf
https://store.necaonline.com/blogs/news/massive-photo-gallery-alien-covenant-products-revealed-1
https://steamcommunity.com/app/3448650/allnews/?l=english
https://steamcommunity.com/app/1150440/allnews/</x:v>
      </x:c>
      <x:c r="M8" s="71" t="str">
        <x:v>Catalogue présent (39871c45). Type facehugger présent ; profil royal distinct à qualifier.</x:v>
      </x:c>
      <x:c r="N8"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
https://github.com/darknigthmare/Yautja-hive-warriors/blob/39871c450379225de8174711237632e6aa883f04/js/entities/XenomorphHorde.js#L2051-L2086</x:v>
      </x:c>
      <x:c r="O8" s="71" t="str">
        <x:v>Séparer recherche d’hôte, bond, accrochage, implantation et neutralisation ; filtrer les hôtes compatibles et les unités mécaniques.</x:v>
      </x:c>
      <x:c r="P8" s="71" t="str">
        <x:v>Proposition : pression de proximité et secours d’un allié saisi.</x:v>
      </x:c>
      <x:c r="Q8" s="71" t="str">
        <x:v>Proposition : petit lot issu d’œufs identifiés ; un parasite par hôte ; capacité de secours explicite.</x:v>
      </x:c>
      <x:c r="R8" s="71" t="str">
        <x:v>AVP : X/H, X/Y et X/Y/H. Films Alien : Yautja uniquement en scénario crossover déclaré.</x:v>
      </x:c>
      <x:c r="S8" s="71" t="str">
        <x:v>X-L01 — LV-742 — zones de guerre d’Extinction
X-L09 — Pyramide antarctique
X-L10 — Monde exploré par Covenant</x:v>
      </x:c>
      <x:c r="T8" s="71" t="str">
        <x:v>Le Facehugger royal ailé actuel ne devient pas une variante prouvée du Facehugger standard par simple alias.
Queen Facehugger : appellation licenciée attestée ; les détails du modèle et de la mécanique doivent être comparés au support exact.</x:v>
      </x:c>
      <x:c r="U8" s="71" t="str">
        <x:v>P1</x:v>
      </x:c>
    </x:row>
    <x:row r="9" ht="184.5" hidden="0" customHeight="1">
      <x:c r="A9" s="70" t="str">
        <x:v>XEN-003</x:v>
      </x:c>
      <x:c r="B9" s="70" t="str">
        <x:v>Xénomorphes</x:v>
      </x:c>
      <x:c r="C9" s="70" t="str">
        <x:v>Chestburster</x:v>
      </x:c>
      <x:c r="D9" s="70" t="str">
        <x:v>Stade de vie — juvénile</x:v>
      </x:c>
      <x:c r="E9" s="70" t="str">
        <x:v>commun</x:v>
      </x:c>
      <x:c r="F9" s="70" t="str">
        <x:v>Aliens versus Predator: Extinction ; Alien: Covenant</x:v>
      </x:c>
      <x:c r="G9" s="70" t="str">
        <x:v>Jeu ; film</x:v>
      </x:c>
      <x:c r="H9" s="70" t="str">
        <x:v>Stade distinct du combattant adulte ; temps de maturation à fixer par adaptation.</x:v>
      </x:c>
      <x:c r="I9" s="70" t="str">
        <x:v>Confirmé dans l’œuvre référencée ; adaptation de gameplay distincte</x:v>
      </x:c>
      <x:c r="J9" s="70" t="str">
        <x:v>Le Chestburster est un stade du cycle Alien.</x:v>
      </x:c>
      <x:c r="K9"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X-S06 — Alien: Covenant products revealed
NECA ; Présentation officielle de produits licenciés
Portée : Confirme les appellations Xenomorph et Neomorph, les formes jeune/adulte et le Creature Pack ; pas une taxonomie universelle.
Consulté le 2026-10-26</x:v>
      </x:c>
      <x:c r="L9" s="77" t="str">
        <x:v>https://gamingalexandria.com/ps2/Aliens%20Versus%20Predator%20Extinction/Aliens%20Versus%20Predator%20Extinction%20-%20Manual.pdf
https://store.necaonline.com/blogs/news/massive-photo-gallery-alien-covenant-products-revealed-1</x:v>
      </x:c>
      <x:c r="M9" s="70" t="str">
        <x:v>Catalogue présent (39871c45). Routine chestburster présente ; cycle et attribution à une œuvre à contrôler.</x:v>
      </x:c>
      <x:c r="N9"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https://github.com/darknigthmare/Yautja-hive-warriors/blob/39871c450379225de8174711237632e6aa883f04/js/entities/XenomorphHorde.js#L577-L590</x:v>
      </x:c>
      <x:c r="O9" s="70" t="str">
        <x:v>Remplacer la poursuite de mêlée générique par fuite vers abri, maturation persistante et transformation avec débit de réserve.</x:v>
      </x:c>
      <x:c r="P9" s="70" t="str">
        <x:v>Proposition : alerte biologique et objectif de confinement.</x:v>
      </x:c>
      <x:c r="Q9" s="70" t="str">
        <x:v>Proposition : un juvénile par événement d’éclosion ; pas de nuée de soldats miniatures sans origine.</x:v>
      </x:c>
      <x:c r="R9" s="70" t="str">
        <x:v>AVP : X/H, X/Y et X/Y/H ; autres œuvres selon scénario.</x:v>
      </x:c>
      <x:c r="S9" s="70" t="str">
        <x:v>X-L01 — LV-742 — zones de guerre d’Extinction
X-L09 — Pyramide antarctique
X-L10 — Monde exploré par Covenant</x:v>
      </x:c>
      <x:c r="T9" s="70" t="str">
        <x:v>Les salves de juvéniles régurgités du BossManager ne sont pas attestées par cette preuve du cycle standard.</x:v>
      </x:c>
      <x:c r="U9" s="70" t="str">
        <x:v>P1</x:v>
      </x:c>
    </x:row>
    <x:row r="10" ht="184.5" hidden="0" customHeight="1">
      <x:c r="A10" s="71" t="str">
        <x:v>XEN-004</x:v>
      </x:c>
      <x:c r="B10" s="71" t="str">
        <x:v>Xénomorphes</x:v>
      </x:c>
      <x:c r="C10" s="71" t="str">
        <x:v>Drone — incarnations Extinction, Fireteam Elite et AFE2</x:v>
      </x:c>
      <x:c r="D10" s="71" t="str">
        <x:v>Archétype adulte de jeu</x:v>
      </x:c>
      <x:c r="E10" s="71" t="str">
        <x:v>élite</x:v>
      </x:c>
      <x:c r="F10" s="71" t="str">
        <x:v>Aliens versus Predator: Extinction ; Aliens: Fireteam Elite
Aliens: Fireteam Elite 2</x:v>
      </x:c>
      <x:c r="G10" s="71" t="str">
        <x:v>Jeu</x:v>
      </x:c>
      <x:c r="H10" s="71" t="str">
        <x:v>Profils distincts par jeu; aucun arbre biologique universel. Le scénario choisit explicitement son profil.
Incarnation Aliens: Fireteam Elite 2 : nom attesté ; preset local distinct, sans importer les statistiques d’un autre jeu.</x:v>
      </x:c>
      <x:c r="I10" s="71" t="str">
        <x:v>Confirmé dans l’œuvre référencée ; adaptation de gameplay distincte</x:v>
      </x:c>
      <x:c r="J10" s="71" t="str">
        <x:v>Extinction et Fireteam Elite nomment le Drone.
Aliens: Fireteam Elite 2 : nom présent dans les publications officielles.</x:v>
      </x:c>
      <x:c r="K10" s="71" t="str">
        <x:v>X-S01 — Aliens versus Predator: Extinction — manuel officiel PS2
Manuel primaire ; copie archivée par Gaming Alexandria
Portée : Extraits indexés du document officiel ; PDF trop volumineux pour open. Biologie et transformations limitées à Extinction ; aucune règle universelle déduite.
X-S02 — Aliens: Fireteam Elite — Release Notes
Documentation officielle du développeur
Portée : Identifiants d’ennemis et comportements explicitement cités dans les correctifs ; ne documente pas leur généalogie.
XC-S01 — Aliens: Fireteam Elite 2 — Xenomorph Showcase, 20 août 2026
Annonce officielle du développeur sur Steam
Portée : Fait cité uniquement ; identité, capacités et biologie non extrapolées au-delà de cette preuve.</x:v>
      </x:c>
      <x:c r="L10" s="76" t="str">
        <x:v>https://gamingalexandria.com/ps2/Aliens%20Versus%20Predator%20Extinction/Aliens%20Versus%20Predator%20Extinction%20-%20Manual.pdf
https://www.aliensfireteamelite.com/en/releasenotes/
https://steamcommunity.com/app/3448650/allnews/?l=english</x:v>
      </x:c>
      <x:c r="M10" s="71" t="str">
        <x:v>Catalogue présent (39871c45). Aucun comportement dédié établi par ce contrôle ; une fiche source ne prouve pas un acteur spécialisé.</x:v>
      </x:c>
      <x:c r="N1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 s="71" t="str">
        <x:v>Créer un profil Drone distinct du Warrior : repérage, attaque courte, retrait et repositionnement avec mémoire.</x:v>
      </x:c>
      <x:c r="P10" s="71" t="str">
        <x:v>Proposition : menace de chasse dans les espaces secondaires.</x:v>
      </x:c>
      <x:c r="Q10" s="71" t="str">
        <x:v>Proposition : un chasseur par secteur actif ; intervalles de réapparition issus du réseau de conduits.</x:v>
      </x:c>
      <x:c r="R10" s="71" t="str">
        <x:v>X/Y/H natif pour le profil Extinction ; X/H natif pour Fireteam Elite, Yautja en crossover déclaré.</x:v>
      </x:c>
      <x:c r="S10" s="71" t="str">
        <x:v>X-L01 — LV-742 — zones de guerre d’Extinction
X-L02 — Katanga — secteur industriel
X-L03 — LV-895 — ruines des Engineers et foyer Pathogen
X-L05 — Sevastopol</x:v>
      </x:c>
      <x:c r="T10" s="71" t="str">
        <x:v>La compatibilité Sevastopol vise le style de traque ; elle ne prouve pas que son Alien possède la classe Fireteam Elite.</x:v>
      </x:c>
      <x:c r="U10" s="71" t="str">
        <x:v>P1</x:v>
      </x:c>
    </x:row>
    <x:row r="11" ht="265.5" hidden="0" customHeight="1">
      <x:c r="A11" s="70" t="str">
        <x:v>XEN-005</x:v>
      </x:c>
      <x:c r="B11" s="70" t="str">
        <x:v>Xénomorphes</x:v>
      </x:c>
      <x:c r="C11" s="70" t="str">
        <x:v>Warrior</x:v>
      </x:c>
      <x:c r="D11" s="70" t="str">
        <x:v>Archétype adulte / phénotype de combat</x:v>
      </x:c>
      <x:c r="E11" s="70" t="str">
        <x:v>commun</x:v>
      </x:c>
      <x:c r="F11" s="70" t="str">
        <x:v>Aliens versus Predator: Extinction ; Aliens: Fireteam Elite ; AVP</x:v>
      </x:c>
      <x:c r="G11" s="70" t="str">
        <x:v>Jeu ; film</x:v>
      </x:c>
      <x:c r="H11" s="70" t="str">
        <x:v>Profils distincts par œuvre ; ne pas fusionner silhouette et statistiques entre jeux.</x:v>
      </x:c>
      <x:c r="I11" s="70" t="str">
        <x:v>Confirmé dans l’œuvre référencée ; adaptation de gameplay distincte</x:v>
      </x:c>
      <x:c r="J11" s="70" t="str">
        <x:v>Extinction et Fireteam Elite nomment le Warrior.</x:v>
      </x:c>
      <x:c r="K11"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X-S02 — Aliens: Fireteam Elite — Release Notes
Cold Iron Studios ; Documentation officielle du développeur
Portée : Identifiants d’ennemis et comportements explicitement cités dans les correctifs ; ne documente pas leur généalogie.
Consulté le 2026-10-26
X-S11 — Aliens Series 7 — AVP Warrior Alien et Grid Alien
NECA ; Présentation officielle de produits licenciés
Portée : Confirme Grid Alien comme représentation nommée du film AVP ; ne documente aucune immunité au netgun.
Consulté le 2026-10-26</x:v>
      </x:c>
      <x:c r="L11" s="77" t="str">
        <x:v>https://gamingalexandria.com/ps2/Aliens%20Versus%20Predator%20Extinction/Aliens%20Versus%20Predator%20Extinction%20-%20Manual.pdf
https://www.aliensfireteamelite.com/en/releasenotes/
https://necaonline.com/2016/02/shipping-this-week-god-of-war-iii-ultimate-kratos-deluxe-bat-gremlin-aliens-series-7-action-figures/</x:v>
      </x:c>
      <x:c r="M11" s="70" t="str">
        <x:v>Catalogue présent (39871c45). Type warrior présent ; fidélité du modèle et de chaque incarnation non certifiée.</x:v>
      </x:c>
      <x:c r="N11"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11" s="70" t="str">
        <x:v>Définir des profils par continuité, des trajectoires de ruche et des attaques contre les unités de faction.</x:v>
      </x:c>
      <x:c r="P11" s="70" t="str">
        <x:v>Proposition : corps principal des groupes de ruche.</x:v>
      </x:c>
      <x:c r="Q11" s="70" t="str">
        <x:v>Proposition : cellule de 6–12 adultes avec un chef de secteur de gameplay ; réserves bornées et sortie par conduits.</x:v>
      </x:c>
      <x:c r="R11" s="70" t="str">
        <x:v>X/H ; X/Y et X/Y/H natifs dans AVP, crossover déclaré ailleurs.</x:v>
      </x:c>
      <x:c r="S11" s="70" t="str">
        <x:v>X-L01 — LV-742 — zones de guerre d’Extinction
X-L02 — Katanga — secteur industriel
X-L04 — Lethe — colonie et liaison Pioneer
X-L09 — Pyramide antarctique</x:v>
      </x:c>
      <x:c r="T11" s="70" t="str">
        <x:v>Le chef de secteur est une fonction de jeu proposée, pas une nouvelle caste officielle.</x:v>
      </x:c>
      <x:c r="U11" s="70" t="str">
        <x:v>P1</x:v>
      </x:c>
    </x:row>
    <x:row r="12" ht="184.5" hidden="0" customHeight="1">
      <x:c r="A12" s="71" t="str">
        <x:v>XEN-006</x:v>
      </x:c>
      <x:c r="B12" s="71" t="str">
        <x:v>Xénomorphes</x:v>
      </x:c>
      <x:c r="C12" s="71" t="str">
        <x:v>Runner — profils Extinction et Fireteam Elite</x:v>
      </x:c>
      <x:c r="D12" s="71" t="str">
        <x:v>Archétype mobile de jeu</x:v>
      </x:c>
      <x:c r="E12" s="71" t="str">
        <x:v>commun</x:v>
      </x:c>
      <x:c r="F12" s="71" t="str">
        <x:v>Aliens versus Predator: Extinction ; Aliens: Fireteam Elite</x:v>
      </x:c>
      <x:c r="G12" s="71" t="str">
        <x:v>Jeu</x:v>
      </x:c>
      <x:c r="H12" s="71" t="str">
        <x:v>Profils distincts selon jeu ; les correspondances entre hôtes et descendants d’Extinction ne sont pas universelles.</x:v>
      </x:c>
      <x:c r="I12" s="71" t="str">
        <x:v>Confirmé dans l’œuvre référencée ; adaptation de gameplay distincte</x:v>
      </x:c>
      <x:c r="J12" s="71" t="str">
        <x:v>Extinction et Fireteam Elite nomment le Runner.</x:v>
      </x:c>
      <x:c r="K12"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
X-S02 — Aliens: Fireteam Elite — Release Notes
Cold Iron Studios ; Documentation officielle du développeur
Portée : Identifiants d’ennemis et comportements explicitement cités dans les correctifs ; ne documente pas leur généalogie.
Consulté le 2026-10-26</x:v>
      </x:c>
      <x:c r="L12" s="76" t="str">
        <x:v>https://gamingalexandria.com/ps2/Aliens%20Versus%20Predator%20Extinction/Aliens%20Versus%20Predator%20Extinction%20-%20Manual.pdf
https://www.aliensfireteamelite.com/en/releasenotes/</x:v>
      </x:c>
      <x:c r="M12" s="71" t="str">
        <x:v>Catalogue présent (39871c45). Type runner présent ; presets propres à chaque jeu non établis.</x:v>
      </x:c>
      <x:c r="N12"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12" s="71" t="str">
        <x:v>Ajouter locomotion quadrupède crédible, routes basses et contournement sans traverser les obstacles.</x:v>
      </x:c>
      <x:c r="P12" s="71" t="str">
        <x:v>Proposition : flanqueur rapide des fronts ouverts.</x:v>
      </x:c>
      <x:c r="Q12" s="71" t="str">
        <x:v>Proposition : cellule de 8–16 avec un axe d’arrivée lisible ; plafonner les attaquants simultanés autour d’un allié.</x:v>
      </x:c>
      <x:c r="R12" s="71" t="str">
        <x:v>X/Y/H natif en Extinction ; X/H natif dans Fireteam Elite, Yautja en adaptation annoncée.</x:v>
      </x:c>
      <x:c r="S12" s="71" t="str">
        <x:v>X-L01 — LV-742 — zones de guerre d’Extinction
X-L02 — Katanga — secteur industriel
X-L03 — LV-895 — ruines des Engineers et foyer Pathogen
X-L04 — Lethe — colonie et liaison Pioneer</x:v>
      </x:c>
      <x:c r="T12" s="71" t="str">
        <x:v>La vitesse chiffrée et la taille de cellule proposées sont propres au projet, pas des chiffres officiels.</x:v>
      </x:c>
      <x:c r="U12" s="71" t="str">
        <x:v>P1</x:v>
      </x:c>
    </x:row>
    <x:row r="13" ht="252" hidden="0" customHeight="1">
      <x:c r="A13" s="70" t="str">
        <x:v>XEN-007</x:v>
      </x:c>
      <x:c r="B13" s="70" t="str">
        <x:v>Xénomorphes</x:v>
      </x:c>
      <x:c r="C13" s="70" t="str">
        <x:v>Reine Xénomorphe</x:v>
      </x:c>
      <x:c r="D13" s="70" t="str">
        <x:v>Caste reproductrice / dirigeante de ruche</x:v>
      </x:c>
      <x:c r="E13" s="70" t="str">
        <x:v>unique</x:v>
      </x:c>
      <x:c r="F13" s="70" t="str">
        <x:v>Aliens versus Predator: Extinction ; Aliens: Dark Descent ; AVP
Aliens: Fireteam Elite 2
Aliens: Colonial Marines</x:v>
      </x:c>
      <x:c r="G13" s="70" t="str">
        <x:v>Jeu ; film</x:v>
      </x:c>
      <x:c r="H13" s="70" t="str">
        <x:v>Reine confirmée ; pouvoirs et structure de ruche dépendent de l’œuvre sélectionnée.
Incarnation Aliens: Fireteam Elite 2 : nom attesté ; preset local distinct, sans importer les statistiques d’un autre jeu.
Incarnation Aliens: Dark Descent : nom attesté ; preset local distinct, sans importer les statistiques d’un autre jeu.
Incarnation Aliens: Colonial Marines : nom attesté ; preset local distinct, sans importer les statistiques d’un autre jeu.</x:v>
      </x:c>
      <x:c r="I13" s="70" t="str">
        <x:v>Confirmé dans l’œuvre référencée ; adaptation de gameplay distincte</x:v>
      </x:c>
      <x:c r="J13" s="70" t="str">
        <x:v>Extinction et Dark Descent incluent des reines.
Aliens: Fireteam Elite 2 : nom présent dans les publications officielles.
Aliens: Dark Descent : nom présent dans les publications officielles.
Aliens: Colonial Marines : nom présent dans les publications officielles.</x:v>
      </x:c>
      <x:c r="K13" s="70" t="str">
        <x:v>X-S01 — Aliens versus Predator: Extinction — manuel officiel PS2
Manuel primaire ; copie archivée par Gaming Alexandria
Portée : Extraits indexés du document officiel ; PDF trop volumineux pour open. Biologie et transformations limitées à Extinction ; aucune règle universelle déduite.
X-S21 — Aliens: Dark Descent — page officielle PlayStation
Fiche de distribution officielle
Portée : Roster annoncé comprenant Facehuggers, Praetorians, Queens et commandos humains ; aucune preuve d’une présence Yautja dans cette histoire.
XC-S02 — Aliens: Fireteam Elite 2 — Game Patch Notes, 17 septembre 2026
Notes officielles du développeur/éditeur
Portée : Fait cité uniquement ; identité, capacités et biologie non extrapolées au-delà de cette preuve.
XC-S13 — Aliens: Dark Descent — actualités et notes de mise à jour officielles
Publications du développeur/éditeur sur Steam
Portée : Fait cité uniquement ; identité, capacités et biologie non extrapolées au-delà de cette preuve.
XC-S11 — Aliens: Colonial Marines — succès officiels
Textes de succès fournis par le développeur sur Steam
Portée : Fait cité uniquement ; identité, capacités et biologie non extrapolées au-delà de cette preuve.</x:v>
      </x:c>
      <x:c r="L13" s="77" t="str">
        <x:v>https://gamingalexandria.com/ps2/Aliens%20Versus%20Predator%20Extinction/Aliens%20Versus%20Predator%20Extinction%20-%20Manual.pdf
https://www.playstation.com/en-us/games/aliens-dark-descent/
https://www.daybreakgames.com/press/afe2/article/afe2-91726-patchnotes
https://steamcommunity.com/app/1150440/allnews/
https://steamcommunity.com/stats/AliensColonialMarines/achievements/</x:v>
      </x:c>
      <x:c r="M13" s="70" t="str">
        <x:v>Catalogue présent (39871c45). Identité xenomorph_queen dans le registre de boss ; chiffres et phases adaptés.</x:v>
      </x:c>
      <x:c r="N13" s="70" t="str">
        <x:v>Catalogue importé : https://github.com/darknigthmare/Yautja-hive-warriors/blob/39871c450379225de8174711237632e6aa883f04/js/data/BattleCatalog.js#L41-L51
Preuve ciblée : https://github.com/darknigthmare/Yautja-hive-warriors/blob/39871c450379225de8174711237632e6aa883f04/js/data/BossRegistry.js#L8-L18
https://github.com/darknigthmare/Yautja-hive-warriors/blob/39871c450379225de8174711237632e6aa883f04/js/entities/XenomorphHorde.js#L1442-L1511
https://github.com/darknigthmare/Yautja-hive-warriors/blob/39871c450379225de8174711237632e6aa883f04/js/entities/XenomorphHorde.js#L2277-L2279</x:v>
      </x:c>
      <x:c r="O13" s="70" t="str">
        <x:v>Relier reine, ponte, gardes et stock de ruche ; éviter les pouvoirs génériques incompatibles ; prévoir plusieurs fronts sans plusieurs reines simultanées obligatoires.</x:v>
      </x:c>
      <x:c r="P13" s="70" t="str">
        <x:v>Proposition : objectif stratégique final dont la neutralisation modifie les renforts.</x:v>
      </x:c>
      <x:c r="Q13" s="70" t="str">
        <x:v>Proposition : une reine de scénario et sa garde ; limiter les escortes par budget et par accès au sanctuaire.</x:v>
      </x:c>
      <x:c r="R13" s="70" t="str">
        <x:v>X/Y/H natif en Extinction ; X/H dans Dark Descent, Yautja en adaptation AVP distincte.</x:v>
      </x:c>
      <x:c r="S13" s="70" t="str">
        <x:v>X-L01 — LV-742 — zones de guerre d’Extinction
X-L04 — Lethe — colonie et liaison Pioneer
X-L09 — Pyramide antarctique</x:v>
      </x:c>
      <x:c r="T13" s="70" t="str">
        <x:v>Une reine par opération est une proposition de budget ; ce n’est pas une loi biologique universelle. Ne pas confondre reine et Offspring.
Une phase royale de ponte n'établit pas une nouvelle caste Matriarch ; mobilité, ponte et anatomie doivent suivre l'incarnation choisie.</x:v>
      </x:c>
      <x:c r="U13" s="70" t="str">
        <x:v>P1</x:v>
      </x:c>
    </x:row>
    <x:row r="14" ht="252" hidden="0" customHeight="1">
      <x:c r="A14" s="71" t="str">
        <x:v>XEN-008</x:v>
      </x:c>
      <x:c r="B14" s="71" t="str">
        <x:v>Xénomorphes</x:v>
      </x:c>
      <x:c r="C14" s="71" t="str">
        <x:v>Praetorian</x:v>
      </x:c>
      <x:c r="D14" s="71" t="str">
        <x:v>Caste de jeu</x:v>
      </x:c>
      <x:c r="E14" s="71" t="str">
        <x:v>élite</x:v>
      </x:c>
      <x:c r="F14" s="71" t="str">
        <x:v>Aliens versus Predator: Extinction ; Aliens: Dark Descent
Aliens: Fireteam Elite 2
Aliens versus Predator 2</x:v>
      </x:c>
      <x:c r="G14" s="71" t="str">
        <x:v>Jeux</x:v>
      </x:c>
      <x:c r="H14" s="71" t="str">
        <x:v>Profils distincts par jeu; les transformations d’Extinction ne s’imposent pas aux autres œuvres.
Incarnation Aliens: Fireteam Elite 2 : nom attesté ; preset local distinct, sans importer les statistiques d’un autre jeu.
Incarnation Aliens: Dark Descent : nom attesté ; preset local distinct, sans importer les statistiques d’un autre jeu.
Incarnation Aliens versus Predator 2 : sélection locale séparée, sans combattant supplémentaire.</x:v>
      </x:c>
      <x:c r="I14" s="71" t="str">
        <x:v>Confirmé dans l’œuvre référencée ; adaptation de gameplay distincte</x:v>
      </x:c>
      <x:c r="J14" s="71" t="str">
        <x:v>Extinction permet des métamorphoses de Praetorian.
Aliens: Fireteam Elite 2 : nom présent dans les publications officielles.
Aliens: Dark Descent : nom présent dans les publications officielles.
Aliens versus Predator 2 : nom attesté par la source officielle.</x:v>
      </x:c>
      <x:c r="K14" s="71" t="str">
        <x:v>X-S01 — Aliens versus Predator: Extinction — manuel officiel PS2
Manuel primaire ; copie archivée par Gaming Alexandria
Portée : Extraits indexés du document officiel ; PDF trop volumineux pour open. Biologie et transformations limitées à Extinction ; aucune règle universelle déduite.
X-S21 — Aliens: Dark Descent — page officielle PlayStation
Fiche de distribution officielle
Portée : Roster annoncé comprenant Facehuggers, Praetorians, Queens et commandos humains ; aucune preuve d’une présence Yautja dans cette histoire.
XC-S01 — Aliens: Fireteam Elite 2 — Xenomorph Showcase, 20 août 2026
Annonce officielle du développeur sur Steam
Portée : Fait cité uniquement ; identité, capacités et biologie non extrapolées au-delà de cette preuve.
XC-S13 — Aliens: Dark Descent — actualités et notes de mise à jour officielles
Publications du développeur/éditeur sur Steam
Portée : Fait cité uniquement ; identité, capacités et biologie non extrapolées au-delà de cette preuve.
XC-S05 — Aliens versus Predator 2 — Prima's Official Strategy Guide, page PDF 103 / imprimée 89
Guide officiel licencié Prima / Fox / Sierra, archive de conservation
Portée : Fait cité uniquement ; identité, capacités et biologie non extrapolées au-delà de cette preuve.</x:v>
      </x:c>
      <x:c r="L14" s="76" t="str">
        <x:v>https://gamingalexandria.com/ps2/Aliens%20Versus%20Predator%20Extinction/Aliens%20Versus%20Predator%20Extinction%20-%20Manual.pdf
https://www.playstation.com/en-us/games/aliens-dark-descent/
https://steamcommunity.com/app/3448650/allnews/?l=english
https://steamcommunity.com/app/1150440/allnews/
https://oldgamesdownload.com/wp-content/uploads/manuals/aliens-versus-predator-2_strategy-guide_en_u4s.pdf</x:v>
      </x:c>
      <x:c r="M14" s="71" t="str">
        <x:v>Catalogue présent (39871c45). Type praetorian présent ; presets de jeux distincts à vérifier.</x:v>
      </x:c>
      <x:c r="N14"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
https://github.com/darknigthmare/Yautja-hive-warriors/blob/39871c450379225de8174711237632e6aa883f04/js/entities/XenomorphHorde.js#L2277-L2279</x:v>
      </x:c>
      <x:c r="O14" s="71" t="str">
        <x:v>Créer garde de reine, priorité de défense et animations ; corriger le bossType praetorian qui utilise le repli du BossManager.</x:v>
      </x:c>
      <x:c r="P14" s="71" t="str">
        <x:v>Proposition : élite qui tient un goulot et protège le centre reproducteur.</x:v>
      </x:c>
      <x:c r="Q14" s="71" t="str">
        <x:v>Proposition : 1–2 gardes par sanctuaire, avec relève depuis la réserve ; pas deux automatiques sur toutes les cartes.</x:v>
      </x:c>
      <x:c r="R14" s="71" t="str">
        <x:v>X/H ; X/Y et X/Y/H natifs en Extinction, adaptation déclarée pour Dark Descent.</x:v>
      </x:c>
      <x:c r="S14" s="71" t="str">
        <x:v>X-L01 — LV-742 — zones de guerre d’Extinction
X-L04 — Lethe — colonie et liaison Pioneer
X-L09 — Pyramide antarctique</x:v>
      </x:c>
      <x:c r="T14" s="71" t="str">
        <x:v>Ne pas traiter Praetorian comme une simple reine miniature ; pas de transformation automatique entre continuités.</x:v>
      </x:c>
      <x:c r="U14" s="71" t="str">
        <x:v>P1</x:v>
      </x:c>
    </x:row>
    <x:row r="15" ht="103.5" hidden="0" customHeight="1">
      <x:c r="A15" s="70" t="str">
        <x:v>XEN-009</x:v>
      </x:c>
      <x:c r="B15" s="70" t="str">
        <x:v>Xénomorphes</x:v>
      </x:c>
      <x:c r="C15" s="70" t="str">
        <x:v>Carrier</x:v>
      </x:c>
      <x:c r="D15" s="70" t="str">
        <x:v>Caste de jeu</x:v>
      </x:c>
      <x:c r="E15" s="70" t="str">
        <x:v>élite</x:v>
      </x:c>
      <x:c r="F15" s="70" t="str">
        <x:v>Aliens versus Predator: Extinction</x:v>
      </x:c>
      <x:c r="G15" s="70" t="str">
        <x:v>Jeu</x:v>
      </x:c>
      <x:c r="H15" s="70" t="str">
        <x:v>Unité propre au roster Extinction.</x:v>
      </x:c>
      <x:c r="I15" s="70" t="str">
        <x:v>Confirmé dans l’œuvre référencée ; adaptation de gameplay distincte</x:v>
      </x:c>
      <x:c r="J15" s="70" t="str">
        <x:v>Carrier est une transformation disponible dans Extinction.</x:v>
      </x:c>
      <x:c r="K15"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5" s="77" t="str">
        <x:v>https://gamingalexandria.com/ps2/Aliens%20Versus%20Predator%20Extinction/Aliens%20Versus%20Predator%20Extinction%20-%20Manual.pdf</x:v>
      </x:c>
      <x:c r="M15" s="70" t="str">
        <x:v>Catalogue présent (39871c45). Aucun comportement dédié établi par ce contrôle ; une fiche source ne prouve pas un acteur spécialisé.</x:v>
      </x:c>
      <x:c r="N1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5" s="70" t="str">
        <x:v>Ajouter modèle, réserves de parasites transportées, lâcher télégraphié et comportement d’escorte ; aucune équivalence dans le code actuel.</x:v>
      </x:c>
      <x:c r="P15" s="70" t="str">
        <x:v>Proposition : transport biologique qui contourne une position tenue.</x:v>
      </x:c>
      <x:c r="Q15" s="70" t="str">
        <x:v>Proposition : un Carrier avec 4–8 gardes ; nombre de parasites embarqués limité par opération.</x:v>
      </x:c>
      <x:c r="R15" s="70" t="str">
        <x:v>X/H, X/Y, X/Y/H natifs dans Extinction.</x:v>
      </x:c>
      <x:c r="S15" s="70" t="str">
        <x:v>X-L01 — LV-742 — zones de guerre d’Extinction</x:v>
      </x:c>
      <x:c r="T15" s="70" t="str">
        <x:v>Le mot carrier présent dans AudioEngine et APCVehicle ne désigne pas cette caste. Taille et mécanique du transport restent à valider sur le jeu.</x:v>
      </x:c>
      <x:c r="U15" s="70" t="str">
        <x:v>P1</x:v>
      </x:c>
    </x:row>
    <x:row r="16" ht="103.5" hidden="0" customHeight="1">
      <x:c r="A16" s="71" t="str">
        <x:v>XEN-010</x:v>
      </x:c>
      <x:c r="B16" s="71" t="str">
        <x:v>Xénomorphes</x:v>
      </x:c>
      <x:c r="C16" s="71" t="str">
        <x:v>Ravager</x:v>
      </x:c>
      <x:c r="D16" s="71" t="str">
        <x:v>Caste de jeu</x:v>
      </x:c>
      <x:c r="E16" s="71" t="str">
        <x:v>élite</x:v>
      </x:c>
      <x:c r="F16" s="71" t="str">
        <x:v>Aliens versus Predator: Extinction</x:v>
      </x:c>
      <x:c r="G16" s="71" t="str">
        <x:v>Jeu</x:v>
      </x:c>
      <x:c r="H16" s="71" t="str">
        <x:v>Unité propre au roster Extinction.</x:v>
      </x:c>
      <x:c r="I16" s="71" t="str">
        <x:v>Confirmé dans l’œuvre référencée ; adaptation de gameplay distincte</x:v>
      </x:c>
      <x:c r="J16" s="71" t="str">
        <x:v>Ravager est une transformation disponible dans Extinction.</x:v>
      </x:c>
      <x:c r="K16" s="71"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6" s="76" t="str">
        <x:v>https://gamingalexandria.com/ps2/Aliens%20Versus%20Predator%20Extinction/Aliens%20Versus%20Predator%20Extinction%20-%20Manual.pdf</x:v>
      </x:c>
      <x:c r="M16" s="71" t="str">
        <x:v>Catalogue présent (39871c45). Aucun comportement dédié établi par ce contrôle ; une fiche source ne prouve pas un acteur spécialisé.</x:v>
      </x:c>
      <x:c r="N1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6" s="71" t="str">
        <x:v>Créer un modèle et un profil de brèche ; valider les capacités exactes dans le bestiaire avant reproduction détaillée.</x:v>
      </x:c>
      <x:c r="P16" s="71" t="str">
        <x:v>Proposition : élite de mêlée qui ouvre un passage fortifié.</x:v>
      </x:c>
      <x:c r="Q16" s="71" t="str">
        <x:v>Proposition : un Ravager par offensive annoncée, 4–8 escortes ; contre-jeu par déviation et accès latéraux.</x:v>
      </x:c>
      <x:c r="R16" s="71" t="str">
        <x:v>X/H, X/Y, X/Y/H natifs dans Extinction.</x:v>
      </x:c>
      <x:c r="S16" s="71" t="str">
        <x:v>X-L01 — LV-742 — zones de guerre d’Extinction</x:v>
      </x:c>
      <x:c r="T16" s="71" t="str">
        <x:v>La fonction de brèche proposée ne certifie aucune immunité ou statistique du jeu source.</x:v>
      </x:c>
      <x:c r="U16" s="71" t="str">
        <x:v>P1</x:v>
      </x:c>
    </x:row>
    <x:row r="17" ht="184.5" hidden="0" customHeight="1">
      <x:c r="A17" s="70" t="str">
        <x:v>XEN-011</x:v>
      </x:c>
      <x:c r="B17" s="70" t="str">
        <x:v>Xénomorphes</x:v>
      </x:c>
      <x:c r="C17" s="70" t="str">
        <x:v>Predalien</x:v>
      </x:c>
      <x:c r="D17" s="70" t="str">
        <x:v>Hybride d’hôte ; individu filmique ou unité selon l’œuvre</x:v>
      </x:c>
      <x:c r="E17" s="70" t="str">
        <x:v>unique</x:v>
      </x:c>
      <x:c r="F17" s="70" t="str">
        <x:v>Aliens vs. Predator: Requiem ; Aliens versus Predator: Extinction</x:v>
      </x:c>
      <x:c r="G17" s="70" t="str">
        <x:v>Film ; jeu</x:v>
      </x:c>
      <x:c r="H17" s="70" t="str">
        <x:v>Séparer le Predalien de Requiem des unités du RTS et de leurs règles reproductrices.</x:v>
      </x:c>
      <x:c r="I17" s="70" t="str">
        <x:v>Confirmé dans l’œuvre référencée ; adaptation de gameplay distincte</x:v>
      </x:c>
      <x:c r="J17" s="70" t="str">
        <x:v>Requiem présente un Predalien Hybrid.</x:v>
      </x:c>
      <x:c r="K17" s="70" t="str">
        <x:v>X-S10 — Aliens vs. Predator: Requiem — Predalien Hybrid
NECA ; Présentation officielle de produit licencié
Portée : Confirme le Predalien Hybrid associé au film Requiem ; ne valide pas les sous-types Queen, Elder ou Matriarch Titan du projet.
Consulté le 2026-10-26
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L17" s="77" t="str">
        <x:v>https://store.necaonline.com/blogs/news/two-beasts-packaged
https://gamingalexandria.com/ps2/Aliens%20Versus%20Predator%20Extinction/Aliens%20Versus%20Predator%20Extinction%20-%20Manual.pdf</x:v>
      </x:c>
      <x:c r="M17" s="70" t="str">
        <x:v>Catalogue présent (39871c45). Plusieurs boss predalien présents, dont un Titan explicitement original. Ne pas les fusionner en caste filmique.</x:v>
      </x:c>
      <x:c r="N17" s="70" t="str">
        <x:v>Catalogue importé : https://github.com/darknigthmare/Yautja-hive-warriors/blob/39871c450379225de8174711237632e6aa883f04/js/data/BattleCatalog.js#L41-L51
Preuve ciblée : https://github.com/darknigthmare/Yautja-hive-warriors/blob/39871c450379225de8174711237632e6aa883f04/js/data/BossRegistry.js#L10-L18
https://github.com/darknigthmare/Yautja-hive-warriors/blob/39871c450379225de8174711237632e6aa883f04/js/entities/XenomorphHorde.js#L1376-L1441
https://github.com/darknigthmare/Yautja-hive-warriors/blob/39871c450379225de8174711237632e6aa883f04/js/entities/Bosses.js#L1271-L1326</x:v>
      </x:c>
      <x:c r="O17" s="70" t="str">
        <x:v>Remplacer le mélange Queen/Elder/Titan par des profils documentés séparés ; rattacher l’apparition à un hôte Yautja et à un scénario compatible.</x:v>
      </x:c>
      <x:c r="P17" s="70" t="str">
        <x:v>Proposition : boss de traque pour Requiem ; unité rare de mêlée dans une adaptation Extinction.</x:v>
      </x:c>
      <x:c r="Q17" s="70" t="str">
        <x:v>Proposition : profil Requiem unique ; profil RTS rare avec origine et réserve explicites, jamais un ancien ajouté à toute vague.</x:v>
      </x:c>
      <x:c r="R17" s="70" t="str">
        <x:v>X/Y/H natif dans les œuvres AVP.</x:v>
      </x:c>
      <x:c r="S17" s="70" t="str">
        <x:v>X-L01 — LV-742 — zones de guerre d’Extinction
X-L09 — Pyramide antarctique</x:v>
      </x:c>
      <x:c r="T17" s="70" t="str">
        <x:v>Pyramide : crossover de scénario, pas présence historique du Predalien dans AVP 2004. Queen, Ancient Elder et Matriarch Titan ne sont pas établis par ces sources.
Variante originale de Predalien tant qu'un passage de Primal Hunt ne valide pas l'ancienneté, le rang Elder et les aptitudes.
Boss composite du projet tant que chaque identité, forme et mécanisme reproductif n'est pas relié à son média.</x:v>
      </x:c>
      <x:c r="U17" s="70" t="str">
        <x:v>P1</x:v>
      </x:c>
    </x:row>
    <x:row r="18" ht="130.5" hidden="0" customHeight="1">
      <x:c r="A18" s="71" t="str">
        <x:v>XEN-012</x:v>
      </x:c>
      <x:c r="B18" s="71" t="str">
        <x:v>Xénomorphes</x:v>
      </x:c>
      <x:c r="C18" s="71" t="str">
        <x:v>Spitter de Fireteam Elite</x:v>
      </x:c>
      <x:c r="D18" s="71" t="str">
        <x:v>Variante de jeu</x:v>
      </x:c>
      <x:c r="E18" s="71" t="str">
        <x:v>élite</x:v>
      </x:c>
      <x:c r="F18" s="71" t="str">
        <x:v>Aliens: Fireteam Elite</x:v>
      </x:c>
      <x:c r="G18" s="71" t="str">
        <x:v>Jeu</x:v>
      </x:c>
      <x:c r="H18" s="71" t="str">
        <x:v>Profil Fireteam Elite à distinguer du Spitter attribué à Colonial Marines dans les commentaires du projet.</x:v>
      </x:c>
      <x:c r="I18" s="71" t="str">
        <x:v>Confirmé dans l’œuvre référencée ; adaptation de gameplay distincte</x:v>
      </x:c>
      <x:c r="J18" s="71" t="str">
        <x:v>Les correctifs mentionnent les attaques acides du Spitter.</x:v>
      </x:c>
      <x:c r="K18" s="71" t="str">
        <x:v>X-S02 — Aliens: Fireteam Elite — Release Notes
Cold Iron Studios ; Documentation officielle du développeur
Portée : Identifiants d’ennemis et comportements explicitement cités dans les correctifs ; ne documente pas leur généalogie.
Consulté le 2026-10-26</x:v>
      </x:c>
      <x:c r="L18" s="76" t="str">
        <x:v>https://www.aliensfireteamelite.com/en/releasenotes/</x:v>
      </x:c>
      <x:c r="M18" s="71" t="str">
        <x:v>Catalogue présent (39871c45). Type spitter présent ; le nom ne prouve pas sa conformité à Fireteam Elite.</x:v>
      </x:c>
      <x:c r="N18"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18" s="71" t="str">
        <x:v>Choisir l’œuvre et revalider silhouette, trajectoire, recul et cadence ; le mortier actuel ne suffit pas à reproduire le profil officiel.</x:v>
      </x:c>
      <x:c r="P18" s="71" t="str">
        <x:v>Proposition : tir de pression depuis une couverture avec fenêtre d’exposition.</x:v>
      </x:c>
      <x:c r="Q18" s="71" t="str">
        <x:v>Proposition : 1–2 tireurs pour 8–12 adultes ; lignes de tir testées sur passerelles et escaliers.</x:v>
      </x:c>
      <x:c r="R18" s="71" t="str">
        <x:v>X/H natif ; X/Y et X/Y/H en adaptation déclarée.</x:v>
      </x:c>
      <x:c r="S18" s="71" t="str">
        <x:v>X-L02 — Katanga — secteur industriel
X-L03 — LV-895 — ruines des Engineers et foyer Pathogen</x:v>
      </x:c>
      <x:c r="T18" s="71" t="str">
        <x:v>Ne pas affirmer qu’un même nom impose les mêmes propriétés dans Colonial Marines et Fireteam Elite.</x:v>
      </x:c>
      <x:c r="U18" s="71" t="str">
        <x:v>P1</x:v>
      </x:c>
    </x:row>
    <x:row r="19" ht="117" hidden="0" customHeight="1">
      <x:c r="A19" s="70" t="str">
        <x:v>XEN-013</x:v>
      </x:c>
      <x:c r="B19" s="70" t="str">
        <x:v>Xénomorphes</x:v>
      </x:c>
      <x:c r="C19" s="70" t="str">
        <x:v>Burster</x:v>
      </x:c>
      <x:c r="D19" s="70" t="str">
        <x:v>Variante de jeu</x:v>
      </x:c>
      <x:c r="E19" s="70" t="str">
        <x:v>élite</x:v>
      </x:c>
      <x:c r="F19" s="70" t="str">
        <x:v>Aliens: Fireteam Elite</x:v>
      </x:c>
      <x:c r="G19" s="70" t="str">
        <x:v>Jeu</x:v>
      </x:c>
      <x:c r="H19" s="70" t="str">
        <x:v>Variante Fireteam Elite ; aucun alias automatique avec Boiler.</x:v>
      </x:c>
      <x:c r="I19" s="70" t="str">
        <x:v>Confirmé dans l’œuvre référencée ; adaptation de gameplay distincte</x:v>
      </x:c>
      <x:c r="J19" s="70" t="str">
        <x:v>Les correctifs distinguent explosion et projection acide du Burster.</x:v>
      </x:c>
      <x:c r="K19" s="70" t="str">
        <x:v>X-S02 — Aliens: Fireteam Elite — Release Notes
Cold Iron Studios ; Documentation officielle du développeur
Portée : Identifiants d’ennemis et comportements explicitement cités dans les correctifs ; ne documente pas leur généalogie.
Consulté le 2026-10-26</x:v>
      </x:c>
      <x:c r="L19" s="77" t="str">
        <x:v>https://www.aliensfireteamelite.com/en/releasenotes/</x:v>
      </x:c>
      <x:c r="M19" s="70" t="str">
        <x:v>Catalogue présent (39871c45). Aucun comportement dédié établi par ce contrôle ; une fiche source ne prouve pas un acteur spécialisé.</x:v>
      </x:c>
      <x:c r="N1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9" s="70" t="str">
        <x:v>Créer un identifiant propre, silhouette lisible et danger acide réglé ; garder une séparation explicite avec Boiler.</x:v>
      </x:c>
      <x:c r="P19" s="70" t="str">
        <x:v>Proposition : pression explosive que le joueur peut isoler du groupe.</x:v>
      </x:c>
      <x:c r="Q19" s="70" t="str">
        <x:v>Proposition : 1–2 par cellule ; délai minimal entre deux explosions et itinéraire alternatif sûr.</x:v>
      </x:c>
      <x:c r="R19" s="70" t="str">
        <x:v>X/H natif ; X/Y et X/Y/H en adaptation déclarée.</x:v>
      </x:c>
      <x:c r="S19" s="70" t="str">
        <x:v>X-L02 — Katanga — secteur industriel
X-L03 — LV-895 — ruines des Engineers et foyer Pathogen</x:v>
      </x:c>
      <x:c r="T19" s="70" t="str">
        <x:v>Un Boiler déjà codé ne constitue pas une implémentation du Burster ; les comportements précis restent à comparer au jeu.</x:v>
      </x:c>
      <x:c r="U19" s="70" t="str">
        <x:v>P1</x:v>
      </x:c>
    </x:row>
    <x:row r="20" ht="192" hidden="0" customHeight="1">
      <x:c r="A20" s="71" t="str">
        <x:v>XEN-014</x:v>
      </x:c>
      <x:c r="B20" s="71" t="str">
        <x:v>Xénomorphes</x:v>
      </x:c>
      <x:c r="C20" s="71" t="str">
        <x:v>Crusher — incarnations de jeux distinctes</x:v>
      </x:c>
      <x:c r="D20" s="71" t="str">
        <x:v>Variante de jeu</x:v>
      </x:c>
      <x:c r="E20" s="71" t="str">
        <x:v>élite</x:v>
      </x:c>
      <x:c r="F20" s="71" t="str">
        <x:v>Aliens: Fireteam Elite
Aliens: Fireteam Elite 2
Aliens: Dark Descent
Aliens: Colonial Marines</x:v>
      </x:c>
      <x:c r="G20" s="71" t="str">
        <x:v>Jeu</x:v>
      </x:c>
      <x:c r="H20" s="71" t="str">
        <x:v>Quatre incarnations de jeux à sélectionner séparément : Fireteam Elite, AFE2, Dark Descent et Colonial Marines. Aucune statistique transférée automatiquement.</x:v>
      </x:c>
      <x:c r="I20" s="71" t="str">
        <x:v>Confirmé dans l’œuvre référencée ; adaptation de gameplay distincte</x:v>
      </x:c>
      <x:c r="J20" s="71" t="str">
        <x:v>Les correctifs officiels identifient le Crusher.
Aliens: Fireteam Elite 2 : nom présent dans les publications officielles.
Aliens: Dark Descent : nom présent dans les publications officielles.
Aliens: Colonial Marines : nom présent dans les publications officielles.</x:v>
      </x:c>
      <x:c r="K20" s="71" t="str">
        <x:v>X-S02 — Aliens: Fireteam Elite — Release Notes
Documentation officielle du développeur
Portée : Identifiants d’ennemis et comportements explicitement cités dans les correctifs ; ne documente pas leur généalogie.
XC-S01 — Aliens: Fireteam Elite 2 — Xenomorph Showcase, 20 août 2026
Annonce officielle du développeur sur Steam
Portée : Fait cité uniquement ; identité, capacités et biologie non extrapolées au-delà de cette preuve.
XC-S13 — Aliens: Dark Descent — actualités et notes de mise à jour officielles
Publications du développeur/éditeur sur Steam
Portée : Fait cité uniquement ; identité, capacités et biologie non extrapolées au-delà de cette preuve.
XC-S11 — Aliens: Colonial Marines — succès officiels
Textes de succès fournis par le développeur sur Steam
Portée : Fait cité uniquement ; identité, capacités et biologie non extrapolées au-delà de cette preuve.</x:v>
      </x:c>
      <x:c r="L20" s="76" t="str">
        <x:v>https://www.aliensfireteamelite.com/en/releasenotes/
https://steamcommunity.com/app/3448650/allnews/?l=english
https://steamcommunity.com/app/1150440/allnews/
https://steamcommunity.com/stats/AliensColonialMarines/achievements/</x:v>
      </x:c>
      <x:c r="M20" s="71" t="str">
        <x:v>Catalogue présent (39871c45). Type crusher présent ; incarnations de chaque jeu non distinguées par ce seul type.</x:v>
      </x:c>
      <x:c r="N20"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
https://github.com/darknigthmare/Yautja-hive-warriors/blob/39871c450379225de8174711237632e6aa883f04/js/entities/XenomorphHorde.js#L2277-L2279</x:v>
      </x:c>
      <x:c r="O20" s="71" t="str">
        <x:v>Rendre la charge compatible avec les volumes, angles et unités alliées ; vérifier le profil visuel de la continuité choisie.</x:v>
      </x:c>
      <x:c r="P20" s="71" t="str">
        <x:v>Proposition : briseur de ligne que les alliés doivent esquiver et attirer.</x:v>
      </x:c>
      <x:c r="Q20" s="71" t="str">
        <x:v>Proposition : un Crusher sur un front large ; aucune apparition automatique dans un petit couloir ou à chaque vague.</x:v>
      </x:c>
      <x:c r="R20" s="71" t="str">
        <x:v>X/H natif ; X/Y et X/Y/H en adaptation déclarée.</x:v>
      </x:c>
      <x:c r="S20" s="71" t="str">
        <x:v>X-L02 — Katanga — secteur industriel
X-L03 — LV-895 — ruines des Engineers et foyer Pathogen</x:v>
      </x:c>
      <x:c r="T20" s="71" t="str">
        <x:v>La présence du nom ne valide pas les dégâts, résistances ou dimensions actuels.</x:v>
      </x:c>
      <x:c r="U20" s="71" t="str">
        <x:v>P1</x:v>
      </x:c>
    </x:row>
    <x:row r="21" ht="90" hidden="0" customHeight="1">
      <x:c r="A21" s="70" t="str">
        <x:v>XEN-015</x:v>
      </x:c>
      <x:c r="B21" s="70" t="str">
        <x:v>Xénomorphes</x:v>
      </x:c>
      <x:c r="C21" s="70" t="str">
        <x:v>Prowler</x:v>
      </x:c>
      <x:c r="D21" s="70" t="str">
        <x:v>Variante de jeu</x:v>
      </x:c>
      <x:c r="E21" s="70" t="str">
        <x:v>élite</x:v>
      </x:c>
      <x:c r="F21" s="70" t="str">
        <x:v>Aliens: Fireteam Elite</x:v>
      </x:c>
      <x:c r="G21" s="70" t="str">
        <x:v>Jeu</x:v>
      </x:c>
      <x:c r="H21" s="70" t="str">
        <x:v>Nom et design confirmés par produit officiel du jeu ; détails d’IA à vérifier dans l’œuvre.</x:v>
      </x:c>
      <x:c r="I21" s="70" t="str">
        <x:v>Confirmé : nom et représentation officiels ; comportement détaillé à vérifier</x:v>
      </x:c>
      <x:c r="J21" s="70" t="str">
        <x:v>Le Prowler figure dans la gamme officielle Fireteam Elite.</x:v>
      </x:c>
      <x:c r="K21" s="70" t="str">
        <x:v>X-S05 — Aliens: Fireteam Elite — Prowler Alien
NECA ; Fiche officielle du fabricant licencié
Portée : Confirme le nom et la représentation du Prowler dans Fireteam Elite. Produit dérivé : ne suffit pas à certifier sa biologie ou ses statistiques.
Consulté le 2026-10-26</x:v>
      </x:c>
      <x:c r="L21" s="77" t="str">
        <x:v>https://store.necaonline.com/products/aliens-fireteam-elite-7-scale-action-figure-prowler-alien</x:v>
      </x:c>
      <x:c r="M21" s="70" t="str">
        <x:v>Catalogue présent (39871c45). Aucun comportement dédié établi par ce contrôle ; une fiche source ne prouve pas un acteur spécialisé.</x:v>
      </x:c>
      <x:c r="N2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1" s="70" t="str">
        <x:v>Créer le profil distinct et vérifier en jeu bond, immobilisation et réponse alliée avant de figer ses attaques.</x:v>
      </x:c>
      <x:c r="P21" s="70" t="str">
        <x:v>Proposition : embuscade rapprochée et opportunité de sauvetage.</x:v>
      </x:c>
      <x:c r="Q21" s="70" t="str">
        <x:v>Proposition : un prédateur par embranchement, annoncé par position ou son ; pas de chaîne de saisies sans contre-jeu.</x:v>
      </x:c>
      <x:c r="R21" s="70" t="str">
        <x:v>X/H natif ; X/Y et X/Y/H en adaptation déclarée.</x:v>
      </x:c>
      <x:c r="S21" s="70" t="str">
        <x:v>X-L02 — Katanga — secteur industriel
X-L03 — LV-895 — ruines des Engineers et foyer Pathogen</x:v>
      </x:c>
      <x:c r="T21" s="70" t="str">
        <x:v>NECA confirme la représentation ; les dimensions de la figurine ne sont pas celles de la créature.</x:v>
      </x:c>
      <x:c r="U21" s="70" t="str">
        <x:v>P1</x:v>
      </x:c>
    </x:row>
    <x:row r="22" ht="90" hidden="0" customHeight="1">
      <x:c r="A22" s="71" t="str">
        <x:v>XEN-016</x:v>
      </x:c>
      <x:c r="B22" s="71" t="str">
        <x:v>Xénomorphes infectés / Pathogène</x:v>
      </x:c>
      <x:c r="C22" s="71" t="str">
        <x:v>Pathogen Runner</x:v>
      </x:c>
      <x:c r="D22" s="71" t="str">
        <x:v>Phénotype muté de Xénomorphe</x:v>
      </x:c>
      <x:c r="E22" s="71" t="str">
        <x:v>commun</x:v>
      </x:c>
      <x:c r="F22" s="71" t="str">
        <x:v>Aliens: Fireteam Elite — Pathogen</x:v>
      </x:c>
      <x:c r="G22" s="71" t="str">
        <x:v>Jeu</x:v>
      </x:c>
      <x:c r="H22" s="71" t="str">
        <x:v>Infection Pathogen spécifique à cette campagne.</x:v>
      </x:c>
      <x:c r="I22" s="71" t="str">
        <x:v>Confirmé dans l’œuvre référencée ; adaptation de gameplay distincte</x:v>
      </x:c>
      <x:c r="J22" s="71" t="str">
        <x:v>Le Runner infecté est plus robuste et plus lent.</x:v>
      </x:c>
      <x:c r="K22"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2" s="76" t="str">
        <x:v>https://www.aliensfireteamelite.com/en/community/pathogen-deep-dive-an-exhilarating-new-story/</x:v>
      </x:c>
      <x:c r="M22" s="71" t="str">
        <x:v>Catalogue présent (39871c45). Aucun comportement dédié établi par ce contrôle ; une fiche source ne prouve pas un acteur spécialisé.</x:v>
      </x:c>
      <x:c r="N2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2" s="71" t="str">
        <x:v>Ajouter sous-faction infectée, matériau, locomotion, réactions à l’acide et règles d’hostilité distinctes des Xénomorphes non infectés.</x:v>
      </x:c>
      <x:c r="P22" s="71" t="str">
        <x:v>Proposition : masse irrégulière des secteurs contaminés.</x:v>
      </x:c>
      <x:c r="Q22" s="71" t="str">
        <x:v>Proposition : 6–12 infectés issus d’un foyer ; aucun mélange aléatoire hors zone Pathogen.</x:v>
      </x:c>
      <x:c r="R22" s="71" t="str">
        <x:v>Pathogen/H et Pathogen/X attestés ; présence Yautja proposée en crossover.</x:v>
      </x:c>
      <x:c r="S22" s="71" t="str">
        <x:v>X-L03 — LV-895 — ruines des Engineers et foyer Pathogen</x:v>
      </x:c>
      <x:c r="T22" s="71" t="str">
        <x:v>Le système de flaques pathogen du projet ne crée pas cette variante ; les limites d’effectifs sont des objectifs de conception.</x:v>
      </x:c>
      <x:c r="U22" s="71" t="str">
        <x:v>P1</x:v>
      </x:c>
    </x:row>
    <x:row r="23" ht="90" hidden="0" customHeight="1">
      <x:c r="A23" s="70" t="str">
        <x:v>XEN-017</x:v>
      </x:c>
      <x:c r="B23" s="70" t="str">
        <x:v>Pathogène — espèce d’origine non établie</x:v>
      </x:c>
      <x:c r="C23" s="70" t="str">
        <x:v>Pathogen Blight</x:v>
      </x:c>
      <x:c r="D23" s="70" t="str">
        <x:v>Organisme muté — ascendance inconnue</x:v>
      </x:c>
      <x:c r="E23" s="70" t="str">
        <x:v>élite</x:v>
      </x:c>
      <x:c r="F23" s="70" t="str">
        <x:v>Aliens: Fireteam Elite — Pathogen</x:v>
      </x:c>
      <x:c r="G23" s="70" t="str">
        <x:v>Jeu</x:v>
      </x:c>
      <x:c r="H23" s="70" t="str">
        <x:v>Le développeur laisse l’espèce d’origine indéterminée.</x:v>
      </x:c>
      <x:c r="I23" s="70" t="str">
        <x:v>Confirmé dans l’œuvre référencée ; adaptation de gameplay distincte</x:v>
      </x:c>
      <x:c r="J23" s="70" t="str">
        <x:v>Le Blight est une créature mutée inconnue projetant un acide explosif.</x:v>
      </x:c>
      <x:c r="K23"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3" s="77" t="str">
        <x:v>https://www.aliensfireteamelite.com/en/community/pathogen-deep-dive-an-exhilarating-new-story/</x:v>
      </x:c>
      <x:c r="M23" s="70" t="str">
        <x:v>Catalogue présent (39871c45). Aucun comportement dédié établi par ce contrôle ; une fiche source ne prouve pas un acteur spécialisé.</x:v>
      </x:c>
      <x:c r="N2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3" s="70" t="str">
        <x:v>Créer profil autonome sans le forcer dans l’arbre généalogique des Xénomorphes ; réserver ses projectiles à sa faction.</x:v>
      </x:c>
      <x:c r="P23" s="70" t="str">
        <x:v>Proposition : menace cachée qui contrôle une route.</x:v>
      </x:c>
      <x:c r="Q23" s="70" t="str">
        <x:v>Proposition : 1–2 sur un front contaminé ; trajectoires destructibles et abris praticables.</x:v>
      </x:c>
      <x:c r="R23" s="70" t="str">
        <x:v>Pathogen/H et hostilité infectés/X ; Yautja en adaptation déclarée.</x:v>
      </x:c>
      <x:c r="S23" s="70" t="str">
        <x:v>X-L03 — LV-895 — ruines des Engineers et foyer Pathogen</x:v>
      </x:c>
      <x:c r="T23" s="70" t="str">
        <x:v>Ne pas présenter le Blight comme une caste Xénomorphe prouvée. La parenté avec Stalker n’est qu’une ressemblance annoncée.</x:v>
      </x:c>
      <x:c r="U23" s="70" t="str">
        <x:v>P1</x:v>
      </x:c>
    </x:row>
    <x:row r="24" ht="96" hidden="0" customHeight="1">
      <x:c r="A24" s="71" t="str">
        <x:v>XEN-018</x:v>
      </x:c>
      <x:c r="B24" s="71" t="str">
        <x:v>Xénomorphes infectés / Pathogène</x:v>
      </x:c>
      <x:c r="C24" s="71" t="str">
        <x:v>Pathogen Brute</x:v>
      </x:c>
      <x:c r="D24" s="71" t="str">
        <x:v>Xénomorphe muté non identifié</x:v>
      </x:c>
      <x:c r="E24" s="71" t="str">
        <x:v>élite</x:v>
      </x:c>
      <x:c r="F24" s="71" t="str">
        <x:v>Aliens: Fireteam Elite — Pathogen
Aliens: Fireteam Elite 2</x:v>
      </x:c>
      <x:c r="G24" s="71" t="str">
        <x:v>Jeu</x:v>
      </x:c>
      <x:c r="H24" s="71" t="str">
        <x:v>Dans AFE1 Pathogen, le développeur confirme un Xénomorphe muté ; AFE2 est ici attesté seulement par son nom. Ne pas transférer automatiquement biologie, taille ou comportement entre les incarnations.</x:v>
      </x:c>
      <x:c r="I24" s="71" t="str">
        <x:v>Confirmé dans l’œuvre référencée ; adaptation de gameplay distincte</x:v>
      </x:c>
      <x:c r="J24" s="71" t="str">
        <x:v>La Brute est un Xénomorphe muté aux bras massifs.
Aliens: Fireteam Elite 2 : nom présent dans les publications officielles.</x:v>
      </x:c>
      <x:c r="K24" s="71" t="str">
        <x:v>X-S03 — Pathogen Deep Dive: An Exhilarating New Story
Article officiel et entretien avec les créateurs
Portée : Source directe pour Runner muté, Blight, Brute, Stalker, Popper, reine et lieux. Le Blight est décrit comme une créature d’origine inconnue.
XC-S03 — Aliens: Fireteam Elite 2 — Game Patch Notes, 22 octobre 2026
Notes officielles du développeur/éditeur
Portée : Fait cité uniquement ; identité, capacités et biologie non extrapolées au-delà de cette preuve.</x:v>
      </x:c>
      <x:c r="L24" s="76" t="str">
        <x:v>https://www.aliensfireteamelite.com/en/community/pathogen-deep-dive-an-exhilarating-new-story/
https://www.daybreakgames.com/press/afe2/article/afe2-102226-patchnotes</x:v>
      </x:c>
      <x:c r="M24" s="71" t="str">
        <x:v>Catalogue présent (39871c45). Aucun comportement dédié établi par ce contrôle ; une fiche source ne prouve pas un acteur spécialisé.</x:v>
      </x:c>
      <x:c r="N2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4" s="71" t="str">
        <x:v>Créer modèle, impacts avec zones sûres et collision adaptée ; conserver la forme d’origine comme inconnue.</x:v>
      </x:c>
      <x:c r="P24" s="71" t="str">
        <x:v>Proposition : élite de mêlée des espaces contaminés.</x:v>
      </x:c>
      <x:c r="Q24" s="71" t="str">
        <x:v>Proposition : une Brute et une escorte modeste ; pas de superposition avec une reine dans la même arène exiguë.</x:v>
      </x:c>
      <x:c r="R24" s="71" t="str">
        <x:v>Pathogen/H et hostilité infectés/X ; Yautja en adaptation déclarée.</x:v>
      </x:c>
      <x:c r="S24" s="71" t="str">
        <x:v>X-L03 — LV-895 — ruines des Engineers et foyer Pathogen</x:v>
      </x:c>
      <x:c r="T24" s="71" t="str">
        <x:v>Ne pas l’appeler automatiquement Crusher infecté : cette filiation n’est pas établie par la source.</x:v>
      </x:c>
      <x:c r="U24" s="71" t="str">
        <x:v>P1</x:v>
      </x:c>
    </x:row>
    <x:row r="25" ht="184.5" hidden="0" customHeight="1">
      <x:c r="A25" s="70" t="str">
        <x:v>XEN-019</x:v>
      </x:c>
      <x:c r="B25" s="70" t="str">
        <x:v>Xénomorphes infectés / Pathogène</x:v>
      </x:c>
      <x:c r="C25" s="70" t="str">
        <x:v>Pathogen Queen</x:v>
      </x:c>
      <x:c r="D25" s="70" t="str">
        <x:v>Reine mutée / boss de campagne</x:v>
      </x:c>
      <x:c r="E25" s="70" t="str">
        <x:v>unique</x:v>
      </x:c>
      <x:c r="F25" s="70" t="str">
        <x:v>Aliens: Fireteam Elite — Pathogen</x:v>
      </x:c>
      <x:c r="G25" s="70" t="str">
        <x:v>Jeu</x:v>
      </x:c>
      <x:c r="H25" s="70" t="str">
        <x:v>Rencontre de campagne Pathogen ; ne remplace pas toutes les reines.</x:v>
      </x:c>
      <x:c r="I25" s="70" t="str">
        <x:v>Confirmé dans l’œuvre référencée ; adaptation de gameplay distincte</x:v>
      </x:c>
      <x:c r="J25" s="70" t="str">
        <x:v>La reine infectée est le boss de l’expansion Pathogen.</x:v>
      </x:c>
      <x:c r="K25" s="70" t="str">
        <x:v>X-S26 — The Aliens: Fireteam Elite Pathogen Expansion Is Available Now
Xbox Wire / Cold Iron Studios ; Article officiel avec les développeurs
Portée : Conception de la Pathogen Queen et expédition dans les cavernes de LV-895 ; mécaniques limitées à cette expansion.
Consulté le 2026-10-26
X-S04 — Aliens: Fireteam Elite reveals its first ever boss fight
Focus Entertainment ; Annonce officielle de l’éditeur
Portée : Le Pathogène affecte plusieurs organismes ; les infectés peuvent attaquer les Xénomorphes non infectés.
Consulté le 2026-10-26</x:v>
      </x:c>
      <x:c r="L25" s="77" t="str">
        <x:v>https://news.xbox.com/en-us/2022/08/30/the-aliens-fireteam-elite-pathogen-expansion-is-available-now/
https://www.focus-entmt.com/fr/news/aliens-fireteam-elite-reveals-its-first-ever-boss-fight</x:v>
      </x:c>
      <x:c r="M25" s="70" t="str">
        <x:v>Catalogue présent (39871c45). Aucun comportement dédié établi par ce contrôle ; une fiche source ne prouve pas un acteur spécialisé.</x:v>
      </x:c>
      <x:c r="N2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5" s="70" t="str">
        <x:v>Créer un boss et une arène propres, des segments d’armure, l’arrêt des renforts par objectifs et une identité de faction.</x:v>
      </x:c>
      <x:c r="P25" s="70" t="str">
        <x:v>Proposition : verrou final du secteur contaminé.</x:v>
      </x:c>
      <x:c r="Q25" s="70" t="str">
        <x:v>Proposition : un boss par opération ; renforts tirés des foyers encore intacts, sans réserve infinie.</x:v>
      </x:c>
      <x:c r="R25" s="70" t="str">
        <x:v>Pathogen/H natif ; Pathogen/X cohérent avec l’expansion ; Yautja en crossover.</x:v>
      </x:c>
      <x:c r="S25" s="70" t="str">
        <x:v>X-L03 — LV-895 — ruines des Engineers et foyer Pathogen</x:v>
      </x:c>
      <x:c r="T25" s="70" t="str">
        <x:v>Ne pas lui transférer automatiquement vol, vortex ou pouvoirs des aliases Empress/Imperial présents dans le code.</x:v>
      </x:c>
      <x:c r="U25" s="70" t="str">
        <x:v>P1</x:v>
      </x:c>
    </x:row>
    <x:row r="26" ht="117" hidden="0" customHeight="1">
      <x:c r="A26" s="71" t="str">
        <x:v>XEN-020</x:v>
      </x:c>
      <x:c r="B26" s="71" t="str">
        <x:v>Pathogène — espèce d’origine non établie</x:v>
      </x:c>
      <x:c r="C26" s="71" t="str">
        <x:v>Pathogen Popper</x:v>
      </x:c>
      <x:c r="D26" s="71" t="str">
        <x:v>Organisme du Pathogène — lignée non établie</x:v>
      </x:c>
      <x:c r="E26" s="71" t="str">
        <x:v>commun</x:v>
      </x:c>
      <x:c r="F26" s="71" t="str">
        <x:v>Aliens: Fireteam Elite — Pathogen</x:v>
      </x:c>
      <x:c r="G26" s="71" t="str">
        <x:v>Jeu</x:v>
      </x:c>
      <x:c r="H26" s="71" t="str">
        <x:v>Ennemi confirmé ; origine biologique non fixée par les sources retenues.</x:v>
      </x:c>
      <x:c r="I26" s="71" t="str">
        <x:v>Confirmé dans l’œuvre référencée ; adaptation de gameplay distincte</x:v>
      </x:c>
      <x:c r="J26" s="71" t="str">
        <x:v>Les développeurs citent les Poppers dans les groupes Pathogen.</x:v>
      </x:c>
      <x:c r="K26"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6" s="76" t="str">
        <x:v>https://www.aliensfireteamelite.com/en/community/pathogen-deep-dive-an-exhilarating-new-story/</x:v>
      </x:c>
      <x:c r="M26" s="71" t="str">
        <x:v>Catalogue présent (39871c45). Aucun comportement dédié établi par ce contrôle ; une fiche source ne prouve pas un acteur spécialisé.</x:v>
      </x:c>
      <x:c r="N2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6" s="71" t="str">
        <x:v>Créer un profil distinct après vérification de ses attaques dans le jeu ; ne pas renommer simplement microSwarm.</x:v>
      </x:c>
      <x:c r="P26" s="71" t="str">
        <x:v>Proposition : petite menace de saturation dans un corridor contaminé.</x:v>
      </x:c>
      <x:c r="Q26" s="71" t="str">
        <x:v>Proposition : petits paquets plafonnés ; compter chaque acteur actif, même de petite taille.</x:v>
      </x:c>
      <x:c r="R26" s="71" t="str">
        <x:v>Pathogen/H ; interaction avec X et Y à régler selon scénario documenté.</x:v>
      </x:c>
      <x:c r="S26" s="71" t="str">
        <x:v>X-L03 — LV-895 — ruines des Engineers et foyer Pathogen</x:v>
      </x:c>
      <x:c r="T26" s="71" t="str">
        <x:v>Ni stade larvaire de Xénomorphe ni nanodrone établis ; comportement explosif à valider avant reproduction détaillée.</x:v>
      </x:c>
      <x:c r="U26" s="71" t="str">
        <x:v>P1</x:v>
      </x:c>
    </x:row>
    <x:row r="27" ht="117" hidden="0" customHeight="1">
      <x:c r="A27" s="70" t="str">
        <x:v>XEN-021</x:v>
      </x:c>
      <x:c r="B27" s="70" t="str">
        <x:v>Pathogène — espèce d’origine non établie</x:v>
      </x:c>
      <x:c r="C27" s="70" t="str">
        <x:v>Pathogen Stalker</x:v>
      </x:c>
      <x:c r="D27" s="70" t="str">
        <x:v>Organisme du Pathogène — lignée non établie</x:v>
      </x:c>
      <x:c r="E27" s="70" t="str">
        <x:v>élite</x:v>
      </x:c>
      <x:c r="F27" s="70" t="str">
        <x:v>Aliens: Fireteam Elite — Pathogen</x:v>
      </x:c>
      <x:c r="G27" s="70" t="str">
        <x:v>Jeu</x:v>
      </x:c>
      <x:c r="H27" s="70" t="str">
        <x:v>Ennemi du jeu ; aucune équivalence prouvée avec Chameleon Stalker.</x:v>
      </x:c>
      <x:c r="I27" s="70" t="str">
        <x:v>Confirmé dans l’œuvre référencée ; adaptation de gameplay distincte</x:v>
      </x:c>
      <x:c r="J27" s="70" t="str">
        <x:v>Les développeurs citent les Stalkers dans les groupes Pathogen.</x:v>
      </x:c>
      <x:c r="K27"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L27" s="77" t="str">
        <x:v>https://www.aliensfireteamelite.com/en/community/pathogen-deep-dive-an-exhilarating-new-story/</x:v>
      </x:c>
      <x:c r="M27" s="70" t="str">
        <x:v>Catalogue présent (39871c45). Aucun comportement dédié établi par ce contrôle ; une fiche source ne prouve pas un acteur spécialisé.</x:v>
      </x:c>
      <x:c r="N2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27" s="70" t="str">
        <x:v>Créer identité, rig et capacités spécifiques ; vérifier les séquences de chasse dans l’œuvre et supprimer toute équivalence nominale.</x:v>
      </x:c>
      <x:c r="P27" s="70" t="str">
        <x:v>Proposition : chasseur qui détourne l’attention pendant une évacuation.</x:v>
      </x:c>
      <x:c r="Q27" s="70" t="str">
        <x:v>Proposition : un Stalker par zone d’embuscade ; délai de repli entre attaques.</x:v>
      </x:c>
      <x:c r="R27" s="70" t="str">
        <x:v>Pathogen/H ; confrontation Yautja en crossover déclaré.</x:v>
      </x:c>
      <x:c r="S27" s="70" t="str">
        <x:v>X-L03 — LV-895 — ruines des Engineers et foyer Pathogen</x:v>
      </x:c>
      <x:c r="T27" s="70" t="str">
        <x:v>Le mot stalker décrit plusieurs créatures ; chameleon_stalker et wallStalker du projet ne prouvent aucune implémentation de ce profil.</x:v>
      </x:c>
      <x:c r="U27" s="70" t="str">
        <x:v>P1</x:v>
      </x:c>
    </x:row>
    <x:row r="28" ht="130.5" hidden="0" customHeight="1">
      <x:c r="A28" s="71" t="str">
        <x:v>XEN-022</x:v>
      </x:c>
      <x:c r="B28" s="71" t="str">
        <x:v>Organismes de Covenant — Neomorph</x:v>
      </x:c>
      <x:c r="C28" s="71" t="str">
        <x:v>Neomorph</x:v>
      </x:c>
      <x:c r="D28" s="71" t="str">
        <x:v>Autre lignée biologique ; formes jeune et adulte</x:v>
      </x:c>
      <x:c r="E28" s="71" t="str">
        <x:v>élite</x:v>
      </x:c>
      <x:c r="F28" s="71" t="str">
        <x:v>Alien: Covenant</x:v>
      </x:c>
      <x:c r="G28" s="71" t="str">
        <x:v>Film</x:v>
      </x:c>
      <x:c r="H28" s="71" t="str">
        <x:v>Créature propre à Covenant, séparée ici du cycle œuf/Facehugger classique.</x:v>
      </x:c>
      <x:c r="I28" s="71" t="str">
        <x:v>Confirmé dans l’œuvre référencée ; adaptation de gameplay distincte</x:v>
      </x:c>
      <x:c r="J28" s="71" t="str">
        <x:v>La gamme Covenant distingue Neomorph adulte et jeune.</x:v>
      </x:c>
      <x:c r="K28" s="71" t="str">
        <x:v>X-S06 — Alien: Covenant products revealed
NECA ; Présentation officielle de produits licenciés
Portée : Confirme les appellations Xenomorph et Neomorph, les formes jeune/adulte et le Creature Pack ; pas une taxonomie universelle.
Consulté le 2026-10-26</x:v>
      </x:c>
      <x:c r="L28" s="76" t="str">
        <x:v>https://store.necaonline.com/blogs/news/massive-photo-gallery-alien-covenant-products-revealed-1</x:v>
      </x:c>
      <x:c r="M28" s="71" t="str">
        <x:v>Catalogue présent (39871c45). Type neomorph présent ; espèce séparée du xénomorphe classique à conserver.</x:v>
      </x:c>
      <x:c r="N28"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28" s="71" t="str">
        <x:v>Séparer croissance, source d’apparition et faction ; documenter le cycle précis avant de le brancher sur les œufs classiques.</x:v>
      </x:c>
      <x:c r="P28" s="71" t="str">
        <x:v>Proposition : traque mobile dans la végétation et les salles ouvertes.</x:v>
      </x:c>
      <x:c r="Q28" s="71" t="str">
        <x:v>Proposition : individus ou petit groupe scénarisé, avec origine ; retirer du tirage global commun à toutes les cartes.</x:v>
      </x:c>
      <x:c r="R28" s="71" t="str">
        <x:v>Organismes Covenant/H natif ; X/Y/H uniquement en adaptation explicite.</x:v>
      </x:c>
      <x:c r="S28" s="71" t="str">
        <x:v>X-L10 — Monde exploré par Covenant</x:v>
      </x:c>
      <x:c r="T28" s="71" t="str">
        <x:v>L’origine exacte et les appellations Bloodburster/Backburster ne sont pas établies par la fiche produit utilisée ; aucune sous-caste supplémentaire créée.</x:v>
      </x:c>
      <x:c r="U28" s="71" t="str">
        <x:v>P1</x:v>
      </x:c>
    </x:row>
    <x:row r="29" ht="130.5" hidden="0" customHeight="1">
      <x:c r="A29" s="70" t="str">
        <x:v>XEN-023</x:v>
      </x:c>
      <x:c r="B29" s="70" t="str">
        <x:v>Xénomorphes</x:v>
      </x:c>
      <x:c r="C29" s="70" t="str">
        <x:v>Xénomorphe de Covenant</x:v>
      </x:c>
      <x:c r="D29" s="70" t="str">
        <x:v>Phénotype filmique ; alias de code à clarifier</x:v>
      </x:c>
      <x:c r="E29" s="70" t="str">
        <x:v>élite</x:v>
      </x:c>
      <x:c r="F29" s="70" t="str">
        <x:v>Alien: Covenant</x:v>
      </x:c>
      <x:c r="G29" s="70" t="str">
        <x:v>Film</x:v>
      </x:c>
      <x:c r="H29" s="70" t="str">
        <x:v>NECA le nomme Xenomorph ; le label Praetomorph reste un alias du projet dans ce dossier.</x:v>
      </x:c>
      <x:c r="I29" s="70" t="str">
        <x:v>Confirmé dans l’œuvre référencée ; adaptation de gameplay distincte</x:v>
      </x:c>
      <x:c r="J29" s="70" t="str">
        <x:v>La gamme Covenant nomme séparément Xenomorph et Neomorph.</x:v>
      </x:c>
      <x:c r="K29" s="70" t="str">
        <x:v>X-S06 — Alien: Covenant products revealed
NECA ; Présentation officielle de produits licenciés
Portée : Confirme les appellations Xenomorph et Neomorph, les formes jeune/adulte et le Creature Pack ; pas une taxonomie universelle.
Consulté le 2026-10-26</x:v>
      </x:c>
      <x:c r="L29" s="77" t="str">
        <x:v>https://store.necaonline.com/blogs/news/massive-photo-gallery-alien-covenant-products-revealed-1</x:v>
      </x:c>
      <x:c r="M29" s="70" t="str">
        <x:v>Catalogue présent (39871c45). Type interne praetomorph présent ; appellation publique Xénomorphe de Covenant.</x:v>
      </x:c>
      <x:c r="N29"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
https://github.com/darknigthmare/Yautja-hive-warriors/blob/39871c450379225de8174711237632e6aa883f04/js/entities/XenomorphHorde.js#L421-L422</x:v>
      </x:c>
      <x:c r="O29" s="70" t="str">
        <x:v>Renommer le profil dans le registre de continuité, vérifier les proportions et limiter ses apparitions au contexte choisi.</x:v>
      </x:c>
      <x:c r="P29" s="70" t="str">
        <x:v>Proposition : adulte puissant d’une séquence de poursuite.</x:v>
      </x:c>
      <x:c r="Q29" s="70" t="str">
        <x:v>Proposition : individu scénarisé ou faible groupe justifié par l’opération, jamais variante universelle aléatoire.</x:v>
      </x:c>
      <x:c r="R29" s="70" t="str">
        <x:v>X/H filmique ; X/Y et X/Y/H en adaptation déclarée.</x:v>
      </x:c>
      <x:c r="S29" s="70" t="str">
        <x:v>X-L10 — Monde exploré par Covenant</x:v>
      </x:c>
      <x:c r="T29" s="70" t="str">
        <x:v>Ne pas présenter Praetomorph comme caste officielle universelle sur la seule foi des commentaires du code.
Nom public : Xénomorphe de Covenant. Praetomorph reste un alias interne non validé comme caste universelle.</x:v>
      </x:c>
      <x:c r="U29" s="70" t="str">
        <x:v>P1</x:v>
      </x:c>
    </x:row>
    <x:row r="30" ht="96" hidden="0" customHeight="1">
      <x:c r="A30" s="71" t="str">
        <x:v>XEN-024</x:v>
      </x:c>
      <x:c r="B30" s="71" t="str">
        <x:v>Organismes de Prometheus</x:v>
      </x:c>
      <x:c r="C30" s="71" t="str">
        <x:v>Deacon</x:v>
      </x:c>
      <x:c r="D30" s="71" t="str">
        <x:v>Organisme singulier / proto-Xénomorphe</x:v>
      </x:c>
      <x:c r="E30" s="71" t="str">
        <x:v>unique</x:v>
      </x:c>
      <x:c r="F30" s="71" t="str">
        <x:v>Prometheus</x:v>
      </x:c>
      <x:c r="G30" s="71" t="str">
        <x:v>Film</x:v>
      </x:c>
      <x:c r="H30" s="71" t="str">
        <x:v>Existence et design confirmés ; pas de filiation universelle établie.</x:v>
      </x:c>
      <x:c r="I30" s="71" t="str">
        <x:v>Confirmé dans l’œuvre référencée ; adaptation de gameplay distincte</x:v>
      </x:c>
      <x:c r="J30" s="71" t="str">
        <x:v>Le Deacon est présenté comme créature de Prometheus.</x:v>
      </x:c>
      <x:c r="K30" s="71" t="str">
        <x:v>X-S07 — Prometheus Series 2 — Deacon
NECA ; Présentation officielle de produits licenciés
Portée : Confirme Deacon dans Prometheus et l’appellation commerciale proto-Xenomorph ; aucun statut Titan ou ancêtre universel démontré.
Consulté le 2026-10-26</x:v>
      </x:c>
      <x:c r="L30" s="76" t="str">
        <x:v>https://store.necaonline.com/blogs/news/174242631-shipping-now-prometheus-series-2-figures-check-out-the-action-shots</x:v>
      </x:c>
      <x:c r="M30" s="71" t="str">
        <x:v>Catalogue présent (39871c45). Boss deacon_titan présent ; agrandissement et pouvoirs adaptés, pas preuve du Deacon filmique.</x:v>
      </x:c>
      <x:c r="N30"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https://github.com/darknigthmare/Yautja-hive-warriors/blob/39871c450379225de8174711237632e6aa883f04/js/entities/XenomorphHorde.js#L1615-L1708
https://github.com/darknigthmare/Yautja-hive-warriors/blob/39871c450379225de8174711237632e6aa883f04/js/entities/XenomorphHorde.js#L1613-L1707</x:v>
      </x:c>
      <x:c r="O30" s="71" t="str">
        <x:v>Reconstituer un profil fidèle au design sourcé ; retirer le suffixe Titan et ses extrapolations non justifiées du mode fidélité.</x:v>
      </x:c>
      <x:c r="P30" s="71" t="str">
        <x:v>Proposition : rencontre singulière de sortie de laboratoire.</x:v>
      </x:c>
      <x:c r="Q30" s="71" t="str">
        <x:v>Proposition : une occurrence de scénario ; aucune reproduction en vague générique.</x:v>
      </x:c>
      <x:c r="R30" s="71" t="str">
        <x:v>Organisme/H dans son contexte ; X/Y/H en crossover annoncé seulement.</x:v>
      </x:c>
      <x:c r="S30" s="71" t="str">
        <x:v>X-L11 — LV-223 — structures des Engineers</x:v>
      </x:c>
      <x:c r="T30" s="71" t="str">
        <x:v>Titan, taille de raid et pouvoirs offensifs extrapolés ne sont pas attestés ; aucune caste reproductrice Deacon déduite.
Deacon est une identité attestée ; la forme Titan quadrupède de combat n'est pas validée par cette preuve.</x:v>
      </x:c>
      <x:c r="U30" s="71" t="str">
        <x:v>P1</x:v>
      </x:c>
    </x:row>
    <x:row r="31" ht="130.5" hidden="0" customHeight="1">
      <x:c r="A31" s="70" t="str">
        <x:v>XEN-025</x:v>
      </x:c>
      <x:c r="B31" s="70" t="str">
        <x:v>Organismes de Prometheus</x:v>
      </x:c>
      <x:c r="C31" s="70" t="str">
        <x:v>Trilobite</x:v>
      </x:c>
      <x:c r="D31" s="70" t="str">
        <x:v>Organisme parasitoïde distinct</x:v>
      </x:c>
      <x:c r="E31" s="70" t="str">
        <x:v>unique</x:v>
      </x:c>
      <x:c r="F31" s="70" t="str">
        <x:v>Prometheus</x:v>
      </x:c>
      <x:c r="G31" s="70" t="str">
        <x:v>Film</x:v>
      </x:c>
      <x:c r="H31" s="70" t="str">
        <x:v>Créature du film ; Prime n’est pas un stade démontré.</x:v>
      </x:c>
      <x:c r="I31" s="70" t="str">
        <x:v>Confirmé dans l’œuvre référencée ; adaptation de gameplay distincte</x:v>
      </x:c>
      <x:c r="J31" s="70" t="str">
        <x:v>Le Trilobite affronte l’Engineer dans Prometheus.</x:v>
      </x:c>
      <x:c r="K31" s="70" t="str">
        <x:v>X-S08 — Prometheus — Engineer vs. Trilobite
NECA ; Présentation officielle de produit licencié
Portée : Confirme le Trilobite et son affrontement avec l’Engineer dans Prometheus ; pas de forme Prime documentée.
Consulté le 2026-10-26</x:v>
      </x:c>
      <x:c r="L31" s="77" t="str">
        <x:v>https://necaonline.com/2012/11/our-toys-r-us-exclusive-action-figures-now-have-shipping-dates/</x:v>
      </x:c>
      <x:c r="M31" s="70" t="str">
        <x:v>Catalogue présent (39871c45). Boss trilobite_prime présent ; rencontre agrandie du projet.</x:v>
      </x:c>
      <x:c r="N31" s="70" t="str">
        <x:v>Catalogue importé : https://github.com/darknigthmare/Yautja-hive-warriors/blob/39871c450379225de8174711237632e6aa883f04/js/data/BattleCatalog.js#L41-L51
Preuve ciblée : https://github.com/darknigthmare/Yautja-hive-warriors/blob/39871c450379225de8174711237632e6aa883f04/js/data/BossRegistry.js#L20-L21</x:v>
      </x:c>
      <x:c r="O31" s="70" t="str">
        <x:v>Conserver la créature identifiable, retirer le statut Prime non sourcé et valider les attaques avant intégration fidèle.</x:v>
      </x:c>
      <x:c r="P31" s="70" t="str">
        <x:v>Proposition : danger de saisie dans un espace clos avec secours possible.</x:v>
      </x:c>
      <x:c r="Q31" s="70" t="str">
        <x:v>Proposition : une créature scénarisée, sans groupe de soldats Trilobite.</x:v>
      </x:c>
      <x:c r="R31" s="70" t="str">
        <x:v>Trilobite/Engineer attesté ; H, X ou Y comme adversaires de jeu uniquement en adaptation explicite.</x:v>
      </x:c>
      <x:c r="S31" s="70" t="str">
        <x:v>X-L11 — LV-223 — structures des Engineers</x:v>
      </x:c>
      <x:c r="T31" s="70" t="str">
        <x:v>Ne pas le classer comme reine Xénomorphe ; le spray mutagène et le nombre exact de tentacules du code restent à justifier.</x:v>
      </x:c>
      <x:c r="U31" s="70" t="str">
        <x:v>P1</x:v>
      </x:c>
    </x:row>
    <x:row r="32" ht="76.5" hidden="0" customHeight="1">
      <x:c r="A32" s="71" t="str">
        <x:v>XEN-026</x:v>
      </x:c>
      <x:c r="B32" s="71" t="str">
        <x:v>Hybrides singuliers</x:v>
      </x:c>
      <x:c r="C32" s="71" t="str">
        <x:v>Newborn</x:v>
      </x:c>
      <x:c r="D32" s="71" t="str">
        <x:v>Hybride humain/Alien ; individu unique</x:v>
      </x:c>
      <x:c r="E32" s="71" t="str">
        <x:v>unique</x:v>
      </x:c>
      <x:c r="F32" s="71" t="str">
        <x:v>Alien Resurrection</x:v>
      </x:c>
      <x:c r="G32" s="71" t="str">
        <x:v>Film</x:v>
      </x:c>
      <x:c r="H32" s="71" t="str">
        <x:v>Individu issu du contexte spécifique de Resurrection.</x:v>
      </x:c>
      <x:c r="I32" s="71" t="str">
        <x:v>Confirmé dans l’œuvre référencée ; adaptation de gameplay distincte</x:v>
      </x:c>
      <x:c r="J32" s="71" t="str">
        <x:v>Newborn est un hybride humain/Alien lié à l’ADN de Ripley.</x:v>
      </x:c>
      <x:c r="K32" s="71" t="str">
        <x:v>X-S09 — Alien Resurrection — Deluxe Newborn
NECA ; Présentation officielle de produit licencié
Portée : Le descriptif relie explicitement Newborn au mélange humain/Alien et à l’ADN de Ripley dans Alien Resurrection.
Consulté le 2026-10-26</x:v>
      </x:c>
      <x:c r="L32" s="76" t="str">
        <x:v>https://necaonline.com/2019/02/alien-resurrection-7-scale-action-figure-deluxe-newborn/</x:v>
      </x:c>
      <x:c r="M32" s="71" t="str">
        <x:v>Catalogue présent (39871c45). Aucun comportement dédié établi par ce contrôle ; une fiche source ne prouve pas un acteur spécialisé.</x:v>
      </x:c>
      <x:c r="N3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32" s="71" t="str">
        <x:v>Créer un modèle et une rencontre propres ; documenter le lieu et la mise en scène avant création de carte dédiée.</x:v>
      </x:c>
      <x:c r="P32" s="71" t="str">
        <x:v>Proposition : rencontre narrative avec interactions et possibilités d’évitement.</x:v>
      </x:c>
      <x:c r="Q32" s="71" t="str">
        <x:v>Proposition : un seul individu de scénario ; aucune production par reine standard.</x:v>
      </x:c>
      <x:c r="R32" s="71" t="str">
        <x:v>Hybride/H et interactions Alien de l’œuvre ; présence Yautja proposée uniquement en crossover.</x:v>
      </x:c>
      <x:c r="S32" s="71" t="str"/>
      <x:c r="T32" s="71" t="str">
        <x:v>Newborn et Offspring sont deux créatures différentes. Aucun lieu existant n’est automatiquement homologué pour ce personnage.</x:v>
      </x:c>
      <x:c r="U32" s="71" t="str">
        <x:v>P2</x:v>
      </x:c>
    </x:row>
    <x:row r="33" ht="171" hidden="0" customHeight="1">
      <x:c r="A33" s="70" t="str">
        <x:v>XEN-027</x:v>
      </x:c>
      <x:c r="B33" s="70" t="str">
        <x:v>Hybrides et créatures singulières</x:v>
      </x:c>
      <x:c r="C33" s="70" t="str">
        <x:v>Offspring</x:v>
      </x:c>
      <x:c r="D33" s="70" t="str">
        <x:v>Créature singulière ; généalogie détaillée à documenter</x:v>
      </x:c>
      <x:c r="E33" s="70" t="str">
        <x:v>unique</x:v>
      </x:c>
      <x:c r="F33" s="70" t="str">
        <x:v>Alien: Romulus</x:v>
      </x:c>
      <x:c r="G33" s="70" t="str">
        <x:v>Film</x:v>
      </x:c>
      <x:c r="H33" s="70" t="str">
        <x:v>Design attesté directement par les créateurs des effets ; pas de caste reproductrice générale.</x:v>
      </x:c>
      <x:c r="I33" s="70" t="str">
        <x:v>Confirmé dans l’œuvre référencée ; adaptation de gameplay distincte</x:v>
      </x:c>
      <x:c r="J33" s="70" t="str">
        <x:v>Legacy Effects a créé le design et le maquillage de l’Offspring.</x:v>
      </x:c>
      <x:c r="K33" s="70" t="str">
        <x:v>X-S14 — Alien: Romulus — creature production
Legacy Effects ; Source primaire des créateurs des effets physiques
Portée : Studio ayant réalisé costumes, animatroniques et design/makeup Offspring ; confirme la créature et sa fabrication, sans établir sa généalogie complète.
Consulté le 2026-10-26</x:v>
      </x:c>
      <x:c r="L33" s="77" t="str">
        <x:v>https://www.legacyefx.com/alien-romulus</x:v>
      </x:c>
      <x:c r="M33" s="70" t="str">
        <x:v>Catalogue présent (39871c45). Boss the_offspring présent ; dimensions et valeurs du jeu restent des choix de conception.</x:v>
      </x:c>
      <x:c r="N33" s="70" t="str">
        <x:v>Catalogue importé : https://github.com/darknigthmare/Yautja-hive-warriors/blob/39871c450379225de8174711237632e6aa883f04/js/data/BattleCatalog.js#L41-L51
Preuve ciblée : https://github.com/darknigthmare/Yautja-hive-warriors/blob/39871c450379225de8174711237632e6aa883f04/js/data/BossRegistry.js#L14-L15</x:v>
      </x:c>
      <x:c r="O33" s="70" t="str">
        <x:v>Créer silhouette/rig spécifiques, documenter ses interactions filmées et retirer les pouvoirs attribués sans preuve.</x:v>
      </x:c>
      <x:c r="P33" s="70" t="str">
        <x:v>Proposition : rencontre d’évacuation, distance et protection d’un passage.</x:v>
      </x:c>
      <x:c r="Q33" s="70" t="str">
        <x:v>Proposition : un seul individu ; pas de renforts de copies Offspring.</x:v>
      </x:c>
      <x:c r="R33" s="70" t="str">
        <x:v>Créature/H dans Romulus ; combat Yautja proposé en crossover.</x:v>
      </x:c>
      <x:c r="S33" s="70" t="str">
        <x:v>X-L06 — Station abandonnée de Romulus — évacuation et laboratoires</x:v>
      </x:c>
      <x:c r="T33" s="70" t="str">
        <x:v>La preuve production ne justifie ni absorption d’énergie plasma ni cri surnaturel. Ne pas fusionner avec Newborn.</x:v>
      </x:c>
      <x:c r="U33" s="70" t="str">
        <x:v>P1</x:v>
      </x:c>
    </x:row>
    <x:row r="34" ht="103.5" hidden="0" customHeight="1">
      <x:c r="A34" s="71" t="str">
        <x:v>XEN-028</x:v>
      </x:c>
      <x:c r="B34" s="71" t="str">
        <x:v>Xénomorphes</x:v>
      </x:c>
      <x:c r="C34" s="71" t="str">
        <x:v>Grid</x:v>
      </x:c>
      <x:c r="D34" s="71" t="str">
        <x:v>Individu nommé</x:v>
      </x:c>
      <x:c r="E34" s="71" t="str">
        <x:v>unique</x:v>
      </x:c>
      <x:c r="F34" s="71" t="str">
        <x:v>Alien vs. Predator</x:v>
      </x:c>
      <x:c r="G34" s="71" t="str">
        <x:v>Film</x:v>
      </x:c>
      <x:c r="H34" s="71" t="str">
        <x:v>Individu d’AVP 2004, pas une caste répétable.</x:v>
      </x:c>
      <x:c r="I34" s="71" t="str">
        <x:v>Confirmé dans l’œuvre référencée ; adaptation de gameplay distincte</x:v>
      </x:c>
      <x:c r="J34" s="71" t="str">
        <x:v>Grid Alien figure parmi les personnages AVP représentés officiellement.</x:v>
      </x:c>
      <x:c r="K34" s="71" t="str">
        <x:v>X-S11 — Aliens Series 7 — AVP Warrior Alien et Grid Alien
NECA ; Présentation officielle de produits licenciés
Portée : Confirme Grid Alien comme représentation nommée du film AVP ; ne documente aucune immunité au netgun.
Consulté le 2026-10-26</x:v>
      </x:c>
      <x:c r="L34" s="76" t="str">
        <x:v>https://necaonline.com/2016/02/shipping-this-week-god-of-war-iii-ultimate-kratos-deluxe-bat-gremlin-aliens-series-7-action-figures/</x:v>
      </x:c>
      <x:c r="M34" s="71" t="str">
        <x:v>Catalogue présent (39871c45). Type grid_alien présent ; individu unique à conserver hors réserves génériques.</x:v>
      </x:c>
      <x:c r="N34"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34" s="71" t="str">
        <x:v>Créer une instance persistante avec état de rencontre ; retirer la duplication par vague et l’immunité automatique non documentée.</x:v>
      </x:c>
      <x:c r="P34" s="71" t="str">
        <x:v>Proposition : duel de mini-boss qui ouvre un chemin de fuite.</x:v>
      </x:c>
      <x:c r="Q34" s="71" t="str">
        <x:v>Proposition : un Grid par scénario AVP ; son élimination persiste sur les fronts.</x:v>
      </x:c>
      <x:c r="R34" s="71" t="str">
        <x:v>X/Y/H natif dans AVP.</x:v>
      </x:c>
      <x:c r="S34" s="71" t="str">
        <x:v>X-L09 — Pyramide antarctique</x:v>
      </x:c>
      <x:c r="T34" s="71" t="str">
        <x:v>L’apparence marquée ne prouve pas une immunité aux filets ; aucun clone Grid dans le roster courant.</x:v>
      </x:c>
      <x:c r="U34" s="71" t="str">
        <x:v>P1</x:v>
      </x:c>
    </x:row>
    <x:row r="35" ht="103.5" hidden="0" customHeight="1">
      <x:c r="A35" s="70" t="str">
        <x:v>XEN-029</x:v>
      </x:c>
      <x:c r="B35" s="70" t="str">
        <x:v>Xénomorphes</x:v>
      </x:c>
      <x:c r="C35" s="70" t="str">
        <x:v>Alpha de Marvel</x:v>
      </x:c>
      <x:c r="D35" s="70" t="str">
        <x:v>Individu nommé</x:v>
      </x:c>
      <x:c r="E35" s="70" t="str">
        <x:v>unique</x:v>
      </x:c>
      <x:c r="F35" s="70" t="str">
        <x:v>Alien (2021) #5</x:v>
      </x:c>
      <x:c r="G35" s="70" t="str">
        <x:v>Comic</x:v>
      </x:c>
      <x:c r="H35" s="70" t="str">
        <x:v>Continuité de la série Marvel concernée ; aucun statut de chef universel de ruche déduit.</x:v>
      </x:c>
      <x:c r="I35" s="70" t="str">
        <x:v>Confirmé dans l’œuvre référencée ; adaptation de gameplay distincte</x:v>
      </x:c>
      <x:c r="J35" s="70" t="str">
        <x:v>L’éditeur présente l’Alpha comme la créature menaçant Cruz.</x:v>
      </x:c>
      <x:c r="K35" s="70" t="str">
        <x:v>X-S15 — Alien (2021) #5
Marvel ; Notice officielle de l’éditeur du comic
Portée : Extrait indexé officiel nommant l’Alpha et son rapport à Cruz ; ouverture directe refusée par le site. Aucun pouvoir chiffré extrapolé.
Consulté le 2026-10-26</x:v>
      </x:c>
      <x:c r="L35" s="77" t="str">
        <x:v>https://www.marvel.com/comics/issue/89576/alien_2021_5</x:v>
      </x:c>
      <x:c r="M35" s="70" t="str">
        <x:v>Catalogue présent (39871c45). Routine marvel_alpha présente ; détails de morphologie et de blindage non certifiés par le nom.</x:v>
      </x:c>
      <x:c r="N35"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https://github.com/darknigthmare/Yautja-hive-warriors/blob/39871c450379225de8174711237632e6aa883f04/js/entities/XenomorphHorde.js#L1147-L1224</x:v>
      </x:c>
      <x:c r="O35" s="70" t="str">
        <x:v>Documenter les capacités dans les numéros concernés ; convertir en rencontre unique et supprimer les bonus de commandement présentés comme canoniques sans preuve.</x:v>
      </x:c>
      <x:c r="P35" s="70" t="str">
        <x:v>Proposition : menace persistante d’un scénario inspiré du comic.</x:v>
      </x:c>
      <x:c r="Q35" s="70" t="str">
        <x:v>Proposition : une instance nommée ; les gardes éventuels appartiennent au budget de l’opération.</x:v>
      </x:c>
      <x:c r="R35" s="70" t="str">
        <x:v>X/H dans la série ; X/Y et X/Y/H en adaptation déclarée.</x:v>
      </x:c>
      <x:c r="S35" s="70" t="str"/>
      <x:c r="T35" s="70" t="str">
        <x:v>La notice ne valide ni réduction des dégâts de 50 %, ni ordre de meute, ni caste Alpha reproductible.
Alpha de Marvel : individu nommé. Morphologie détaillée, taille et valeurs de combat restent à vérifier ou à déclarer adaptées.</x:v>
      </x:c>
      <x:c r="U35" s="70" t="str">
        <x:v>P2</x:v>
      </x:c>
    </x:row>
    <x:row r="36" ht="184.5" hidden="0" customHeight="1">
      <x:c r="A36" s="71" t="str">
        <x:v>XEN-030</x:v>
      </x:c>
      <x:c r="B36" s="71" t="str">
        <x:v>Xénomorphes</x:v>
      </x:c>
      <x:c r="C36" s="71" t="str">
        <x:v>Rogue — création de Kleist</x:v>
      </x:c>
      <x:c r="D36" s="71" t="str">
        <x:v>Individu expérimental</x:v>
      </x:c>
      <x:c r="E36" s="71" t="str">
        <x:v>unique</x:v>
      </x:c>
      <x:c r="F36" s="71" t="str">
        <x:v>Aliens: Rogue ; roman Rogue</x:v>
      </x:c>
      <x:c r="G36" s="71" t="str">
        <x:v>Comic ; roman adapté</x:v>
      </x:c>
      <x:c r="H36" s="71" t="str">
        <x:v>Comic et adaptation romanesque conservés comme sources distinctes ; détails non automatiquement interchangeables.</x:v>
      </x:c>
      <x:c r="I36" s="71" t="str">
        <x:v>Confirmé dans l’œuvre référencée ; adaptation de gameplay distincte</x:v>
      </x:c>
      <x:c r="J36" s="71" t="str">
        <x:v>Les éditeurs rattachent Rogue aux expériences de Kleist.</x:v>
      </x:c>
      <x:c r="K36" s="71" t="str">
        <x:v>X-S16 — Aliens Epic Collection: The Original Years Vol. 3
Marvel ; Notice officielle d’une réédition de comics Dark Horse
Portée : Confirme la réédition Rogue #1–4 et les expériences de Kleist. Les détails du roman sont référencés séparément.
Consulté le 2026-10-26
X-S17 — The Complete Aliens Omnibus Volume Three: Rogue / Labyrinth
Titan Books / Penguin Random House ; Notice officielle d’éditeur-distributeur de romans
Portée : Roman Rogue : Charon, Kleist, hive souterraine et créature appelée Rogue. L’adaptation romanesque ne prouve pas chaque détail du comic.
Consulté le 2026-10-26</x:v>
      </x:c>
      <x:c r="L36" s="76" t="str">
        <x:v>https://www.marvel.com/comics/collection/127157/aliens_epic_collection_the_original_years_vol_3_trade_paperback
https://www.penguinrandomhouse.com/books/539667/the-complete-aliens-omnibus-volume-three-rogue-labyrinth-by-sandy-schofield/</x:v>
      </x:c>
      <x:c r="M36" s="71" t="str">
        <x:v>Catalogue présent (39871c45). Routine rogue_king et boss rogue_king_prime présents ; mélange comic/jouet à corriger.</x:v>
      </x:c>
      <x:c r="N36" s="71" t="str">
        <x:v>Catalogue importé : https://github.com/darknigthmare/Yautja-hive-warriors/blob/39871c450379225de8174711237632e6aa883f04/js/data/BattleCatalog.js#L41-L51
Preuve ciblée : https://github.com/darknigthmare/Yautja-hive-warriors/blob/39871c450379225de8174711237632e6aa883f04/js/entities/XenomorphHorde.js#L1226-L1304</x:v>
      </x:c>
      <x:c r="O36" s="71" t="str">
        <x:v>Unifier l’identité narrative sans dupliquer horde et boss ; vérifier le design et les capacités dans le support retenu.</x:v>
      </x:c>
      <x:c r="P36" s="71" t="str">
        <x:v>Proposition : expérience centrale dont la libération bouleverse les factions.</x:v>
      </x:c>
      <x:c r="Q36" s="71" t="str">
        <x:v>Proposition : un individu suivi par identifiant ; alliés, gardes et autres Xénomorphes peuvent changer de cible selon scénario.</x:v>
      </x:c>
      <x:c r="R36" s="71" t="str">
        <x:v>X/H et confrontation d’organismes du récit ; ajout Yautja explicitement adapté.</x:v>
      </x:c>
      <x:c r="S36" s="71" t="str">
        <x:v>X-L07 — Charon — complexe expérimental et ruche souterraine</x:v>
      </x:c>
      <x:c r="T36" s="71" t="str">
        <x:v>King Prime/Titan, domination générale et ondes sismiques ne sont pas établis par les notices officielles. Ne pas généraliser une nouvelle caste royale.
Rogue de Kleist : individu expérimental du récit retenu. Les noms Titan/Prime et les traits Kenner sont séparés.</x:v>
      </x:c>
      <x:c r="U36" s="71" t="str">
        <x:v>P1</x:v>
      </x:c>
    </x:row>
    <x:row r="37" ht="103.5" hidden="0" customHeight="1">
      <x:c r="A37" s="70" t="str">
        <x:v>XEN-031</x:v>
      </x:c>
      <x:c r="B37" s="70" t="str">
        <x:v>Xénomorphes</x:v>
      </x:c>
      <x:c r="C37" s="70" t="str">
        <x:v>Warriors rouges de Genocide</x:v>
      </x:c>
      <x:c r="D37" s="70" t="str">
        <x:v>Population / phénotype d’une continuité de comic</x:v>
      </x:c>
      <x:c r="E37" s="70" t="str">
        <x:v>commun</x:v>
      </x:c>
      <x:c r="F37" s="70" t="str">
        <x:v>Aliens: Genocide</x:v>
      </x:c>
      <x:c r="G37" s="70" t="str">
        <x:v>Comic</x:v>
      </x:c>
      <x:c r="H37" s="70" t="str">
        <x:v>Population du récit Genocide ; la couleur seule ne définit pas toutes les allégeances.</x:v>
      </x:c>
      <x:c r="I37" s="70" t="str">
        <x:v>Confirmé dans l’œuvre référencée ; adaptation de gameplay distincte</x:v>
      </x:c>
      <x:c r="J37" s="70" t="str">
        <x:v>Genocide est représenté par des Warriors noirs et rouges.</x:v>
      </x:c>
      <x:c r="K37" s="70" t="str">
        <x:v>X-S12 — Aliens Series 5 — Genocide Black and Red Xenomorph Warriors
NECA ; Présentation officielle de produits licenciés
Portée : Confirme les Warriors rouges/noirs de la bande dessinée Genocide ; couleur et population ne deviennent pas une caste universelle.
Consulté le 2026-10-26</x:v>
      </x:c>
      <x:c r="L37" s="77" t="str">
        <x:v>https://store.necaonline.com/blogs/behind-the-scenes/closer-look-aliens-series-5-action-figures</x:v>
      </x:c>
      <x:c r="M37" s="70" t="str">
        <x:v>Catalogue présent (39871c45). Type red_warrior présent ; appartenance à Genocide et comportement restent à comparer.</x:v>
      </x:c>
      <x:c r="N37" s="70" t="str">
        <x:v>Catalogue importé : https://github.com/darknigthmare/Yautja-hive-warriors/blob/39871c450379225de8174711237632e6aa883f04/js/data/BattleCatalog.js#L41-L51
Preuve ciblée : https://github.com/darknigthmare/Yautja-hive-warriors/blob/39871c450379225de8174711237632e6aa883f04/js/entities/XenomorphHorde.js#L2273-L2288</x:v>
      </x:c>
      <x:c r="O37" s="70" t="str">
        <x:v>Remplacer la décision d’hostilité par couleur par des identifiants de ruches ; documenter le conflit et verrouiller cette population à son scénario.</x:v>
      </x:c>
      <x:c r="P37" s="70" t="str">
        <x:v>Proposition : front de rivalité entre ruches que le joueur peut exploiter.</x:v>
      </x:c>
      <x:c r="Q37" s="70" t="str">
        <x:v>Proposition : cellule cohérente d’une ruche avec commandement et réserve ; pas de mélange hostile automatique au milieu d’une même vague.</x:v>
      </x:c>
      <x:c r="R37" s="70" t="str">
        <x:v>X/X et H selon scénario Genocide ; Y et trois camps en crossover déclaré.</x:v>
      </x:c>
      <x:c r="S37" s="70" t="str"/>
      <x:c r="T37" s="70" t="str">
        <x:v>La fiche produit confirme les représentations ; elle ne suffit pas à définir tous les liens sociaux ni pouvoirs de cette population.</x:v>
      </x:c>
      <x:c r="U37" s="70" t="str">
        <x:v>P2</x:v>
      </x:c>
    </x:row>
    <x:row r="38" ht="96" hidden="0" customHeight="1">
      <x:c r="A38" s="71" t="str">
        <x:v>XEN-032</x:v>
      </x:c>
      <x:c r="B38" s="71" t="str">
        <x:v>Xénomorphes</x:v>
      </x:c>
      <x:c r="C38" s="71" t="str">
        <x:v>Red Queen Mother de Genocide</x:v>
      </x:c>
      <x:c r="D38" s="71" t="str">
        <x:v>Individu royal nommé / forme de comic</x:v>
      </x:c>
      <x:c r="E38" s="71" t="str">
        <x:v>unique</x:v>
      </x:c>
      <x:c r="F38" s="71" t="str">
        <x:v>Aliens: Genocide</x:v>
      </x:c>
      <x:c r="G38" s="71" t="str">
        <x:v>Comic</x:v>
      </x:c>
      <x:c r="H38" s="71" t="str">
        <x:v>Identité confirmée dans la gamme officielle tirée du comic, sans assimilation automatique à Empress.</x:v>
      </x:c>
      <x:c r="I38" s="71" t="str">
        <x:v>Confirmé : nom et représentation liés au comic ; pouvoirs précis à vérifier</x:v>
      </x:c>
      <x:c r="J38" s="71" t="str">
        <x:v>La Red Queen Mother est représentée d’après Genocide.</x:v>
      </x:c>
      <x:c r="K38" s="71" t="str">
        <x:v>X-S13 — Aliens: Genocide — Red Queen Mother
NECA ; Présentation officielle de produit licencié
Portée : Appellation et design associés à Genocide de Dark Horse ; ne prouve ni vol ni identité avec les aliases Empress/Imperial du code.
Consulté le 2026-10-26</x:v>
      </x:c>
      <x:c r="L38" s="76" t="str">
        <x:v>https://store.necaonline.com/blogs/behind-the-scenes/172394311-closer-look-aliens-genocide-red-queen-mother-ultra-deluxe-action-figure</x:v>
      </x:c>
      <x:c r="M38" s="71" t="str">
        <x:v>Catalogue présent (39871c45). Aucun comportement dédié établi par ce contrôle ; une fiche source ne prouve pas un acteur spécialisé.</x:v>
      </x:c>
      <x:c r="N3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
https://github.com/darknigthmare/Yautja-hive-warriors/blob/39871c450379225de8174711237632e6aa883f04/js/entities/Bosses.js#L1-L62</x:v>
      </x:c>
      <x:c r="O38" s="71" t="str">
        <x:v>Déterminer si le projet veut ce personnage précis ; créer son profil seulement après contrôle de l’œuvre complète, de l’allégeance et du design.</x:v>
      </x:c>
      <x:c r="P38" s="71" t="str">
        <x:v>Proposition : centre stratégique d’une ruche dans une opération dédiée.</x:v>
      </x:c>
      <x:c r="Q38" s="71" t="str">
        <x:v>Proposition : une dirigeante de scénario, avec gardes issus de la même population.</x:v>
      </x:c>
      <x:c r="R38" s="71" t="str">
        <x:v>Récit Genocide ; H/Y/trois camps seulement par adaptation explicitement définie.</x:v>
      </x:c>
      <x:c r="S38" s="71" t="str"/>
      <x:c r="T38" s="71" t="str">
        <x:v>Le nom ne prouve pas une forme volante, un vortex, ni une identité avec les aliases Empress ou Imperial du code.
Empress d'AVP2, Queen Mother d'Earth War et Red Queen Mother de Genocide sont des profils d'œuvre distincts.</x:v>
      </x:c>
      <x:c r="U38" s="71" t="str">
        <x:v>P2</x:v>
      </x:c>
    </x:row>
    <x:row r="39" ht="76.5" hidden="0" customHeight="1">
      <x:c r="A39" s="70" t="str">
        <x:v>XEN-033</x:v>
      </x:c>
      <x:c r="B39" s="70" t="str">
        <x:v>Autres espèces extraterrestres</x:v>
      </x:c>
      <x:c r="C39" s="70" t="str">
        <x:v>Eye Midge / The Eye</x:v>
      </x:c>
      <x:c r="D39" s="70" t="str">
        <x:v>Autre espèce — parasite oculaire</x:v>
      </x:c>
      <x:c r="E39" s="70" t="str">
        <x:v>unique</x:v>
      </x:c>
      <x:c r="F39" s="70" t="str">
        <x:v>Alien: Earth</x:v>
      </x:c>
      <x:c r="G39" s="70" t="str">
        <x:v>Série</x:v>
      </x:c>
      <x:c r="H39" s="70" t="str">
        <x:v>Organisme de la série, distinct des Xénomorphes.</x:v>
      </x:c>
      <x:c r="I39" s="70" t="str">
        <x:v>Confirmé par entretien officiel du créateur ; adaptation de gameplay distincte</x:v>
      </x:c>
      <x:c r="J39" s="70" t="str">
        <x:v>Noah Hawley décrit Eye Midge comme un parasite oculaire intelligent.</x:v>
      </x:c>
      <x:c r="K39" s="70" t="str">
        <x:v>X-S18 — Alien: Earth — Official Podcast, Episode 5
FX ; Entretien officiel avec Noah Hawley
Portée : Nomme Eye Midge et Maginot ; le créateur décrit le parasite oculaire. Ne l’identifie pas comme Xénomorphe.
Consulté le 2026-10-26</x:v>
      </x:c>
      <x:c r="L39" s="77" t="str">
        <x:v>https://www.fxnetworks.com/shows/alien-earth/podcast/episode-5</x:v>
      </x:c>
      <x:c r="M39" s="70" t="str">
        <x:v>Catalogue présent (39871c45). Aucun comportement dédié établi par ce contrôle ; une fiche source ne prouve pas un acteur spécialisé.</x:v>
      </x:c>
      <x:c r="N3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39" s="70" t="str">
        <x:v>Créer un système d’hôte contrôlé, détection et extraction ; ne pas réutiliser une vague Xénomorphe ni multiplier le parasite sans scénario.</x:v>
      </x:c>
      <x:c r="P39" s="70" t="str">
        <x:v>Proposition : infiltration et menace intérieure à un groupe humain.</x:v>
      </x:c>
      <x:c r="Q39" s="70" t="str">
        <x:v>Proposition : un parasite actif lié à un hôte identifié ; conserver l’état de possession entre secteurs.</x:v>
      </x:c>
      <x:c r="R39" s="70" t="str">
        <x:v>Autre/H dans la série ; interactions avec X ou Y proposées en crossover seulement.</x:v>
      </x:c>
      <x:c r="S39" s="70" t="str">
        <x:v>X-L08 — USCSS Maginot — confinement des spécimens</x:v>
      </x:c>
      <x:c r="T39" s="70" t="str">
        <x:v>Ne pas le ranger dans une caste Xénomorphe ; aucun nom latin non vérifié ajouté. Transfert entre espèces et pouvoirs doivent rester bornés aux scènes documentées.</x:v>
      </x:c>
      <x:c r="U39" s="70" t="str">
        <x:v>P2</x:v>
      </x:c>
    </x:row>
    <x:row r="40" ht="76.5" hidden="0" customHeight="1">
      <x:c r="A40" s="71" t="str">
        <x:v>XEN-034</x:v>
      </x:c>
      <x:c r="B40" s="71" t="str">
        <x:v>Xénomorphes</x:v>
      </x:c>
      <x:c r="C40" s="71" t="str">
        <x:v>Xénomorphe de Sevastopol</x:v>
      </x:c>
      <x:c r="D40" s="71" t="str">
        <x:v>Profil adulte local attesté ; caste détaillée non affirmée</x:v>
      </x:c>
      <x:c r="E40" s="71" t="str">
        <x:v>Adulte local ; effectifs de guerre uniquement en variante originale</x:v>
      </x:c>
      <x:c r="F40" s="71" t="str">
        <x:v>Alien: Isolation — The Trigger</x:v>
      </x:c>
      <x:c r="G40" s="71" t="str">
        <x:v>Jeu</x:v>
      </x:c>
      <x:c r="H40" s="71" t="str">
        <x:v>Alien / Isolation</x:v>
      </x:c>
      <x:c r="I40" s="71" t="str">
        <x:v>Présence attestée dans l’œuvre ; comportement fin à documenter</x:v>
      </x:c>
      <x:c r="J40" s="71" t="str">
        <x:v>Le contenu présente un Alien à Sevastopol.</x:v>
      </x:c>
      <x:c r="K40" s="71" t="str">
        <x:v>H-S06 — Alien: Isolation — The Trigger
SEGA / page éditeur Epic Games Store ; Source primaire officielle
Portée : Sevastopol et Working Joes dans le texte commercial du contenu officiel ; ne prouve pas toutes leurs règles d’IA.
Consulté le 2026-10-26</x:v>
      </x:c>
      <x:c r="L40" s="76" t="str">
        <x:v>https://store.epicgames.com/p/alien-isolation--the-trigger?lang=en-US</x:v>
      </x:c>
      <x:c r="M40" s="71" t="str">
        <x:v>Catalogue présent (39871c45). Aucun comportement dédié établi par ce contrôle ; une fiche source ne prouve pas un acteur spécialisé.</x:v>
      </x:c>
      <x:c r="N4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40" s="71" t="str">
        <x:v>Séparer identité visuelle, vitesse, attaques et navigation par œuvre ; documenter les scènes avant de revendiquer une reconstitution.</x:v>
      </x:c>
      <x:c r="P40" s="71" t="str">
        <x:v>Proposition : Traque persistante, voies techniques et pressions rares ; ne pas reprendre les statistiques du Drone Fireteam.</x:v>
      </x:c>
      <x:c r="Q40" s="71" t="str">
        <x:v>Petits ou grands groupes selon le théâtre et le mode ; ne pas déduire une population canonique du budget de conception.</x:v>
      </x:c>
      <x:c r="R40" s="71" t="str">
        <x:v>X-H ; ajout Y-X ou X-Y-H seulement en scénario original annoncé</x:v>
      </x:c>
      <x:c r="S40" s="71" t="str">
        <x:v>H-L01 — Sevastopol
X-L05 — Sevastopol</x:v>
      </x:c>
      <x:c r="T40" s="71" t="str">
        <x:v>La présence d’un Xénomorphe ne prouve pas Carrier, Ravager, Praetorian ou Queen dans ce lieu. Pas de taxon distinct inventé ; cet identifiant sert à sélectionner la bonne incarnation.</x:v>
      </x:c>
      <x:c r="U40" s="71" t="str">
        <x:v>P1</x:v>
      </x:c>
    </x:row>
    <x:row r="41" ht="238.5" hidden="0" customHeight="1">
      <x:c r="A41" s="70" t="str">
        <x:v>XEN-035</x:v>
      </x:c>
      <x:c r="B41" s="70" t="str">
        <x:v>Xénomorphes</x:v>
      </x:c>
      <x:c r="C41" s="70" t="str">
        <x:v>Xénomorphes des récits Marvel retenus</x:v>
      </x:c>
      <x:c r="D41" s="70" t="str">
        <x:v>Profil adulte local attesté ; caste détaillée non affirmée</x:v>
      </x:c>
      <x:c r="E41" s="70" t="str">
        <x:v>Adulte local ; effectifs de guerre uniquement en variante originale</x:v>
      </x:c>
      <x:c r="F41" s="70" t="str">
        <x:v>Alien (2021) #3, #10 ; Alien (2022) #3</x:v>
      </x:c>
      <x:c r="G41" s="70" t="str">
        <x:v>Comics</x:v>
      </x:c>
      <x:c r="H41" s="70" t="str">
        <x:v>Profils séparés par arc Marvel ; nomenclature de caste non certifiée</x:v>
      </x:c>
      <x:c r="I41" s="70" t="str">
        <x:v>Présence attestée dans l’œuvre ; comportement fin à documenter</x:v>
      </x:c>
      <x:c r="J41" s="70" t="str">
        <x:v>Ces récits montrent une menace xénomorphe.</x:v>
      </x:c>
      <x:c r="K41" s="70" t="str">
        <x:v>H-S11 — Alien (2022) #3
Marvel ; Source primaire officielle
Portée : Steel Team, survivants de Tobler-9 et coopération conditionnelle ; pas un effectif de bataille certifié.
Consulté le 2026-10-26
H-S13 — Alien (2021) #3
Marvel ; Source primaire officielle
Portée : Cruz, soldats et station Epsilon ; ne certifie pas son plan intégral.
Consulté le 2026-10-26
R-S02 — Alien (2021) #10
Marvel ; Source primaire officielle
Portée : Menace xénomorphe contre les Spinners ; morphologie détaillée à relever dans l’œuvre.
Consulté le 2026-10-26</x:v>
      </x:c>
      <x:c r="L41" s="77" t="str">
        <x:v>https://www.marvel.com/comics/issue/103780/read
https://www.marvel.com/comics/issue/89571/alien_2021_3
https://www.marvel.com/comics/issue/89581/alien_2021_10</x:v>
      </x:c>
      <x:c r="M41" s="70" t="str">
        <x:v>Catalogue présent (39871c45). Aucun comportement dédié établi par ce contrôle ; une fiche source ne prouve pas un acteur spécialisé.</x:v>
      </x:c>
      <x:c r="N4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41" s="70" t="str">
        <x:v>Séparer identité visuelle, vitesse, attaques et navigation par œuvre ; documenter les scènes avant de revendiquer une reconstitution.</x:v>
      </x:c>
      <x:c r="P41" s="70" t="str">
        <x:v>Proposition : Adultes du théâtre concerné ; art et aptitudes à relever par arc avant de figer le bestiaire.</x:v>
      </x:c>
      <x:c r="Q41" s="70" t="str">
        <x:v>Petits ou grands groupes selon le théâtre et le mode ; ne pas déduire une population canonique du budget de conception.</x:v>
      </x:c>
      <x:c r="R41" s="70" t="str">
        <x:v>X-H ; ajout Y-X ou X-Y-H seulement en scénario original annoncé</x:v>
      </x:c>
      <x:c r="S41" s="70" t="str">
        <x:v>H-L06 — Tobler-9
H-L07 — Station Epsilon
H-L08 — Lune des Spinners — nom à confirmer</x:v>
      </x:c>
      <x:c r="T41" s="70" t="str">
        <x:v>La présence d’un Xénomorphe ne prouve pas Carrier, Ravager, Praetorian ou Queen dans ce lieu. Pas de taxon distinct inventé ; cet identifiant sert à sélectionner la bonne incarnation.</x:v>
      </x:c>
      <x:c r="U41" s="70" t="str">
        <x:v>P1</x:v>
      </x:c>
    </x:row>
    <x:row r="42" ht="76.5" hidden="0" customHeight="1">
      <x:c r="A42" s="71" t="str">
        <x:v>XEN-036</x:v>
      </x:c>
      <x:c r="B42" s="71" t="str">
        <x:v>Xénomorphes</x:v>
      </x:c>
      <x:c r="C42" s="71" t="str">
        <x:v>Xénomorphe d’Alien: Earth</x:v>
      </x:c>
      <x:c r="D42" s="71" t="str">
        <x:v>Profil adulte local attesté ; caste détaillée non affirmée</x:v>
      </x:c>
      <x:c r="E42" s="71" t="str">
        <x:v>Adulte local ; effectifs de guerre uniquement en variante originale</x:v>
      </x:c>
      <x:c r="F42" s="71" t="str">
        <x:v>Alien: Earth, épisode 2</x:v>
      </x:c>
      <x:c r="G42" s="71" t="str">
        <x:v>Série</x:v>
      </x:c>
      <x:c r="H42" s="71" t="str">
        <x:v>Alien / Earth, 2120</x:v>
      </x:c>
      <x:c r="I42" s="71" t="str">
        <x:v>Présence attestée dans l’œuvre ; comportement fin à documenter</x:v>
      </x:c>
      <x:c r="J42" s="71" t="str">
        <x:v>Une scène officielle montre un Xénomorphe attaquant Hermit.</x:v>
      </x:c>
      <x:c r="K42" s="71" t="str">
        <x:v>R-S01 — Alien: Earth — scène officielle de l’épisode 2
FX ; Source primaire officielle
Portée : Présence d’un Xénomorphe attaquant Hermit ; ne prouve ni une caste formelle ni un nombre total.
Consulté le 2026-10-26</x:v>
      </x:c>
      <x:c r="L42" s="76" t="str">
        <x:v>https://www.fxnetworks.com/shows/alien-earth/video-extras/video/689cd9cc46e0fb00016d6877</x:v>
      </x:c>
      <x:c r="M42" s="71" t="str">
        <x:v>Catalogue présent (39871c45). Aucun comportement dédié établi par ce contrôle ; une fiche source ne prouve pas un acteur spécialisé.</x:v>
      </x:c>
      <x:c r="N4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42" s="71" t="str">
        <x:v>Séparer identité visuelle, vitesse, attaques et navigation par œuvre ; documenter les scènes avant de revendiquer une reconstitution.</x:v>
      </x:c>
      <x:c r="P42" s="71" t="str">
        <x:v>Proposition : Poursuite dans le site et intrusion ; paramètres proposés, aucune caste Fireteam ou Extinction importée.</x:v>
      </x:c>
      <x:c r="Q42" s="71" t="str">
        <x:v>Petits ou grands groupes selon le théâtre et le mode ; ne pas déduire une population canonique du budget de conception.</x:v>
      </x:c>
      <x:c r="R42" s="71" t="str">
        <x:v>X-H ; ajout Y-X ou X-Y-H seulement en scénario original annoncé</x:v>
      </x:c>
      <x:c r="S42" s="71" t="str">
        <x:v>H-L05 — Prodigy City et épave de l’USCSS Maginot
X-L08 — USCSS Maginot — confinement des spécimens</x:v>
      </x:c>
      <x:c r="T42" s="71" t="str">
        <x:v>La présence d’un Xénomorphe ne prouve pas Carrier, Ravager, Praetorian ou Queen dans ce lieu. Pas de taxon distinct inventé ; cet identifiant sert à sélectionner la bonne incarnation.</x:v>
      </x:c>
      <x:c r="U42" s="71" t="str">
        <x:v>P1</x:v>
      </x:c>
    </x:row>
    <x:row r="43" ht="96" hidden="0" customHeight="1">
      <x:c r="A43" s="70" t="str">
        <x:v>XEN-037</x:v>
      </x:c>
      <x:c r="B43" s="70" t="str">
        <x:v>Xénomorphes</x:v>
      </x:c>
      <x:c r="C43" s="70" t="str">
        <x:v>Xénomorphes de Dark Descent — cadre local</x:v>
      </x:c>
      <x:c r="D43" s="70" t="str">
        <x:v>Cadre de sélection des incarnations de Dark Descent — aucun acteur propre</x:v>
      </x:c>
      <x:c r="E43" s="70" t="str">
        <x:v>cadre de sélection ; utiliser un profil local précis pour chaque combattant</x:v>
      </x:c>
      <x:c r="F43" s="70" t="str">
        <x:v>Aliens: Dark Descent</x:v>
      </x:c>
      <x:c r="G43" s="70" t="str">
        <x:v>Jeu</x:v>
      </x:c>
      <x:c r="H43" s="70" t="str">
        <x:v>Alien / Dark Descent
Incarnation Aliens: Dark Descent : nom attesté ; preset local distinct, sans importer les statistiques d’un autre jeu.</x:v>
      </x:c>
      <x:c r="I43" s="70" t="str">
        <x:v>Noms locaux confirmés ; comportements et scènes à vérifier séparément</x:v>
      </x:c>
      <x:c r="J43" s="70" t="str">
        <x:v>Les publications officielles nomment Facehugger, Praetorian, Queen, Crusher et Titan dans Dark Descent.</x:v>
      </x:c>
      <x:c r="K43" s="70" t="str">
        <x:v>H-S04 — Dark Descent — bande-annonce de l’histoire
Source primaire officielle
Portée : Lethe, Otago, Pioneer Station, commandos humains rebelles et fonctions des personnages cités.
XC-S13 — Aliens: Dark Descent — actualités et notes de mise à jour officielles
Publications du développeur/éditeur sur Steam
Portée : Fait cité uniquement ; identité, capacités et biologie non extrapolées au-delà de cette preuve.</x:v>
      </x:c>
      <x:c r="L43" s="77" t="str">
        <x:v>https://www.focus-entmt.com/en/news/tindalos-and-focus-reveal-story-trailer-for-aliens-dark-descent
https://steamcommunity.com/app/1150440/allnews/</x:v>
      </x:c>
      <x:c r="M43" s="70" t="str">
        <x:v>Catalogue présent (39871c45). Aucun comportement dédié établi par ce contrôle ; une fiche source ne prouve pas un acteur spécialisé.</x:v>
      </x:c>
      <x:c r="N4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
https://github.com/darknigthmare/Yautja-hive-warriors/blob/39871c450379225de8174711237632e6aa883f04/js/entities/XenomorphHorde.js#L2277-L2279</x:v>
      </x:c>
      <x:c r="O43" s="70" t="str">
        <x:v>Séparer identité visuelle, vitesse, attaques et navigation par œuvre ; documenter les scènes avant de revendiquer une reconstitution.</x:v>
      </x:c>
      <x:c r="P43" s="70" t="str">
        <x:v>Aucun combattant additionnel ; sélectionner une incarnation locale vérifiée pour chaque place allouée.</x:v>
      </x:c>
      <x:c r="Q43" s="70" t="str">
        <x:v>Cadre non compté dans les effectifs ; aucune Queen, Praetorian ou Crusher ajoutée automatiquement.</x:v>
      </x:c>
      <x:c r="R43" s="70" t="str">
        <x:v>X-H ; ajout Y-X ou X-Y-H seulement en scénario original annoncé</x:v>
      </x:c>
      <x:c r="S43" s="70" t="str">
        <x:v>H-L02 — Lethe
X-L04 — Lethe — colonie et liaison Pioneer</x:v>
      </x:c>
      <x:c r="T43" s="70" t="str">
        <x:v>Cadre de sélection de l’œuvre. Les noms Queen, Praetorian et Crusher sont désormais attestés ; Titan possède sa propre fiche. Carrier et Ravager ne sont pas validés pour ce lieu. Aucun effectif n’est déduit de cette liste.</x:v>
      </x:c>
      <x:c r="U43" s="70" t="str">
        <x:v>P1</x:v>
      </x:c>
    </x:row>
    <x:row r="44" ht="171" hidden="0" customHeight="1">
      <x:c r="A44" s="71" t="str">
        <x:v>YAU-001</x:v>
      </x:c>
      <x:c r="B44" s="71" t="str">
        <x:v>Yautja</x:v>
      </x:c>
      <x:c r="C44" s="71" t="str">
        <x:v>Jungle Hunter</x:v>
      </x:c>
      <x:c r="D44" s="71" t="str">
        <x:v>Individu filmique</x:v>
      </x:c>
      <x:c r="E44" s="71" t="str">
        <x:v>unique</x:v>
      </x:c>
      <x:c r="F44" s="71" t="str">
        <x:v>Predator (1987)</x:v>
      </x:c>
      <x:c r="G44" s="71" t="str">
        <x:v>Film</x:v>
      </x:c>
      <x:c r="H44" s="71" t="str">
        <x:v>Confirmé dans cette œuvre ; les statistiques, groupes, cartes étendues et missions ajoutés sont des propositions de jeu.</x:v>
      </x:c>
      <x:c r="I44" s="71" t="str">
        <x:v>Confirmé dans l’œuvre</x:v>
      </x:c>
      <x:c r="J44" s="71" t="str">
        <x:v>Le chasseur de Predator utilise le camouflage et poursuit une équipe humaine dans la jungle.</x:v>
      </x:c>
      <x:c r="K44" s="71" t="str">
        <x:v>Y-S01 — Predator — fiche officielle du film
20th Century Studios ; Studio / synopsis
Portée : Film de 1987 : chasse humaine, jungle, camouflage ; ni pays explicitement nommé ni plan coté.
Consulté le 2026-10-26
Y-S02 — Ultimate Jungle Hunter — catalogue NECA
NECA ; Catalogue licencié
Portée : Identification du Jungle Hunter et canon plasma. La localisation Guatemala diffère du libellé Val Verde du projet ; ne tranche pas une géographie universelle.
Consulté le 2026-10-26</x:v>
      </x:c>
      <x:c r="L44" s="76" t="str">
        <x:v>https://www.20thcenturystudios.com/movies/predator
https://store.necaonline.com/products/predator-ultimate-jungle-hunter-7-scale-action-figure</x:v>
      </x:c>
      <x:c r="M44" s="71" t="str">
        <x:v>Catalogue présent (39871c45). Entrée de personnage jouable présente ; arsenal, modèle et fidélité restent des niveaux distincts.</x:v>
      </x:c>
      <x:c r="N44" s="71"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4" s="71" t="str">
        <x:v>Documenter chaque arme par scène ; séparer la hache et les mines proposées du preset film ; rendre le camouflage et la chasse propres à ce profil.</x:v>
      </x:c>
      <x:c r="P44" s="71" t="str">
        <x:v>Proposition : traque verticale, embuscade à distance puis combat rapproché ; mobilité et discrétion avant endurance artificielle.</x:v>
      </x:c>
      <x:c r="Q44" s="71" t="str">
        <x:v>Proposition : un seul individu nommé par opération, compté dans son budget ; s’il est joué, compter le joueur séparément. Aucun clone de renfort.</x:v>
      </x:c>
      <x:c r="R44" s="71" t="str">
        <x:v>Y/H : périmètre du film. Y/X, Y/Y ou trois camps : scénario original séparé, sans prétention de reconstitution.</x:v>
      </x:c>
      <x:c r="S44" s="71" t="str">
        <x:v>Jungle du film Predator ; carte actuelle dite Val Verde 1987 à vérifier géographiquement</x:v>
      </x:c>
      <x:c r="T44" s="71" t="str">
        <x:v>Individu, pas caste Jungle. Le studio ne nomme pas Val Verde ; NECA indique Guatemala. Le total de 36 entrées d’armurerie n’autorise pas chaque arme sur ce profil.</x:v>
      </x:c>
      <x:c r="U44" s="71" t="str">
        <x:v>P1</x:v>
      </x:c>
    </x:row>
    <x:row r="45" ht="184.5" hidden="0" customHeight="1">
      <x:c r="A45" s="70" t="str">
        <x:v>YAU-002</x:v>
      </x:c>
      <x:c r="B45" s="70" t="str">
        <x:v>Yautja</x:v>
      </x:c>
      <x:c r="C45" s="70" t="str">
        <x:v>City Hunter</x:v>
      </x:c>
      <x:c r="D45" s="70" t="str">
        <x:v>Individu filmique ; adaptation de classe PHG distincte</x:v>
      </x:c>
      <x:c r="E45" s="70" t="str">
        <x:v>unique</x:v>
      </x:c>
      <x:c r="F45" s="70" t="str">
        <x:v>Predator 2 (1990) ; Hunting Grounds</x:v>
      </x:c>
      <x:c r="G45" s="70" t="str">
        <x:v>Film / jeu</x:v>
      </x:c>
      <x:c r="H45" s="70" t="str">
        <x:v>Confirmé dans cette œuvre ; les statistiques, groupes, cartes étendues et missions ajoutés sont des propositions de jeu.</x:v>
      </x:c>
      <x:c r="I45" s="70" t="str">
        <x:v>Confirmé dans l’œuvre</x:v>
      </x:c>
      <x:c r="J45" s="70" t="str">
        <x:v>City Hunter vient de Predator 2 ; PHG nomme son incarnation City Hunter ’97 et lui associe le Combistick.</x:v>
      </x:c>
      <x:c r="K45" s="70" t="str">
        <x:v>Y-S03 — Predator: Hunting Grounds — classes DLC officielles
IllFonic ; Développeur / catalogue du jeu
Portée : Classes Samurai, Viking, City Hunter ’97, Wolf, Mr. Black, Falconer et autres ; périmètre PHG, pas hiérarchie biologique universelle.
Consulté le 2026-10-26
Y-S04 — Predator 2 — Ultimate City Hunter
NECA ; Catalogue licencié
Portée : Film de 1990, Los Angeles ; disque, filet et lance comme références d’accessoires, sans certifier un inventaire simultané exhaustif.
Consulté le 2026-10-26</x:v>
      </x:c>
      <x:c r="L45" s="77" t="str">
        <x:v>https://predator.illfonic.com/
https://store.necaonline.com/blogs/news/shipping-this-week-predator-2-ultimate-city-hunter-action-figure</x:v>
      </x:c>
      <x:c r="M45" s="70" t="str">
        <x:v>Catalogue présent (39871c45). Entrée de personnage jouable présente ; arsenal, modèle et fidélité restent des niveaux distincts.</x:v>
      </x:c>
      <x:c r="N45" s="70"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5" s="70" t="str">
        <x:v>Séparer année de sortie 1990 et incarnation ’97 ; contrôler le pistolet plasma et les armes autorisées scène par scène ; relier poursuites urbaines et verticalité.</x:v>
      </x:c>
      <x:c r="P45" s="70" t="str">
        <x:v>Proposition : harcèlement de rue, contrôle d’accès au filet, lance et disque ; esquive entre niveaux plutôt que masse de PV.</x:v>
      </x:c>
      <x:c r="Q45" s="70" t="str">
        <x:v>Proposition : un seul individu nommé par opération, compté dans son budget ; s’il est joué, compter le joueur séparément. Aucun clone de renfort.</x:v>
      </x:c>
      <x:c r="R45" s="70" t="str">
        <x:v>Y/H : film. Y/X ou trois camps : original ; une décoration ou un trophée ne suffit pas à établir une bataille locale.</x:v>
      </x:c>
      <x:c r="S45" s="70" t="str">
        <x:v>Los Angeles de Predator 2 ; carte actuelle LA1990 à libeller sans confusion de date</x:v>
      </x:c>
      <x:c r="T45" s="70" t="str">
        <x:v>City Hunter n’est ni un rang ni tous les chasseurs urbains. Accessoires NECA et loadout PHG ne prouvent pas un inventaire filmique simultané.</x:v>
      </x:c>
      <x:c r="U45" s="70" t="str">
        <x:v>P1</x:v>
      </x:c>
    </x:row>
    <x:row r="46" ht="90" hidden="0" customHeight="1">
      <x:c r="A46" s="71" t="str">
        <x:v>YAU-003</x:v>
      </x:c>
      <x:c r="B46" s="71" t="str">
        <x:v>Yautja</x:v>
      </x:c>
      <x:c r="C46" s="71" t="str">
        <x:v>Wolf</x:v>
      </x:c>
      <x:c r="D46" s="71" t="str">
        <x:v>Individu vétéran ; rôle de confinement</x:v>
      </x:c>
      <x:c r="E46" s="71" t="str">
        <x:v>unique</x:v>
      </x:c>
      <x:c r="F46" s="71" t="str">
        <x:v>Aliens vs. Predator: Requiem (2007) ; PHG</x:v>
      </x:c>
      <x:c r="G46" s="71" t="str">
        <x:v>Film / jeu</x:v>
      </x:c>
      <x:c r="H46" s="71" t="str">
        <x:v>Confirmé dans cette œuvre ; les statistiques, groupes, cartes étendues et missions ajoutés sont des propositions de jeu.</x:v>
      </x:c>
      <x:c r="I46" s="71" t="str">
        <x:v>Confirmé dans l’œuvre</x:v>
      </x:c>
      <x:c r="J46" s="71" t="str">
        <x:v>IllFonic présente Wolf comme un vétéran chassant les xénomorphes pour contenir une infestation au Colorado.</x:v>
      </x:c>
      <x:c r="K46" s="71" t="str">
        <x:v>Y-S03 — Predator: Hunting Grounds — classes DLC officielles
IllFonic ; Développeur / catalogue du jeu
Portée : Classes Samurai, Viking, City Hunter ’97, Wolf, Mr. Black, Falconer et autres ; périmètre PHG, pas hiérarchie biologique universelle.
Consulté le 2026-10-26</x:v>
      </x:c>
      <x:c r="L46" s="76" t="str">
        <x:v>https://predator.illfonic.com/</x:v>
      </x:c>
      <x:c r="M46" s="71" t="str">
        <x:v>Catalogue présent (39871c45). Entrée de personnage jouable présente ; arsenal, modèle et fidélité restent des niveaux distincts.</x:v>
      </x:c>
      <x:c r="N46" s="71"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6" s="71" t="str">
        <x:v>Créer des objectifs de confinement et de récupération de traces ; référencer fouet, double canon et solvant séparément ; évaluer leur usage réel dans Player.</x:v>
      </x:c>
      <x:c r="P46" s="71" t="str">
        <x:v>Proposition : spécialiste d’intervention locale, suppression de foyers et fermeture des voies de propagation.</x:v>
      </x:c>
      <x:c r="Q46" s="71" t="str">
        <x:v>Proposition : un seul individu nommé par opération, compté dans son budget ; s’il est joué, compter le joueur séparément. Aucun clone de renfort.</x:v>
      </x:c>
      <x:c r="R46" s="71" t="str">
        <x:v>Y/X et humains présents : périmètre AVPR ; alliances et guerre à trois camps proposées doivent préciser leurs objectifs propres.</x:v>
      </x:c>
      <x:c r="S46" s="71" t="str">
        <x:v>Colorado / secteur d’AVPR à documenter ; extension originale de confinement</x:v>
      </x:c>
      <x:c r="T46" s="71" t="str">
        <x:v>Vétéran ou nettoyeur décrit un individu et une mission ; la source ne démontre pas un rang Elite universel ni une caste biologique.</x:v>
      </x:c>
      <x:c r="U46" s="71" t="str">
        <x:v>P1</x:v>
      </x:c>
    </x:row>
    <x:row r="47" ht="171" hidden="0" customHeight="1">
      <x:c r="A47" s="70" t="str">
        <x:v>YAU-004</x:v>
      </x:c>
      <x:c r="B47" s="70" t="str">
        <x:v>Yautja</x:v>
      </x:c>
      <x:c r="C47" s="70" t="str">
        <x:v>Feral Predator</x:v>
      </x:c>
      <x:c r="D47" s="70" t="str">
        <x:v>Individu filmique à équipement distinct</x:v>
      </x:c>
      <x:c r="E47" s="70" t="str">
        <x:v>unique</x:v>
      </x:c>
      <x:c r="F47" s="70" t="str">
        <x:v>Prey (2022)</x:v>
      </x:c>
      <x:c r="G47" s="70" t="str">
        <x:v>Film</x:v>
      </x:c>
      <x:c r="H47" s="70" t="str">
        <x:v>Confirmé dans cette œuvre ; les statistiques, groupes, cartes étendues et missions ajoutés sont des propositions de jeu.</x:v>
      </x:c>
      <x:c r="I47" s="70" t="str">
        <x:v>Confirmé dans l’œuvre</x:v>
      </x:c>
      <x:c r="J47" s="70" t="str">
        <x:v>Prey décrit un adversaire technologiquement avancé ; NECA associe Feral au masque osseux, bolt gun et bouclier.</x:v>
      </x:c>
      <x:c r="K47" s="70" t="str">
        <x:v>Y-S05 — Prey — fiche officielle du film
20th Century Studios ; Studio / synopsis
Portée : Nation comanche et Grandes Plaines ; adversaire doté d’un arsenal avancé. Ne prouve pas une caste primitive.
Consulté le 2026-10-26
Y-S06 — Prey — ULTRAmate Feral Predator
NECA ; Catalogue licencié
Portée : Attribution à Prey ; masque osseux, bolt gun, bouclier, combistick. Accessoires à vérifier scène par scène ; produit annoncé pour 2027, pas preuve de disponibilité actuelle.
Consulté le 2026-10-26</x:v>
      </x:c>
      <x:c r="L47" s="77" t="str">
        <x:v>https://www.20thcenturystudios.com/movies/prey
https://store.necaonline.com/collections/pre-orders/products/prey-ultramate-feral-predator-7-inch-scale-action-figure</x:v>
      </x:c>
      <x:c r="M47" s="70" t="str">
        <x:v>Catalogue présent (39871c45). Entrée de personnage jouable présente ; arsenal, modèle et fidélité restent des niveaux distincts.</x:v>
      </x:c>
      <x:c r="N47" s="70"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7" s="70" t="str">
        <x:v>Réviser les qualificatifs biologiques ; préciser bolt gun plutôt que déduire deux armes du même tir ; verrouiller incarnation joueur/boss et matériel de l’époque.</x:v>
      </x:c>
      <x:c r="P47" s="70" t="str">
        <x:v>Proposition : chasse mobile, interception au bouclier et tir guidé avec fenêtres de contre ; résistance réglée après comparaison au film.</x:v>
      </x:c>
      <x:c r="Q47" s="70" t="str">
        <x:v>Proposition : un seul individu nommé par opération, compté dans son budget ; s’il est joué, compter le joueur séparément. Aucun clone de renfort.</x:v>
      </x:c>
      <x:c r="R47" s="70" t="str">
        <x:v>Y/H : périmètre Prey ; Y/X et batailles interclans : adaptations originales explicites.</x:v>
      </x:c>
      <x:c r="S47" s="70" t="str">
        <x:v>Territoire comanche / Grandes Plaines de Prey ; prey_comanche_territory</x:v>
      </x:c>
      <x:c r="T47" s="70" t="str">
        <x:v>Feral ne prouve pas une espèce primitive ni l’ancêtre de tous les Yautja. La taille d’une figurine ou le scale 3D ne prouve aucune hauteur réelle.</x:v>
      </x:c>
      <x:c r="U47" s="70" t="str">
        <x:v>P1</x:v>
      </x:c>
    </x:row>
    <x:row r="48" ht="168" hidden="0" customHeight="1">
      <x:c r="A48" s="71" t="str">
        <x:v>YAU-005</x:v>
      </x:c>
      <x:c r="B48" s="71" t="str">
        <x:v>Yautja</x:v>
      </x:c>
      <x:c r="C48" s="71" t="str">
        <x:v>Alpha Predator — classe PHG</x:v>
      </x:c>
      <x:c r="D48" s="71" t="str">
        <x:v>Classe de jeu issue d’un partenariat NECA</x:v>
      </x:c>
      <x:c r="E48" s="71" t="str">
        <x:v>unique</x:v>
      </x:c>
      <x:c r="F48" s="71" t="str">
        <x:v>Predator: Hunting Grounds (2020)</x:v>
      </x:c>
      <x:c r="G48" s="71" t="str">
        <x:v>Jeu / produit licencié</x:v>
      </x:c>
      <x:c r="H48" s="71" t="str">
        <x:v>Classe confirmée dans Hunting Grounds ; ses règles de gameplay ne constituent pas une caste biologique ni une chronologie universelle.</x:v>
      </x:c>
      <x:c r="I48" s="71" t="str">
        <x:v>Confirmé dans l’œuvre</x:v>
      </x:c>
      <x:c r="J48" s="71" t="str">
        <x:v>IllFonic confirme la classe Alpha, la Sickle et un partenariat avec NECA.</x:v>
      </x:c>
      <x:c r="K48" s="71" t="str">
        <x:v>Y-S07 — July free update comes to Predator: Hunting Grounds
Développeur / annonce
Portée : Classe Alpha et Sickle débloquées au niveau 100 dans PHG en 2020 ; aucune validation d’une généalogie universelle Yautja.
Y-S08 — Predator: Hunting Grounds August update
Développeur / annonce
Portée : Partenariat Alpha avec NECA et déblocage Elder du jeu ; ne confirme pas le récit Amengi du registre du projet.
YC-S27 — July free update — Alpha Predator
Source primaire officielle
Portée : Article du développeur : classe Alpha et Sickle accessibles au niveau 100 ; aucune affirmation sur une généalogie ou sur les Amengi.</x:v>
      </x:c>
      <x:c r="L48" s="76" t="str">
        <x:v>https://blog.playstation.com/?p=333379
https://blog.playstation.com/2020/08/19/predator-hunting-grounds-august-update/</x:v>
      </x:c>
      <x:c r="M48" s="71" t="str">
        <x:v>Catalogue présent (39871c45). Entrée de personnage jouable présente ; arsenal, modèle et fidélité restent des niveaux distincts.</x:v>
      </x:c>
      <x:c r="N48" s="71"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8" s="71" t="str">
        <x:v>Séparer la classe jouable et le récit d’origine de la figurine ; retrouver le texte primaire NECA avant de valider Amengi/Amangi ou First Hunter.</x:v>
      </x:c>
      <x:c r="P48" s="71" t="str">
        <x:v>Proposition : profil de mêlée à faux, attaques engagées et gestion de portée ; garder les bonus dans les règles de jeu.</x:v>
      </x:c>
      <x:c r="Q48" s="71" t="str">
        <x:v>Proposition : un seul individu nommé par opération, compté dans son budget ; s’il est joué, compter le joueur séparément. Aucun clone de renfort.</x:v>
      </x:c>
      <x:c r="R48" s="71" t="str">
        <x:v>Y/H : règles PHG. Y/X, Y/Y et trois camps : variantes originales identifiées.</x:v>
      </x:c>
      <x:c r="S48" s="71" t="str">
        <x:v>Terrains sud-américains de PHG ; opérations originales compatibles</x:v>
      </x:c>
      <x:c r="T48" s="71" t="str">
        <x:v>Alpha n’est pas un rang supérieur biologique universel. Le niveau 100 est un seuil de jeu. Le récit de révolte du registre reste à vérifier dans sa continuité.
Le texte premier Yautja / Amangi de charactersData.js:87 reste à sourcer dans le récit NECA ; ne pas le compter comme race distincte.</x:v>
      </x:c>
      <x:c r="U48" s="71" t="str">
        <x:v>P1</x:v>
      </x:c>
    </x:row>
    <x:row r="49" ht="90" hidden="0" customHeight="1">
      <x:c r="A49" s="70" t="str">
        <x:v>YAU-006</x:v>
      </x:c>
      <x:c r="B49" s="70" t="str">
        <x:v>Yautja</x:v>
      </x:c>
      <x:c r="C49" s="70" t="str">
        <x:v>Samurai Predator — PHG</x:v>
      </x:c>
      <x:c r="D49" s="70" t="str">
        <x:v>Classe DLC et incarnation de jeu</x:v>
      </x:c>
      <x:c r="E49" s="70" t="str">
        <x:v>unique</x:v>
      </x:c>
      <x:c r="F49" s="70" t="str">
        <x:v>Predator: Hunting Grounds</x:v>
      </x:c>
      <x:c r="G49" s="70" t="str">
        <x:v>Jeu</x:v>
      </x:c>
      <x:c r="H49" s="70" t="str">
        <x:v>Classe confirmée dans Hunting Grounds ; ses règles de gameplay ne constituent pas une caste biologique ni une chronologie universelle.</x:v>
      </x:c>
      <x:c r="I49" s="70" t="str">
        <x:v>Confirmé dans l’œuvre</x:v>
      </x:c>
      <x:c r="J49" s="70" t="str">
        <x:v>Le DLC officiel associe Samurai Predator au Japon féodal et à une arme Katana.</x:v>
      </x:c>
      <x:c r="K49" s="70" t="str">
        <x:v>Y-S03 — Predator: Hunting Grounds — classes DLC officielles
IllFonic ; Développeur / catalogue du jeu
Portée : Classes Samurai, Viking, City Hunter ’97, Wolf, Mr. Black, Falconer et autres ; périmètre PHG, pas hiérarchie biologique universelle.
Consulté le 2026-10-26</x:v>
      </x:c>
      <x:c r="L49" s="77" t="str">
        <x:v>https://predator.illfonic.com/</x:v>
      </x:c>
      <x:c r="M49" s="70" t="str">
        <x:v>Catalogue présent (39871c45). Entrée de personnage jouable présente ; arsenal, modèle et fidélité restent des niveaux distincts.</x:v>
      </x:c>
      <x:c r="N49" s="70"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49" s="70" t="str">
        <x:v>Établir le preset PHG puis définir ses animations et contres ; séparer les pouvoirs Musou originaux du texte officiel du DLC.</x:v>
      </x:c>
      <x:c r="P49" s="70" t="str">
        <x:v>Proposition : duelliste à engagement précis, garde lisible, contrôle d’un passage ; dégâts et saignements à équilibrer explicitement.</x:v>
      </x:c>
      <x:c r="Q49" s="70" t="str">
        <x:v>Proposition : un seul individu nommé par opération, compté dans son budget ; s’il est joué, compter le joueur séparément. Aucun clone de renfort.</x:v>
      </x:c>
      <x:c r="R49" s="70" t="str">
        <x:v>Y/H : PHG ; épisode historique ajouté, Y/Y, Y/X ou trois camps = fiction originale documentée.</x:v>
      </x:c>
      <x:c r="S49" s="70" t="str">
        <x:v>Terrains PHG ; Japon féodal original distinct de Y-L05</x:v>
      </x:c>
      <x:c r="T49" s="70" t="str">
        <x:v>Ne pas identifier ce DLC au chasseur du Japon de Killer of Killers. Samurai et Ronin du sang ne constituent pas des rangs universels.</x:v>
      </x:c>
      <x:c r="U49" s="70" t="str">
        <x:v>P1</x:v>
      </x:c>
    </x:row>
    <x:row r="50" ht="90" hidden="0" customHeight="1">
      <x:c r="A50" s="71" t="str">
        <x:v>YAU-007</x:v>
      </x:c>
      <x:c r="B50" s="71" t="str">
        <x:v>Yautja</x:v>
      </x:c>
      <x:c r="C50" s="71" t="str">
        <x:v>Viking Predator — PHG</x:v>
      </x:c>
      <x:c r="D50" s="71" t="str">
        <x:v>Classe DLC et incarnation de jeu</x:v>
      </x:c>
      <x:c r="E50" s="71" t="str">
        <x:v>unique</x:v>
      </x:c>
      <x:c r="F50" s="71" t="str">
        <x:v>Predator: Hunting Grounds</x:v>
      </x:c>
      <x:c r="G50" s="71" t="str">
        <x:v>Jeu</x:v>
      </x:c>
      <x:c r="H50" s="71" t="str">
        <x:v>Classe confirmée dans Hunting Grounds ; ses règles de gameplay ne constituent pas une caste biologique ni une chronologie universelle.</x:v>
      </x:c>
      <x:c r="I50" s="71" t="str">
        <x:v>Confirmé dans l’œuvre</x:v>
      </x:c>
      <x:c r="J50" s="71" t="str">
        <x:v>Le DLC officiel propose Viking Predator et la Battle Axe dans Hunting Grounds.</x:v>
      </x:c>
      <x:c r="K50" s="71" t="str">
        <x:v>Y-S03 — Predator: Hunting Grounds — classes DLC officielles
IllFonic ; Développeur / catalogue du jeu
Portée : Classes Samurai, Viking, City Hunter ’97, Wolf, Mr. Black, Falconer et autres ; périmètre PHG, pas hiérarchie biologique universelle.
Consulté le 2026-10-26</x:v>
      </x:c>
      <x:c r="L50" s="76" t="str">
        <x:v>https://predator.illfonic.com/</x:v>
      </x:c>
      <x:c r="M50" s="71" t="str">
        <x:v>Catalogue présent (39871c45). Entrée de personnage jouable présente ; arsenal, modèle et fidélité restent des niveaux distincts.</x:v>
      </x:c>
      <x:c r="N50" s="71" t="str">
        <x:v>Catalogue importé : https://github.com/darknigthmare/Yautja-hive-warriors/blob/39871c450379225de8174711237632e6aa883f04/js/data/BattleCatalog.js#L41-L51
Preuve ciblée : https://github.com/darknigthmare/Yautja-hive-warriors/blob/39871c450379225de8174711237632e6aa883f04/js/data/charactersData.js#L49-L162</x:v>
      </x:c>
      <x:c r="O50" s="71" t="str">
        <x:v>Séparer l’arsenal autorisé de la classe, les ajouts originaux et le récit du DLC ; distinguer ce profil de l’anthologie 2025.</x:v>
      </x:c>
      <x:c r="P50" s="71" t="str">
        <x:v>Proposition : assaut lourd, attaques amples et récupération lente ; brèche locale sans invulnérabilité permanente.</x:v>
      </x:c>
      <x:c r="Q50" s="71" t="str">
        <x:v>Proposition : un seul individu nommé par opération, compté dans son budget ; s’il est joué, compter le joueur séparément. Aucun clone de renfort.</x:v>
      </x:c>
      <x:c r="R50" s="71" t="str">
        <x:v>Y/H : PHG ; Y/Y, Y/X et trois camps = variantes originales compatibles.</x:v>
      </x:c>
      <x:c r="S50" s="71" t="str">
        <x:v>Terrains PHG ; arène nordique originale, pas reconstitution automatique de Killer of Killers</x:v>
      </x:c>
      <x:c r="T50" s="71" t="str">
        <x:v>Viking désigne une incarnation DLC, pas une population biologique nordique. Ne pas confondre Berserker de classe, Mr. Black et ce profil.</x:v>
      </x:c>
      <x:c r="U50" s="71" t="str">
        <x:v>P1</x:v>
      </x:c>
    </x:row>
    <x:row r="51" ht="103.5" hidden="0" customHeight="1">
      <x:c r="A51" s="70" t="str">
        <x:v>YAU-008</x:v>
      </x:c>
      <x:c r="B51" s="70" t="str">
        <x:v>Yautja</x:v>
      </x:c>
      <x:c r="C51" s="70" t="str">
        <x:v>Scout</x:v>
      </x:c>
      <x:c r="D51" s="70" t="str">
        <x:v>Classe mécanique, pas caste biologique</x:v>
      </x:c>
      <x:c r="E51" s="70" t="str">
        <x:v>commun</x:v>
      </x:c>
      <x:c r="F51" s="70" t="str">
        <x:v>Predator: Hunting Grounds</x:v>
      </x:c>
      <x:c r="G51" s="70" t="str">
        <x:v>Jeu</x:v>
      </x:c>
      <x:c r="H51" s="70" t="str">
        <x:v>Classe confirmée dans Hunting Grounds ; ses règles de gameplay ne constituent pas une caste biologique ni une chronologie universelle.</x:v>
      </x:c>
      <x:c r="I51" s="70" t="str">
        <x:v>Confirmé dans l’œuvre</x:v>
      </x:c>
      <x:c r="J51" s="70" t="str">
        <x:v>La classe Scout privilégie mobilité, endurance et armes à distance, avec moins de santé et d’équipement.</x:v>
      </x:c>
      <x:c r="K51" s="70" t="str">
        <x:v>Y-S09 — The Predator — Scout, Hunter, Berserker
IllFonic ; Développeur / règles de jeu
Portée : Trois classes avec compromis de vitesse, endurance, dégâts et santé ; aucune équivalence à une caste biologique.
Consulté le 2026-10-26</x:v>
      </x:c>
      <x:c r="L51" s="77" t="str">
        <x:v>https://predator.illfonic.com/the-predator/</x:v>
      </x:c>
      <x:c r="M51" s="70" t="str">
        <x:v>Catalogue présent (39871c45). Aucun comportement dédié établi par ce contrôle ; une fiche source ne prouve pas un acteur spécialisé.</x:v>
      </x:c>
      <x:c r="N5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1" s="70" t="str">
        <x:v>Créer un rôle mécanique léger et son budget d’équipement ; ne pas copier un nom de classe sur un allié générique.</x:v>
      </x:c>
      <x:c r="P51" s="70" t="str">
        <x:v>Proposition : reconnaissance d’itinéraire, désignation d’une menace, interception puis retrait.</x:v>
      </x:c>
      <x:c r="Q51" s="70" t="str">
        <x:v>Proposition : détachement original de 4 PNJ avec chef identifié, dans le budget du scénario ; effectif non tiré de PHG.</x:v>
      </x:c>
      <x:c r="R51" s="70" t="str">
        <x:v>Y/H : PHG. Y/X, Y/Y et trois camps : scénario original ; appartenance au clan et diplomatie séparées de la classe.</x:v>
      </x:c>
      <x:c r="S51" s="70" t="str">
        <x:v>Terrains PHG ; cartes de guerre du clan originales</x:v>
      </x:c>
      <x:c r="T51" s="70" t="str">
        <x:v>Ne pas utiliser ces classes comme arbre généalogique. Le Berserker PHG, le Berserker du film 2010 et l’Assassin 2018 restent des profils distincts.</x:v>
      </x:c>
      <x:c r="U51" s="70" t="str">
        <x:v>P1</x:v>
      </x:c>
    </x:row>
    <x:row r="52" ht="103.5" hidden="0" customHeight="1">
      <x:c r="A52" s="71" t="str">
        <x:v>YAU-009</x:v>
      </x:c>
      <x:c r="B52" s="71" t="str">
        <x:v>Yautja</x:v>
      </x:c>
      <x:c r="C52" s="71" t="str">
        <x:v>Hunter</x:v>
      </x:c>
      <x:c r="D52" s="71" t="str">
        <x:v>Classe mécanique, pas caste biologique</x:v>
      </x:c>
      <x:c r="E52" s="71" t="str">
        <x:v>commun</x:v>
      </x:c>
      <x:c r="F52" s="71" t="str">
        <x:v>Predator: Hunting Grounds</x:v>
      </x:c>
      <x:c r="G52" s="71" t="str">
        <x:v>Jeu</x:v>
      </x:c>
      <x:c r="H52" s="71" t="str">
        <x:v>Classe confirmée dans Hunting Grounds ; ses règles de gameplay ne constituent pas une caste biologique ni une chronologie universelle.</x:v>
      </x:c>
      <x:c r="I52" s="71" t="str">
        <x:v>Confirmé dans l’œuvre</x:v>
      </x:c>
      <x:c r="J52" s="71" t="str">
        <x:v>La classe Hunter est présentée comme polyvalente, avec des caractéristiques équilibrées.</x:v>
      </x:c>
      <x:c r="K52" s="71" t="str">
        <x:v>Y-S09 — The Predator — Scout, Hunter, Berserker
IllFonic ; Développeur / règles de jeu
Portée : Trois classes avec compromis de vitesse, endurance, dégâts et santé ; aucune équivalence à une caste biologique.
Consulté le 2026-10-26</x:v>
      </x:c>
      <x:c r="L52" s="76" t="str">
        <x:v>https://predator.illfonic.com/the-predator/</x:v>
      </x:c>
      <x:c r="M52" s="71" t="str">
        <x:v>Catalogue présent (39871c45). Aucun comportement dédié établi par ce contrôle ; une fiche source ne prouve pas un acteur spécialisé.</x:v>
      </x:c>
      <x:c r="N5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2" s="71" t="str">
        <x:v>Créer le profil polyvalent et les ordres d’escouade ; distinguer ses paramètres d’un individu filmique nommé.</x:v>
      </x:c>
      <x:c r="P52" s="71" t="str">
        <x:v>Proposition : groupe de manœuvre polyvalent, protection d’un relais et appui à un autre front.</x:v>
      </x:c>
      <x:c r="Q52" s="71" t="str">
        <x:v>Proposition : détachement original de 4 PNJ avec chef identifié, dans le budget du scénario ; effectif non tiré de PHG.</x:v>
      </x:c>
      <x:c r="R52" s="71" t="str">
        <x:v>Y/H : PHG. Y/X, Y/Y et trois camps : scénario original ; appartenance au clan et diplomatie séparées de la classe.</x:v>
      </x:c>
      <x:c r="S52" s="71" t="str">
        <x:v>Terrains PHG ; cartes de guerre du clan originales</x:v>
      </x:c>
      <x:c r="T52" s="71" t="str">
        <x:v>Ne pas utiliser ces classes comme arbre généalogique. Le Berserker PHG, le Berserker du film 2010 et l’Assassin 2018 restent des profils distincts.</x:v>
      </x:c>
      <x:c r="U52" s="71" t="str">
        <x:v>P1</x:v>
      </x:c>
    </x:row>
    <x:row r="53" ht="103.5" hidden="0" customHeight="1">
      <x:c r="A53" s="70" t="str">
        <x:v>YAU-010</x:v>
      </x:c>
      <x:c r="B53" s="70" t="str">
        <x:v>Yautja</x:v>
      </x:c>
      <x:c r="C53" s="70" t="str">
        <x:v>Berserker — classe PHG</x:v>
      </x:c>
      <x:c r="D53" s="70" t="str">
        <x:v>Classe mécanique, pas caste biologique</x:v>
      </x:c>
      <x:c r="E53" s="70" t="str">
        <x:v>élite</x:v>
      </x:c>
      <x:c r="F53" s="70" t="str">
        <x:v>Predator: Hunting Grounds</x:v>
      </x:c>
      <x:c r="G53" s="70" t="str">
        <x:v>Jeu</x:v>
      </x:c>
      <x:c r="H53" s="70" t="str">
        <x:v>Classe confirmée dans Hunting Grounds ; ses règles de gameplay ne constituent pas une caste biologique ni une chronologie universelle.</x:v>
      </x:c>
      <x:c r="I53" s="70" t="str">
        <x:v>Confirmé dans l’œuvre</x:v>
      </x:c>
      <x:c r="J53" s="70" t="str">
        <x:v>La classe Berserker échange mobilité et récupération contre santé, énergie et puissance de mêlée.</x:v>
      </x:c>
      <x:c r="K53" s="70" t="str">
        <x:v>Y-S09 — The Predator — Scout, Hunter, Berserker
IllFonic ; Développeur / règles de jeu
Portée : Trois classes avec compromis de vitesse, endurance, dégâts et santé ; aucune équivalence à une caste biologique.
Consulté le 2026-10-26</x:v>
      </x:c>
      <x:c r="L53" s="77" t="str">
        <x:v>https://predator.illfonic.com/the-predator/</x:v>
      </x:c>
      <x:c r="M53" s="70" t="str">
        <x:v>Catalogue présent (39871c45). Aucun comportement dédié établi par ce contrôle ; une fiche source ne prouve pas un acteur spécialisé.</x:v>
      </x:c>
      <x:c r="N5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3" s="70" t="str">
        <x:v>Créer la classe lourde avec coûts de déplacement et d’engagement ; ne pas la fusionner avec le boss Mr. Black.</x:v>
      </x:c>
      <x:c r="P53" s="70" t="str">
        <x:v>Proposition : assaut de position avec mobilité réduite ; fortes fenêtres de contre après les frappes.</x:v>
      </x:c>
      <x:c r="Q53" s="70" t="str">
        <x:v>Proposition : détachement original de 4 PNJ avec chef identifié, dans le budget du scénario ; effectif non tiré de PHG.</x:v>
      </x:c>
      <x:c r="R53" s="70" t="str">
        <x:v>Y/H : PHG. Y/X, Y/Y et trois camps : scénario original ; appartenance au clan et diplomatie séparées de la classe.</x:v>
      </x:c>
      <x:c r="S53" s="70" t="str">
        <x:v>Terrains PHG ; cartes de guerre du clan originales</x:v>
      </x:c>
      <x:c r="T53" s="70" t="str">
        <x:v>Ne pas utiliser ces classes comme arbre généalogique. Le Berserker PHG, le Berserker du film 2010 et l’Assassin 2018 restent des profils distincts.</x:v>
      </x:c>
      <x:c r="U53" s="70" t="str">
        <x:v>P1</x:v>
      </x:c>
    </x:row>
    <x:row r="54" ht="103.5" hidden="0" customHeight="1">
      <x:c r="A54" s="71" t="str">
        <x:v>YAU-011</x:v>
      </x:c>
      <x:c r="B54" s="71" t="str">
        <x:v>Yautja</x:v>
      </x:c>
      <x:c r="C54" s="71" t="str">
        <x:v>Young Blood — initiation AVP</x:v>
      </x:c>
      <x:c r="D54" s="71" t="str">
        <x:v>Statut rituel attesté dans une présentation officielle</x:v>
      </x:c>
      <x:c r="E54" s="71" t="str">
        <x:v>exclu</x:v>
      </x:c>
      <x:c r="F54" s="71" t="str">
        <x:v>Alien vs. Predator (2004), présentation PHG du trio</x:v>
      </x:c>
      <x:c r="G54" s="71" t="str">
        <x:v>Film / adaptation de jeu</x:v>
      </x:c>
      <x:c r="H54" s="71" t="str">
        <x:v>Statut du trio AVP confirmé dans le texte IllFonic ; généralisation à tous les clans non démontrée.</x:v>
      </x:c>
      <x:c r="I54" s="71" t="str">
        <x:v>Confirmé dans l’œuvre</x:v>
      </x:c>
      <x:c r="J54" s="71" t="str">
        <x:v>Celtic, Chopper et Scar sont présentés comme Young Blood envoyés chasser des xénomorphes lors d’un rite.</x:v>
      </x:c>
      <x:c r="K54" s="71"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4" s="76" t="str">
        <x:v>https://forum.predator.illfonic.com/t/hunting-party-dlc-pack-3/29879</x:v>
      </x:c>
      <x:c r="M54" s="71" t="str">
        <x:v>Catalogue présent (39871c45). Aucun comportement dédié établi par ce contrôle ; une fiche source ne prouve pas un acteur spécialisé.</x:v>
      </x:c>
      <x:c r="N5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4" s="71" t="str">
        <x:v>Séparer statut préalable, preuve de l’épreuve et promotion narrative ; sourcer les détails de rite, formation et droits d’équipement par œuvre.</x:v>
      </x:c>
      <x:c r="P54" s="71" t="str">
        <x:v>Proposition : mission d’initiation avec objectifs d’apprentissage et survie ; progression racontée à la fin du scénario.</x:v>
      </x:c>
      <x:c r="Q54" s="71" t="str">
        <x:v>Statut d’acteurs existants, jamais PNJ additionnels. Reconstitution : préserver les trois individus du trio. Guerre du clan : détachement de 4 initiés proposé, pas effectif canonique.</x:v>
      </x:c>
      <x:c r="R54" s="71" t="str">
        <x:v>Y/X et humains du contexte AVP. Bataille d’armée ou autre époque : mode original identifié.</x:v>
      </x:c>
      <x:c r="S54" s="71" t="str">
        <x:v>Pyramide antarctique AVP ; temple d’initiation original</x:v>
      </x:c>
      <x:c r="T54" s="71" t="str">
        <x:v>Young Blood n’est pas une caste biologique. Unblooded et Young Blood ne sont pas automatiquement deux niveaux universels ; 50 victimes ne prouve aucun rite.</x:v>
      </x:c>
      <x:c r="U54" s="71" t="str">
        <x:v>P1</x:v>
      </x:c>
    </x:row>
    <x:row r="55" ht="103.5" hidden="0" customHeight="1">
      <x:c r="A55" s="70" t="str">
        <x:v>YAU-012</x:v>
      </x:c>
      <x:c r="B55" s="70" t="str">
        <x:v>Yautja</x:v>
      </x:c>
      <x:c r="C55" s="70" t="str">
        <x:v>Blooded — statut acquis</x:v>
      </x:c>
      <x:c r="D55" s="70" t="str">
        <x:v>Statut rituel, distinct d’une classe de combat</x:v>
      </x:c>
      <x:c r="E55" s="70" t="str">
        <x:v>exclu</x:v>
      </x:c>
      <x:c r="F55" s="70" t="str">
        <x:v>Alien vs. Predator (2004), présentation PHG de Scar</x:v>
      </x:c>
      <x:c r="G55" s="70" t="str">
        <x:v>Film / adaptation de jeu</x:v>
      </x:c>
      <x:c r="H55" s="70" t="str">
        <x:v>Passage de Scar attesté dans le texte officiel du jeu ; privilèges universels et mécanismes biologiques non attestés.</x:v>
      </x:c>
      <x:c r="I55" s="70" t="str">
        <x:v>Confirmé dans l’œuvre</x:v>
      </x:c>
      <x:c r="J55" s="70" t="str">
        <x:v>Scar est le seul du trio présenté comme devenu Blooded après avoir tué un xénomorphe.</x:v>
      </x:c>
      <x:c r="K55"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5" s="77" t="str">
        <x:v>https://forum.predator.illfonic.com/t/hunting-party-dlc-pack-3/29879</x:v>
      </x:c>
      <x:c r="M55" s="70" t="str">
        <x:v>Catalogue présent (39871c45). Aucun comportement dédié établi par ce contrôle ; une fiche source ne prouve pas un acteur spécialisé.</x:v>
      </x:c>
      <x:c r="N5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5" s="70" t="str">
        <x:v>Remplacer la promotion automatique par une condition de scénario ; documenter le marquage et traiter les 15 % de résistance comme règle originale.</x:v>
      </x:c>
      <x:c r="P55" s="70" t="str">
        <x:v>Proposition : statut de campagne ouvrant responsabilité ou matériel choisi ; aucun surcroît physiologique automatique.</x:v>
      </x:c>
      <x:c r="Q55" s="70" t="str">
        <x:v>Un statut appliqué à un acteur existant ; ne crée pas de PNJ ni de classe supplémentaire dans le comptage.</x:v>
      </x:c>
      <x:c r="R55" s="70" t="str">
        <x:v>Dépend de l’individu et de l’œuvre ; Blooded ne change pas seul les alliances Y/H/X.</x:v>
      </x:c>
      <x:c r="S55" s="70" t="str">
        <x:v>Pyramide AVP ; campagne originale à rite explicitement défini</x:v>
      </x:c>
      <x:c r="T55" s="70" t="str">
        <x:v>Pas de droit universel au plasma déduit de ce statut. Les annonces à 100 KOs et le bonus de résistance sont des mécaniques, pas des faits de lore.</x:v>
      </x:c>
      <x:c r="U55" s="70" t="str">
        <x:v>P1</x:v>
      </x:c>
    </x:row>
    <x:row r="56" ht="108" hidden="0" customHeight="1">
      <x:c r="A56" s="71" t="str">
        <x:v>YAU-013</x:v>
      </x:c>
      <x:c r="B56" s="71" t="str">
        <x:v>Yautja</x:v>
      </x:c>
      <x:c r="C56" s="71" t="str">
        <x:v>Elder / Greyback de Predator 2</x:v>
      </x:c>
      <x:c r="D56" s="71" t="str">
        <x:v>Individu ancien et chef attesté localement</x:v>
      </x:c>
      <x:c r="E56" s="71" t="str">
        <x:v>unique</x:v>
      </x:c>
      <x:c r="F56" s="71" t="str">
        <x:v>Predator 2 (1990)</x:v>
      </x:c>
      <x:c r="G56" s="71" t="str">
        <x:v>Film</x:v>
      </x:c>
      <x:c r="H56" s="71" t="str">
        <x:v>Confirmé dans cette œuvre ; les statistiques, groupes, cartes étendues et missions ajoutés sont des propositions de jeu.</x:v>
      </x:c>
      <x:c r="I56" s="71" t="str">
        <x:v>Confirmé dans l’œuvre</x:v>
      </x:c>
      <x:c r="J56" s="71" t="str">
        <x:v>NECA identifie Greyback comme Elder et leader du groupe de chasseurs de Predator 2.</x:v>
      </x:c>
      <x:c r="K56" s="71" t="str">
        <x:v>Y-S11 — Predators 1/4 Scale — Elder / Greyback
Catalogue licencié
Portée : Greyback décrit comme leader du groupe de Predator 2 ; cela ne confond pas tous les anciens avec tous les chefs.
YC-S25 — June free update — Elder Predator
Source primaire officielle
Portée : Article d’IllFonic confirmant la classe Elder débloquée au niveau 150 ; progression de jeu, pas critère biologique.</x:v>
      </x:c>
      <x:c r="L56" s="76" t="str">
        <x:v>https://store.necaonline.com/blogs/news/shipping-predators-1-4-scale-nightmare-on-elm-st-series-4-kick-ass-2-prop-replicas
https://blog.playstation.com/2020/06/12/june-free-update-now-live-in-predator-hunting-grounds/</x:v>
      </x:c>
      <x:c r="M56" s="71" t="str">
        <x:v>Catalogue présent (39871c45). Aucun comportement dédié établi par ce contrôle ; une fiche source ne prouve pas un acteur spécialisé.</x:v>
      </x:c>
      <x:c r="N5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6" s="71" t="str">
        <x:v>Distinguer ancienneté, fonction de chef et individu Greyback ; référencer ses gestes et son équipement ; corriger les promotions par compteur.
Voir YAU-064 pour la classe Elder PHG. Ne pas fusionner son identité avec Greyback sans preuve.</x:v>
      </x:c>
      <x:c r="P56" s="71" t="str">
        <x:v>Proposition : décision de retrait, arbitrage d’une rencontre ou commandement ponctuel ; puissance martiale réglée séparément.</x:v>
      </x:c>
      <x:c r="Q56" s="71" t="str">
        <x:v>Proposition : un seul individu nommé par opération, compté dans son budget ; s’il est joué, compter le joueur séparément. Aucun clone de renfort.</x:v>
      </x:c>
      <x:c r="R56" s="71" t="str">
        <x:v>Y/H : rencontre de Predator 2 ; Y/Y, Y/X et trois camps nécessitent une mission originale ou une autre œuvre citée.</x:v>
      </x:c>
      <x:c r="S56" s="71" t="str">
        <x:v>Los Angeles et vaisseau de Predator 2 ; espaces de commandement originaux</x:v>
      </x:c>
      <x:c r="T56" s="71" t="str">
        <x:v>L’exemple Greyback n’établit pas que tout Elder commande un clan, ni qu’un chef doit être Elder. Ancient/Apex ne suit pas automatiquement Elder.
Conserver la classe PHG comme sous-preset mécanique ; identité Elder PHG ↔ Greyback à confirmer par une source primaire explicite. Ne pas créer un second individu ni affirmer leur identité sur le seul mot Elder. La classe Elder de PHG est documentée dans une fiche distincte ; son identité avec Greyback n’est pas établie par la source primaire.</x:v>
      </x:c>
      <x:c r="U56" s="71" t="str">
        <x:v>P1</x:v>
      </x:c>
    </x:row>
    <x:row r="57" ht="103.5" hidden="0" customHeight="1">
      <x:c r="A57" s="70" t="str">
        <x:v>YAU-014</x:v>
      </x:c>
      <x:c r="B57" s="70" t="str">
        <x:v>Yautja</x:v>
      </x:c>
      <x:c r="C57" s="70" t="str">
        <x:v>Scar</x:v>
      </x:c>
      <x:c r="D57" s="70" t="str">
        <x:v>Individu du trio AVP ; état rituel évolutif</x:v>
      </x:c>
      <x:c r="E57" s="70" t="str">
        <x:v>unique</x:v>
      </x:c>
      <x:c r="F57" s="70" t="str">
        <x:v>Alien vs. Predator (2004)</x:v>
      </x:c>
      <x:c r="G57" s="70" t="str">
        <x:v>Film / PHG</x:v>
      </x:c>
      <x:c r="H57" s="70" t="str">
        <x:v>Confirmé dans cette œuvre ; les statistiques, groupes, cartes étendues et missions ajoutés sont des propositions de jeu.</x:v>
      </x:c>
      <x:c r="I57" s="70" t="str">
        <x:v>Confirmé dans l’œuvre</x:v>
      </x:c>
      <x:c r="J57" s="70" t="str">
        <x:v>Scar tue un xénomorphe, devient Blooded et reçoit une aide humaine contre une Reine dans la présentation officielle.</x:v>
      </x:c>
      <x:c r="K57"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7" s="77" t="str">
        <x:v>https://forum.predator.illfonic.com/t/hunting-party-dlc-pack-3/29879</x:v>
      </x:c>
      <x:c r="M57" s="70" t="str">
        <x:v>Catalogue présent (39871c45). Aucun comportement dédié établi par ce contrôle ; une fiche source ne prouve pas un acteur spécialisé.</x:v>
      </x:c>
      <x:c r="N5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7" s="70" t="str">
        <x:v>Créer silhouette, arsenal par séquence, relation avec Lex et état avant/après rite ; gérer blessure et infection dans l’ordre du film.</x:v>
      </x:c>
      <x:c r="P57" s="70" t="str">
        <x:v>Proposition : coopération locale avec un humain identifié, ouverture d’accès et combat contre une menace commune.</x:v>
      </x:c>
      <x:c r="Q57" s="70" t="str">
        <x:v>Proposition : un seul individu nommé par opération, compté dans son budget ; s’il est joué, compter le joueur séparément. Aucun clone de renfort.</x:v>
      </x:c>
      <x:c r="R57" s="70" t="str">
        <x:v>Y/X/H : contexte AVP avec alliance locale Scar–humain ; ne pas convertir tous les humains en alliés.</x:v>
      </x:c>
      <x:c r="S57" s="70" t="str">
        <x:v>Pyramide antarctique et surface AVP</x:v>
      </x:c>
      <x:c r="T57" s="70" t="str">
        <x:v>Le synopsis du DLC ne suffit pas au minutage de l’infection. Ne pas reproduire comme fait établi la grossesse de Lex affirmée dans le codex du projet.</x:v>
      </x:c>
      <x:c r="U57" s="70" t="str">
        <x:v>P1</x:v>
      </x:c>
    </x:row>
    <x:row r="58" ht="103.5" hidden="0" customHeight="1">
      <x:c r="A58" s="71" t="str">
        <x:v>YAU-015</x:v>
      </x:c>
      <x:c r="B58" s="71" t="str">
        <x:v>Yautja</x:v>
      </x:c>
      <x:c r="C58" s="71" t="str">
        <x:v>Celtic</x:v>
      </x:c>
      <x:c r="D58" s="71" t="str">
        <x:v>Individu du trio AVP</x:v>
      </x:c>
      <x:c r="E58" s="71" t="str">
        <x:v>unique</x:v>
      </x:c>
      <x:c r="F58" s="71" t="str">
        <x:v>Alien vs. Predator (2004)</x:v>
      </x:c>
      <x:c r="G58" s="71" t="str">
        <x:v>Film / PHG</x:v>
      </x:c>
      <x:c r="H58" s="71" t="str">
        <x:v>Confirmé dans cette œuvre ; les statistiques, groupes, cartes étendues et missions ajoutés sont des propositions de jeu.</x:v>
      </x:c>
      <x:c r="I58" s="71" t="str">
        <x:v>Confirmé dans l’œuvre</x:v>
      </x:c>
      <x:c r="J58" s="71" t="str">
        <x:v>L’annonce IllFonic présente Celtic comme meneur du trio, mort avant d’acquérir le statut Blooded.</x:v>
      </x:c>
      <x:c r="K58" s="71"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8" s="76" t="str">
        <x:v>https://forum.predator.illfonic.com/t/hunting-party-dlc-pack-3/29879</x:v>
      </x:c>
      <x:c r="M58" s="71" t="str">
        <x:v>Catalogue présent (39871c45). Aucun comportement dédié établi par ce contrôle ; une fiche source ne prouve pas un acteur spécialisé.</x:v>
      </x:c>
      <x:c r="N5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8" s="71" t="str">
        <x:v>Créer la silhouette et les armes vérifiées ; conserver son issue narrative en reconstitution, ou annoncer une branche alternative.</x:v>
      </x:c>
      <x:c r="P58" s="71" t="str">
        <x:v>Proposition : premier contact et fixation d’un adversaire ; risque d’exposition pendant un engagement rapproché.</x:v>
      </x:c>
      <x:c r="Q58" s="71" t="str">
        <x:v>Proposition : un seul individu nommé par opération, compté dans son budget ; s’il est joué, compter le joueur séparément. Aucun clone de renfort.</x:v>
      </x:c>
      <x:c r="R58" s="71" t="str">
        <x:v>Y/X et humains du contexte AVP ; variantes de guerre uniquement originales.</x:v>
      </x:c>
      <x:c r="S58" s="71" t="str">
        <x:v>Pyramide antarctique AVP</x:v>
      </x:c>
      <x:c r="T58" s="71" t="str">
        <x:v>Meneur du trio ne prouve ni rang de chef de clan ni supériorité biologique. Le Celtic DLC PHG conserve un preset séparé.</x:v>
      </x:c>
      <x:c r="U58" s="71" t="str">
        <x:v>P1</x:v>
      </x:c>
    </x:row>
    <x:row r="59" ht="103.5" hidden="0" customHeight="1">
      <x:c r="A59" s="70" t="str">
        <x:v>YAU-016</x:v>
      </x:c>
      <x:c r="B59" s="70" t="str">
        <x:v>Yautja</x:v>
      </x:c>
      <x:c r="C59" s="70" t="str">
        <x:v>Chopper</x:v>
      </x:c>
      <x:c r="D59" s="70" t="str">
        <x:v>Individu du trio AVP</x:v>
      </x:c>
      <x:c r="E59" s="70" t="str">
        <x:v>unique</x:v>
      </x:c>
      <x:c r="F59" s="70" t="str">
        <x:v>Alien vs. Predator (2004)</x:v>
      </x:c>
      <x:c r="G59" s="70" t="str">
        <x:v>Film / PHG</x:v>
      </x:c>
      <x:c r="H59" s="70" t="str">
        <x:v>Confirmé dans cette œuvre ; les statistiques, groupes, cartes étendues et missions ajoutés sont des propositions de jeu.</x:v>
      </x:c>
      <x:c r="I59" s="70" t="str">
        <x:v>Confirmé dans l’œuvre</x:v>
      </x:c>
      <x:c r="J59" s="70" t="str">
        <x:v>L’annonce IllFonic présente Chopper comme Young Blood, distrait par les humains puis surpris par un xénomorphe.</x:v>
      </x:c>
      <x:c r="K59" s="70" t="str">
        <x:v>Y-S10 — Hunting Party DLC Pack 3 — Patch Notes 2.47
IllFonic ; Annonce officielle du développeur, premier message uniquement
Portée : Celtic, Chopper, Scar ; initiation Young Blood et Blooded dans la présentation PHG du trio AVP. Réponses de communauté exclues ; ordre détaillé de l’infection à vérifier dans le film.
Consulté le 2026-10-26</x:v>
      </x:c>
      <x:c r="L59" s="77" t="str">
        <x:v>https://forum.predator.illfonic.com/t/hunting-party-dlc-pack-3/29879</x:v>
      </x:c>
      <x:c r="M59" s="70" t="str">
        <x:v>Catalogue présent (39871c45). Aucun comportement dédié établi par ce contrôle ; une fiche source ne prouve pas un acteur spécialisé.</x:v>
      </x:c>
      <x:c r="N5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59" s="70" t="str">
        <x:v>Créer silhouette et équipement documentés ; donner aux transitions d’attention et embuscades des conséquences lisibles.</x:v>
      </x:c>
      <x:c r="P59" s="70" t="str">
        <x:v>Proposition : chasseur engagé localement, vulnérable au flanquement ; pas bonus inventé présenté comme aptitude canonique.</x:v>
      </x:c>
      <x:c r="Q59" s="70" t="str">
        <x:v>Proposition : un seul individu nommé par opération, compté dans son budget ; s’il est joué, compter le joueur séparément. Aucun clone de renfort.</x:v>
      </x:c>
      <x:c r="R59" s="70" t="str">
        <x:v>Y/X/H : situation AVP ; règles d’agression précisées par la mission.</x:v>
      </x:c>
      <x:c r="S59" s="70" t="str">
        <x:v>Pyramide antarctique AVP</x:v>
      </x:c>
      <x:c r="T59" s="70" t="str">
        <x:v>Chopper est un individu ; aucune unité en série de même nom, ni résurrection de renfort dans une reconstitution.</x:v>
      </x:c>
      <x:c r="U59" s="70" t="str">
        <x:v>P1</x:v>
      </x:c>
    </x:row>
    <x:row r="60" ht="265.5" hidden="0" customHeight="1">
      <x:c r="A60" s="71" t="str">
        <x:v>YAU-017</x:v>
      </x:c>
      <x:c r="B60" s="71" t="str">
        <x:v>Yautja</x:v>
      </x:c>
      <x:c r="C60" s="71" t="str">
        <x:v>Berserker / Mr. Black — film 2010</x:v>
      </x:c>
      <x:c r="D60" s="71" t="str">
        <x:v>Individu d’une variante filmique ; classe PHG distincte</x:v>
      </x:c>
      <x:c r="E60" s="71" t="str">
        <x:v>unique</x:v>
      </x:c>
      <x:c r="F60" s="71" t="str">
        <x:v>Predators (2010) ; PHG</x:v>
      </x:c>
      <x:c r="G60" s="71" t="str">
        <x:v>Film / jeu</x:v>
      </x:c>
      <x:c r="H60" s="71" t="str">
        <x:v>Confirmé dans cette œuvre ; les statistiques, groupes, cartes étendues et missions ajoutés sont des propositions de jeu.</x:v>
      </x:c>
      <x:c r="I60" s="71" t="str">
        <x:v>Confirmé dans l’œuvre</x:v>
      </x:c>
      <x:c r="J60" s="71" t="str">
        <x:v>NECA attribue Berserker au film Predators ; IllFonic propose séparément la classe Mr. Black.
IllFonic décrit Mr. Black et Falconer comme des Super Predators et évoque un conflit entre sous-espèces.</x:v>
      </x:c>
      <x:c r="K60" s="71" t="str">
        <x:v>Y-S12 — Predators — fiche officielle du film
Studio / synopsis
Portée : Film sorti le 9 juillet 2010 ; humains chassés sur une planète extraterrestre par une nouvelle variété de prédateurs. Nomenclature des individus non détaillée.
Y-S13 — Still Ugly After All These Years — Predators
Catalogue licencié
Portée : Berserker, Falconer et Classic attribués au film Predators de 2010 ; pas organigramme de l’espèce.
Y-S03 — Predator: Hunting Grounds — classes DLC officielles
Développeur / catalogue du jeu
Portée : Classes Samurai, Viking, City Hunter ’97, Wolf, Mr. Black, Falconer et autres ; périmètre PHG, pas hiérarchie biologique universelle.
YC-S03 — Hunting Grounds introduces the Hunting Party
Source primaire officielle
Portée : Texte du CEO d’IllFonic : Captured, Mr. Black, Falconer et conflit décrit comme entre sous-espèces. Le clan de Captured est présenté comme une rumeur.</x:v>
      </x:c>
      <x:c r="L60" s="76" t="str">
        <x:v>https://www.20thcenturystudios.com/movies/predators
https://store.necaonline.com/blogs/news/still-ugly-after-all-these-years
https://predator.illfonic.com/
https://blog.playstation.com/2021/12/15/predator-hunting-grounds-introduces-the-hunting-party/</x:v>
      </x:c>
      <x:c r="M60" s="71" t="str">
        <x:v>Catalogue présent (39871c45). Boss berserker_super_predator présent ; dimensions et comportement adaptés.</x:v>
      </x:c>
      <x:c r="N60" s="71" t="str">
        <x:v>Catalogue importé : https://github.com/darknigthmare/Yautja-hive-warriors/blob/39871c450379225de8174711237632e6aa883f04/js/data/BattleCatalog.js#L41-L51
Preuve ciblée : https://github.com/darknigthmare/Yautja-hive-warriors/blob/39871c450379225de8174711237632e6aa883f04/js/data/BossRegistry.js#L21</x:v>
      </x:c>
      <x:c r="O60" s="71" t="str">
        <x:v>Référencer la correspondance d’identité et le matériel ; distinguer ce boss de Berserker PHG et de l’Assassin 2018 ; remplacer le simple sac de PV par un plan de chasse.</x:v>
      </x:c>
      <x:c r="P60" s="71" t="str">
        <x:v>Proposition : commandant de chasse, pression sur les routes de retrait et duel avec fenêtres de contre.</x:v>
      </x:c>
      <x:c r="Q60" s="71" t="str">
        <x:v>Proposition : un seul individu nommé par opération, compté dans son budget ; s’il est joué, compter le joueur séparément. Aucun clone de renfort.</x:v>
      </x:c>
      <x:c r="R60" s="71" t="str">
        <x:v>Y/H : film 2010. Y/Y : séquences à référencer. Y/X et trois camps : original.</x:v>
      </x:c>
      <x:c r="S60" s="71" t="str">
        <x:v>Réserve extraterrestre de Predators ; game_preserve_planet</x:v>
      </x:c>
      <x:c r="T60" s="71" t="str">
        <x:v>Super Predator, Berserker de classe et Assassin génétiquement modifié ne sont pas interchangeables. Le terme nouveau type du synopsis ne prouve pas une caste sociale.
Qualifier la variante comme sous-espèce dans la présentation PHG ; garder distinctes la classe Berserker, la modification Assassin 2018 et les clans.</x:v>
      </x:c>
      <x:c r="U60" s="71" t="str">
        <x:v>P1</x:v>
      </x:c>
    </x:row>
    <x:row r="61" ht="171" hidden="0" customHeight="1">
      <x:c r="A61" s="70" t="str">
        <x:v>YAU-018</x:v>
      </x:c>
      <x:c r="B61" s="70" t="str">
        <x:v>Yautja</x:v>
      </x:c>
      <x:c r="C61" s="70" t="str">
        <x:v>Falconer</x:v>
      </x:c>
      <x:c r="D61" s="70" t="str">
        <x:v>Individu et spécialité de reconnaissance</x:v>
      </x:c>
      <x:c r="E61" s="70" t="str">
        <x:v>unique</x:v>
      </x:c>
      <x:c r="F61" s="70" t="str">
        <x:v>Predators (2010) ; PHG</x:v>
      </x:c>
      <x:c r="G61" s="70" t="str">
        <x:v>Film / jeu</x:v>
      </x:c>
      <x:c r="H61" s="70" t="str">
        <x:v>Confirmé dans cette œuvre ; les statistiques, groupes, cartes étendues et missions ajoutés sont des propositions de jeu.</x:v>
      </x:c>
      <x:c r="I61" s="70" t="str">
        <x:v>Confirmé dans l’œuvre</x:v>
      </x:c>
      <x:c r="J61" s="70" t="str">
        <x:v>NECA rattache Falconer au film 2010 et lui associe un accessoire en forme d’oiseau.
La présentation d’IllFonic classe Falconer parmi les Super Predators.</x:v>
      </x:c>
      <x:c r="K61" s="70" t="str">
        <x:v>Y-S14 — Camo Cloaked Falconer — Predators Series 7
Catalogue licencié
Portée : Falconer attribué au film 2010 et accessoire oiseau mécanique ; pas preuve de pouvoirs offensifs ou de nombre de drones.
Y-S03 — Predator: Hunting Grounds — classes DLC officielles
Développeur / catalogue du jeu
Portée : Classes Samurai, Viking, City Hunter ’97, Wolf, Mr. Black, Falconer et autres ; périmètre PHG, pas hiérarchie biologique universelle.
YC-S03 — Hunting Grounds introduces the Hunting Party
Source primaire officielle
Portée : Texte du CEO d’IllFonic : Captured, Mr. Black, Falconer et conflit décrit comme entre sous-espèces. Le clan de Captured est présenté comme une rumeur.</x:v>
      </x:c>
      <x:c r="L61" s="77" t="str">
        <x:v>https://store.necaonline.com/blogs/news/closer-look-predators-series-7-camo-cloaked-falconer-predator-action-figure
https://predator.illfonic.com/
https://blog.playstation.com/2021/12/15/predator-hunting-grounds-introduces-the-hunting-party/</x:v>
      </x:c>
      <x:c r="M61" s="70" t="str">
        <x:v>Catalogue présent (39871c45). Drone de reconnaissance présent ; cela ne prouve pas un acteur Falconer complet.</x:v>
      </x:c>
      <x:c r="N61" s="70" t="str">
        <x:v>Catalogue importé : https://github.com/darknigthmare/Yautja-hive-warriors/blob/39871c450379225de8174711237632e6aa883f04/js/data/BattleCatalog.js#L41-L51
Preuve ciblée : https://github.com/darknigthmare/Yautja-hive-warriors/blob/39871c450379225de8174711237632e6aa883f04/js/entities/FalconDrone.js#L1-L40</x:v>
      </x:c>
      <x:c r="O61" s="70" t="str">
        <x:v>Créer le porteur, le lien de commande, les limites du drone et les conséquences de sa perte ; sourcer toute capacité offensive ajoutée.</x:v>
      </x:c>
      <x:c r="P61" s="70" t="str">
        <x:v>Proposition : découverte d’un passage et transmission d’une position ; appareil matériel distingué du PNJ.</x:v>
      </x:c>
      <x:c r="Q61" s="70" t="str">
        <x:v>Proposition : un seul individu nommé par opération, compté dans son budget ; s’il est joué, compter le joueur séparément. Aucun clone de renfort. Le drone est un objet autonome avec son propre budget technique, pas un Yautja supplémentaire.</x:v>
      </x:c>
      <x:c r="R61" s="70" t="str">
        <x:v>Y/H : contexte 2010. Y/X, Y/Y ou trois camps : scénario original ou séquence distinctement sourcée.</x:v>
      </x:c>
      <x:c r="S61" s="70" t="str">
        <x:v>Réserve de Predators ; terrains PHG en preset de jeu</x:v>
      </x:c>
      <x:c r="T61" s="70" t="str">
        <x:v>Un appareil de reconnaissance n’autorise pas automatiquement bombardement, essaim ou vision omnisciente. Son utilisateur n’est pas une caste Falconer.
Ajouter cette preuve sans transformer son drone ou sa spécialité en caste universelle.</x:v>
      </x:c>
      <x:c r="U61" s="70" t="str">
        <x:v>P1</x:v>
      </x:c>
    </x:row>
    <x:row r="62" ht="184.5" hidden="0" customHeight="1">
      <x:c r="A62" s="71" t="str">
        <x:v>YAU-019</x:v>
      </x:c>
      <x:c r="B62" s="71" t="str">
        <x:v>Yautja</x:v>
      </x:c>
      <x:c r="C62" s="71" t="str">
        <x:v>Tracker — dossier de vérification</x:v>
      </x:c>
      <x:c r="D62" s="71" t="str">
        <x:v>Individu candidat, identité et équipement à confirmer</x:v>
      </x:c>
      <x:c r="E62" s="71" t="str">
        <x:v>exclu</x:v>
      </x:c>
      <x:c r="F62" s="71" t="str">
        <x:v>Predators (2010)</x:v>
      </x:c>
      <x:c r="G62" s="71" t="str">
        <x:v>Film / références de catalogue à inspecter</x:v>
      </x:c>
      <x:c r="H62" s="71" t="str">
        <x:v>À vérifier avant spawn : synopsis du film confirmé, nomenclature Tracker et comportement détaillé non établis par les pages primaires accessibles.</x:v>
      </x:c>
      <x:c r="I62" s="71" t="str">
        <x:v>À vérifier</x:v>
      </x:c>
      <x:c r="J62" s="71" t="str">
        <x:v>Le synopsis confirme des chasseurs sur une planète extraterrestre, mais ne détaille pas Tracker.</x:v>
      </x:c>
      <x:c r="K62" s="71" t="str">
        <x:v>Y-S12 — Predators — fiche officielle du film
20th Century Studios ; Studio / synopsis
Portée : Film sorti le 9 juillet 2010 ; humains chassés sur une planète extraterrestre par une nouvelle variété de prédateurs. Nomenclature des individus non détaillée.
Consulté le 2026-10-26
Y-S25 — Predator Action Figure Visual Guides 2022
NECA ; Référence visuelle primaire à consulter
Portée : Page du catalogue retrouvée ; images et liens de téléchargement inaccessibles durant la recherche. Ne valide donc pas Tracker ni ses capacités à elle seule.
Consulté le 2026-10-26</x:v>
      </x:c>
      <x:c r="L62" s="76" t="str">
        <x:v>https://www.20thcenturystudios.com/movies/predators
https://store.necaonline.com/blogs/news/12-days-of-downloads-2022-day-2-predator-action-figure-visual-guides</x:v>
      </x:c>
      <x:c r="M62" s="71" t="str">
        <x:v>Catalogue présent (39871c45). Aucun comportement dédié établi par ce contrôle ; une fiche source ne prouve pas un acteur spécialisé.</x:v>
      </x:c>
      <x:c r="N6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62" s="71" t="str">
        <x:v>Retrouver un support primaire lisible du personnage ; vérifier maître/chiens, équipements, scène et rôle avant de valider le profil ou la mine sonore.</x:v>
      </x:c>
      <x:c r="P62" s="71" t="str">
        <x:v>Proposition en attente : conduite de bêtes pour rabattre une cible, avec trajectoire et rappel ; aucune capacité encore certifiée.</x:v>
      </x:c>
      <x:c r="Q62" s="71" t="str">
        <x:v>Spawn autorisé : 0 tant que le dossier demeure à vérifier. Si validé, 1 individu et animaux comptés séparément.</x:v>
      </x:c>
      <x:c r="R62" s="71" t="str">
        <x:v>Aucun spawn autorisé à ce stade ; Y/H pressenti pour le contexte 2010, à confirmer par scène.</x:v>
      </x:c>
      <x:c r="S62" s="71" t="str">
        <x:v>Réserve de Predators, emplacement à documenter</x:v>
      </x:c>
      <x:c r="T62" s="71" t="str">
        <x:v>Un commentaire Canon 1:1 ou une proposition de forum utilisateur ne vaut pas source officielle. Le guide NECA trouvé n’a pas pu être inspecté en image.</x:v>
      </x:c>
      <x:c r="U62" s="71" t="str">
        <x:v>P2</x:v>
      </x:c>
    </x:row>
    <x:row r="63" ht="90" hidden="0" customHeight="1">
      <x:c r="A63" s="70" t="str">
        <x:v>YAU-020</x:v>
      </x:c>
      <x:c r="B63" s="70" t="str">
        <x:v>Yautja</x:v>
      </x:c>
      <x:c r="C63" s="70" t="str">
        <x:v>Fugitive Predator</x:v>
      </x:c>
      <x:c r="D63" s="70" t="str">
        <x:v>Individu poursuivi ; pas caste de fugitifs</x:v>
      </x:c>
      <x:c r="E63" s="70" t="str">
        <x:v>unique</x:v>
      </x:c>
      <x:c r="F63" s="70" t="str">
        <x:v>The Predator (2018)</x:v>
      </x:c>
      <x:c r="G63" s="70" t="str">
        <x:v>Film</x:v>
      </x:c>
      <x:c r="H63" s="70" t="str">
        <x:v>Confirmé dans cette œuvre ; les statistiques, groupes, cartes étendues et missions ajoutés sont des propositions de jeu.</x:v>
      </x:c>
      <x:c r="I63" s="70" t="str">
        <x:v>Confirmé dans l’œuvre</x:v>
      </x:c>
      <x:c r="J63" s="70" t="str">
        <x:v>La notice NECA de The Predator décrit l’Assassin à la poursuite du Fugitive.</x:v>
      </x:c>
      <x:c r="K63" s="70" t="str">
        <x:v>Y-S15 — The Predator (2018) — Armored Assassin
NECA ; Catalogue licencié
Portée : Assassin poursuit Fugitive ; modifications génétiques et exopeau renforcée. Les dimensions de figurine ne sont pas une mesure biologique.
Consulté le 2026-10-26</x:v>
      </x:c>
      <x:c r="L63" s="77" t="str">
        <x:v>https://store.necaonline.com/products/predator-2018-deluxe-armored-assassin-predator-12-inch-action-figure</x:v>
      </x:c>
      <x:c r="M63" s="70" t="str">
        <x:v>Catalogue présent (39871c45). Aucun comportement dédié établi par ce contrôle ; une fiche source ne prouve pas un acteur spécialisé.</x:v>
      </x:c>
      <x:c r="N6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63" s="70" t="str">
        <x:v>Créer l’individu, son objectif et ses alliances de mission ; vérifier les propriétés du masque avant d’en faire un buff de visée universel.</x:v>
      </x:c>
      <x:c r="P63" s="70" t="str">
        <x:v>Proposition : récupération ou extraction de technologie sous poursuite ; autonomie de déplacement et menace d’interception.</x:v>
      </x:c>
      <x:c r="Q63" s="70" t="str">
        <x:v>Proposition : un seul individu nommé par opération, compté dans son budget ; s’il est joué, compter le joueur séparément. Aucun clone de renfort.</x:v>
      </x:c>
      <x:c r="R63" s="70" t="str">
        <x:v>Y/Y : poursuite attestée. Présence humaine : périmètre film à documenter ; Y/X ou trois camps avec X = original.</x:v>
      </x:c>
      <x:c r="S63" s="70" t="str">
        <x:v>Projet Stargazer et environs, scènes à référencer ; stargazer_facility</x:v>
      </x:c>
      <x:c r="T63" s="70" t="str">
        <x:v>Fugitive est une désignation d’individu et de situation ; ne pas assimiler tous les bannis à des Bad Bloods ni à une caste.</x:v>
      </x:c>
      <x:c r="U63" s="70" t="str">
        <x:v>P1</x:v>
      </x:c>
    </x:row>
    <x:row r="64" ht="90" hidden="0" customHeight="1">
      <x:c r="A64" s="71" t="str">
        <x:v>YAU-021</x:v>
      </x:c>
      <x:c r="B64" s="71" t="str">
        <x:v>Yautja</x:v>
      </x:c>
      <x:c r="C64" s="71" t="str">
        <x:v>Assassin / Upgrade Predator</x:v>
      </x:c>
      <x:c r="D64" s="71" t="str">
        <x:v>Individu génétiquement modifié</x:v>
      </x:c>
      <x:c r="E64" s="71" t="str">
        <x:v>unique</x:v>
      </x:c>
      <x:c r="F64" s="71" t="str">
        <x:v>The Predator (2018)</x:v>
      </x:c>
      <x:c r="G64" s="71" t="str">
        <x:v>Film</x:v>
      </x:c>
      <x:c r="H64" s="71" t="str">
        <x:v>Confirmé dans cette œuvre ; les statistiques, groupes, cartes étendues et missions ajoutés sont des propositions de jeu.</x:v>
      </x:c>
      <x:c r="I64" s="71" t="str">
        <x:v>Confirmé dans l’œuvre</x:v>
      </x:c>
      <x:c r="J64" s="71" t="str">
        <x:v>NECA décrit l’Assassin comme génétiquement modifié, doté d’une exopeau renforcée et poursuivant le Fugitive.</x:v>
      </x:c>
      <x:c r="K64" s="71" t="str">
        <x:v>Y-S15 — The Predator (2018) — Armored Assassin
NECA ; Catalogue licencié
Portée : Assassin poursuit Fugitive ; modifications génétiques et exopeau renforcée. Les dimensions de figurine ne sont pas une mesure biologique.
Consulté le 2026-10-26</x:v>
      </x:c>
      <x:c r="L64" s="76" t="str">
        <x:v>https://store.necaonline.com/products/predator-2018-deluxe-armored-assassin-predator-12-inch-action-figure</x:v>
      </x:c>
      <x:c r="M64" s="71" t="str">
        <x:v>Catalogue présent (39871c45). Boss ultimate_upgrade_predator présent ; fidélité de l’individu filmique non certifiée.</x:v>
      </x:c>
      <x:c r="N64" s="71" t="str">
        <x:v>Catalogue importé : https://github.com/darknigthmare/Yautja-hive-warriors/blob/39871c450379225de8174711237632e6aa883f04/js/data/BattleCatalog.js#L41-L51
Preuve ciblée : https://github.com/darknigthmare/Yautja-hive-warriors/blob/39871c450379225de8174711237632e6aa883f04/js/data/BossRegistry.js#L22</x:v>
      </x:c>
      <x:c r="O64" s="71" t="str">
        <x:v>Distinguer ce profil de Mr. Black ; documenter les états d’armure et leur perte ; contrôler échelle, collisions et armes à partir des scènes.</x:v>
      </x:c>
      <x:c r="P64" s="71" t="str">
        <x:v>Proposition : adversaire lourd de poursuite, résistance localisée et phases d’armure vulnérables ; conséquences sur les routes d’extraction.</x:v>
      </x:c>
      <x:c r="Q64" s="71" t="str">
        <x:v>Proposition : un seul individu nommé par opération, compté dans son budget ; s’il est joué, compter le joueur séparément. Aucun clone de renfort.</x:v>
      </x:c>
      <x:c r="R64" s="71" t="str">
        <x:v>Y/Y : poursuite du Fugitive ; Y/H : scénario film à référencer ; Y/X et trois camps incluant X = original.</x:v>
      </x:c>
      <x:c r="S64" s="71" t="str">
        <x:v>Stargazer et forêt du film 2018, périmètre spatial à vérifier</x:v>
      </x:c>
      <x:c r="T64" s="71" t="str">
        <x:v>Une augmentation ne crée pas une caste naturelle. L’armure presque pare-balles de la notice ne signifie ni invincibilité ni immunité à tout projectile.</x:v>
      </x:c>
      <x:c r="U64" s="71" t="str">
        <x:v>P1</x:v>
      </x:c>
    </x:row>
    <x:row r="65" ht="171" hidden="0" customHeight="1">
      <x:c r="A65" s="70" t="str">
        <x:v>YAU-022</x:v>
      </x:c>
      <x:c r="B65" s="70" t="str">
        <x:v>Yautja</x:v>
      </x:c>
      <x:c r="C65" s="70" t="str">
        <x:v>Dek</x:v>
      </x:c>
      <x:c r="D65" s="70" t="str">
        <x:v>Individu jeune et exilé ; protagoniste</x:v>
      </x:c>
      <x:c r="E65" s="70" t="str">
        <x:v>unique</x:v>
      </x:c>
      <x:c r="F65" s="70" t="str">
        <x:v>Predator: Badlands (2025)</x:v>
      </x:c>
      <x:c r="G65" s="70" t="str">
        <x:v>Film</x:v>
      </x:c>
      <x:c r="H65" s="70" t="str">
        <x:v>Film sorti le 7 novembre 2025 ; futur lointain confirmé, année précise non établie. Personnage et relation locale attestés.</x:v>
      </x:c>
      <x:c r="I65" s="70" t="str">
        <x:v>Confirmé dans l’œuvre</x:v>
      </x:c>
      <x:c r="J65" s="70" t="str">
        <x:v>Dek, jeune Yautja exilé, parcourt Genna avec Thia, une synthétique Weyland-Yutani.</x:v>
      </x:c>
      <x:c r="K65" s="70" t="str">
        <x:v>Y-S16 — Predator: Badlands — fiche officielle du film
20th Century Studios ; Studio / synopsis et légendes
Portée : Sortie le 7 novembre 2025 ; Dek jeune exilé, alliance avec Thia. Kwei identifié dans les légendes ; aucune hiérarchie complète validée.
Consulté le 2026-10-26
Y-S17 — Predator: Badlands — personnages et intrigue
Disney+ ; Diffuseur officiel / article révisé le 12 février 2026
Portée : Genna, Dek, Thia synthétique Weyland-Yutani, Kwei frère aîné ; futur lointain sans année précise.
Consulté le 2026-10-26</x:v>
      </x:c>
      <x:c r="L65" s="77" t="str">
        <x:v>https://www.20thcenturystudios.com/movies/predator-badlands
https://www.disneyplus.com/explore/articles/predator-badlands-movie</x:v>
      </x:c>
      <x:c r="M65" s="70" t="str">
        <x:v>Catalogue présent (39871c45). Aucun comportement dédié établi par ce contrôle ; une fiche source ne prouve pas un acteur spécialisé.</x:v>
      </x:c>
      <x:c r="N6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65" s="70" t="str">
        <x:v>Créer la silhouette et les armes selon une fiche de scènes ; intégrer le soutien de Thia et une progression propre sans exporter ses relations à tous les clans.</x:v>
      </x:c>
      <x:c r="P65" s="70" t="str">
        <x:v>Proposition : protagoniste vulnérable, survie et coopération avec un soutien identifié ; forces de faune et dispositifs séparées des trois factions principales.</x:v>
      </x:c>
      <x:c r="Q65" s="70" t="str">
        <x:v>Proposition : un seul individu nommé par opération, compté dans son budget ; s’il est joué, compter le joueur séparément. Aucun clone de renfort.</x:v>
      </x:c>
      <x:c r="R65" s="70" t="str">
        <x:v>Y/faune et alliance avec une synthétique : contexte attesté. Y/H biologiques, Y/X ou guerre à trois camps = ajout original tant que non sourcé.</x:v>
      </x:c>
      <x:c r="S65" s="70" t="str">
        <x:v>Y-L01 — Genna</x:v>
      </x:c>
      <x:c r="T65" s="70" t="str">
        <x:v>Exilé et jeune ne prouvent ni Bad Blood ni Young Blood au sens AVP. Kwei est son frère aîné, pas un rang. Ne pas déduire une hiérarchie universelle d’un clan.</x:v>
      </x:c>
      <x:c r="U65" s="70" t="str">
        <x:v>P1</x:v>
      </x:c>
    </x:row>
    <x:row r="66" ht="228" hidden="0" customHeight="1">
      <x:c r="A66" s="71" t="str">
        <x:v>YAU-023</x:v>
      </x:c>
      <x:c r="B66" s="71" t="str">
        <x:v>Yautja</x:v>
      </x:c>
      <x:c r="C66" s="71" t="str">
        <x:v>Chasseurs de Killer of Killers — dossier par épisode</x:v>
      </x:c>
      <x:c r="D66" s="71" t="str">
        <x:v>Ensemble de personnages à identifier ; pas caste unique</x:v>
      </x:c>
      <x:c r="E66" s="71" t="str">
        <x:v>exclu</x:v>
      </x:c>
      <x:c r="F66" s="71" t="str">
        <x:v>Predator: Killer of Killers (2025)</x:v>
      </x:c>
      <x:c r="G66" s="71" t="str">
        <x:v>Film d’animation anthologique</x:v>
      </x:c>
      <x:c r="H66" s="71" t="str">
        <x:v>Film sorti le 6 juin 2025, pas série télévisée. Périmètres historiques confirmés ; identités, équipement et hiérarchie à vérifier.</x:v>
      </x:c>
      <x:c r="I66" s="71" t="str">
        <x:v>Dossier partiellement précisé : Oni identifié par IllFonic ; concepts et autres incarnations à contrôler.</x:v>
      </x:c>
      <x:c r="J66" s="71" t="str">
        <x:v>Le film d’animation confronte des combattants vikings, japonais féodaux et un pilote de la Seconde Guerre mondiale aux prédateurs.</x:v>
      </x:c>
      <x:c r="K66" s="71" t="str">
        <x:v>Y-S18 — Predator: Killer of Killers — fiche officielle
Studio / synopsis de film d’animation
Portée : Sortie le 6 juin 2025 ; épisodes viking, Japon féodal et aviation de la Seconde Guerre mondiale. Noms, rangs et arsenaux Yautja non détaillés.
YC-S21 — Predators — portfolio de Luis Carrasco
Source primaire de production
Portée : Témoignage du concept artist ayant travaillé chez The Third Floor : appellations de production Hulk Predator et Warlord Predator ; ne suffit pas à identifier toutes les scènes finales.
YC-S22 — Predator: Killer of Killers — fiche du studio
Source primaire officielle
Portée : Film d’animation, segments viking, Japon féodal et pilote de la Seconde Guerre mondiale ; aucun inventaire complet de rangs.
YC-S26 — IllFonic Developer Update
Source primaire officielle
Portée : Le développeur relie explicitement Oni de Hunting Grounds à Killer of Killers ; Witch est décrite comme une création originale du jeu.</x:v>
      </x:c>
      <x:c r="L66" s="76" t="str">
        <x:v>https://www.20thcenturystudios.com/movies/predator-killer-of-killers
https://luisdraws.artstation.com/projects/EzQAon
https://www.illfonic.com/news/illfonic-developer-update/</x:v>
      </x:c>
      <x:c r="M66" s="71" t="str">
        <x:v>Catalogue présent (39871c45). Boss apex_gladiator_predator présent comme adaptation ; pas inventaire complet de l’anthologie.</x:v>
      </x:c>
      <x:c r="N66" s="71" t="str">
        <x:v>Catalogue importé : https://github.com/darknigthmare/Yautja-hive-warriors/blob/39871c450379225de8174711237632e6aa883f04/js/data/BattleCatalog.js#L41-L51
Preuve ciblée : https://github.com/darknigthmare/Yautja-hive-warriors/blob/39871c450379225de8174711237632e6aa883f04/js/data/BossRegistry.js#L24</x:v>
      </x:c>
      <x:c r="O66" s="71" t="str">
        <x:v>Séparer les épisodes et relever les plans/armes/limites de chaque chasseur dans le film final ; conserver les concepts inutilisés hors du roster validé.</x:v>
      </x:c>
      <x:c r="P66" s="71" t="str">
        <x:v>Propositions après preuve : pression rapprochée historique, infiltration verticale, interception aérienne ; trois modules distincts.</x:v>
      </x:c>
      <x:c r="Q66" s="71" t="str">
        <x:v>Spawn autorisé : 0 pour les profils non documentés. Après validation, identité unique par épisode ; aucune fusion automatique avec les DLC PHG.</x:v>
      </x:c>
      <x:c r="R66" s="71" t="str">
        <x:v>Y/H : périmètre officiel. Y/X, guerre interclans et trois camps : original, à nommer comme tel.</x:v>
      </x:c>
      <x:c r="S66" s="71" t="str">
        <x:v>Y-L05 — Japon féodal de l’anthologie
Y-L06 — théâtre aérien de la Seconde Guerre mondiale</x:v>
      </x:c>
      <x:c r="T66" s="71" t="str">
        <x:v>Oni de Killer of Killers est relié au DLC PHG par IllFonic. Les concepts Hulk/Warlord ne prouvent pas une race ou une hiérarchie universelle. Les autres identités, arsenal et apparitions restent à documenter. Samurai/Viking PHG restent distincts.</x:v>
      </x:c>
      <x:c r="U66" s="71" t="str">
        <x:v>P2</x:v>
      </x:c>
    </x:row>
    <x:row r="67" ht="90" hidden="0" customHeight="1">
      <x:c r="A67" s="70" t="str">
        <x:v>YAU-024</x:v>
      </x:c>
      <x:c r="B67" s="70" t="str">
        <x:v>Yautja</x:v>
      </x:c>
      <x:c r="C67" s="70" t="str">
        <x:v>Bad Blood — individu du comic</x:v>
      </x:c>
      <x:c r="D67" s="70" t="str">
        <x:v>Individu renégat ; statut moral/social à contextualiser</x:v>
      </x:c>
      <x:c r="E67" s="70" t="str">
        <x:v>unique</x:v>
      </x:c>
      <x:c r="F67" s="70" t="str">
        <x:v>Predator: Bad Blood (Dark Horse)</x:v>
      </x:c>
      <x:c r="G67" s="70" t="str">
        <x:v>Comic</x:v>
      </x:c>
      <x:c r="H67" s="70" t="str">
        <x:v>Confirmé dans cette série de comics uniquement ; les liens vers les films ou autres séries exigent une référence explicite.</x:v>
      </x:c>
      <x:c r="I67" s="70" t="str">
        <x:v>Confirmé dans l’œuvre</x:v>
      </x:c>
      <x:c r="J67" s="70" t="str">
        <x:v>NECA attribue Bad Blood et Enforcer à la série de comics Predator: Bad Blood.</x:v>
      </x:c>
      <x:c r="K67" s="70" t="str">
        <x:v>Y-S19 — Ultimate Bad Blood &amp; Enforcer — série Dark Horse
NECA ; Catalogue licencié
Portée : Attribue les deux individus au comic Predator: Bad Blood ; pas définition universelle d’un rang ou d’une police Yautja.
Consulté le 2026-10-26</x:v>
      </x:c>
      <x:c r="L67" s="77" t="str">
        <x:v>https://store.necaonline.com/blogs/news/shipping-this-week-nightmare-on-elm-street-accessory-set-ultimate-bad-blood-enforcer-predator-2-pack-1</x:v>
      </x:c>
      <x:c r="M67" s="70" t="str">
        <x:v>Catalogue présent (39871c45). Type bad_blood générique disponible ; pas preuve de l’individu du comic.</x:v>
      </x:c>
      <x:c r="N67" s="70" t="str">
        <x:v>Catalogue importé : https://github.com/darknigthmare/Yautja-hive-warriors/blob/39871c450379225de8174711237632e6aa883f04/js/data/BattleCatalog.js#L41-L51
Preuve ciblée : https://github.com/darknigthmare/Yautja-hive-warriors/blob/39871c450379225de8174711237632e6aa883f04/js/entities/YautjaAllies.js#L74-L80</x:v>
      </x:c>
      <x:c r="O67" s="70" t="str">
        <x:v>Relier l’adversaire au comic ou le renommer renégat original ; référencer ses armes et objectifs ; remplacer l’apparition systématique par une cause de mission.</x:v>
      </x:c>
      <x:c r="P67" s="70" t="str">
        <x:v>Proposition : menace indépendante qui attaque les intérêts de plusieurs camps et perturbe un front.</x:v>
      </x:c>
      <x:c r="Q67" s="70" t="str">
        <x:v>Proposition : un seul individu nommé par opération, compté dans son budget ; s’il est joué, compter le joueur séparément. Aucun clone de renfort.</x:v>
      </x:c>
      <x:c r="R67" s="70" t="str">
        <x:v>Y/Y : conflit du dossier Bad Blood/Enforcer ; Y/H et lieux précis à vérifier dans le comic ; X et trois camps = original.</x:v>
      </x:c>
      <x:c r="S67" s="70" t="str">
        <x:v>Lieu du comic à référencer avant reconstitution ; opération de clan originale</x:v>
      </x:c>
      <x:c r="T67" s="70" t="str">
        <x:v>Bad Blood n’est pas une sous-espèce. La notice ne prouve pas une liste universelle de crimes ni que refuser l’autodestruction rend automatiquement renégat.</x:v>
      </x:c>
      <x:c r="U67" s="70" t="str">
        <x:v>P1</x:v>
      </x:c>
    </x:row>
    <x:row r="68" ht="157.5" hidden="0" customHeight="1">
      <x:c r="A68" s="71" t="str">
        <x:v>YAU-025</x:v>
      </x:c>
      <x:c r="B68" s="71" t="str">
        <x:v>Yautja</x:v>
      </x:c>
      <x:c r="C68" s="71" t="str">
        <x:v>Enforcer — individu du comic</x:v>
      </x:c>
      <x:c r="D68" s="71" t="str">
        <x:v>Individu exerçant une fonction de traque</x:v>
      </x:c>
      <x:c r="E68" s="71" t="str">
        <x:v>unique</x:v>
      </x:c>
      <x:c r="F68" s="71" t="str">
        <x:v>Predator: Bad Blood (Dark Horse)</x:v>
      </x:c>
      <x:c r="G68" s="71" t="str">
        <x:v>Comic</x:v>
      </x:c>
      <x:c r="H68" s="71" t="str">
        <x:v>Confirmé dans cette série de comics uniquement ; les liens vers les films ou autres séries exigent une référence explicite.</x:v>
      </x:c>
      <x:c r="I68" s="71" t="str">
        <x:v>Confirmé dans l’œuvre</x:v>
      </x:c>
      <x:c r="J68" s="71" t="str">
        <x:v>NECA décrit l’Enforcer de Predator: Bad Blood comme un chasseur de Bad Bloods.</x:v>
      </x:c>
      <x:c r="K68" s="71" t="str">
        <x:v>Y-S20 — Closer Look: Enforcer Predator
NECA ; Catalogue licencié
Portée : Enforcer associé au comic de Dorkin et Thompson et à la traque des Bad Bloods ; pages du comic encore nécessaires aux détails.
Consulté le 2026-10-26
Y-S19 — Ultimate Bad Blood &amp; Enforcer — série Dark Horse
NECA ; Catalogue licencié
Portée : Attribue les deux individus au comic Predator: Bad Blood ; pas définition universelle d’un rang ou d’une police Yautja.
Consulté le 2026-10-26</x:v>
      </x:c>
      <x:c r="L68" s="76" t="str">
        <x:v>https://store.necaonline.com/blogs/behind-the-scenes/closer-look-enforcer-predator-action-figure-from-series-12
https://store.necaonline.com/blogs/news/shipping-this-week-nightmare-on-elm-street-accessory-set-ultimate-bad-blood-enforcer-predator-2-pack-1</x:v>
      </x:c>
      <x:c r="M68" s="71" t="str">
        <x:v>Catalogue présent (39871c45). Aucun comportement dédié établi par ce contrôle ; une fiche source ne prouve pas un acteur spécialisé.</x:v>
      </x:c>
      <x:c r="N6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68" s="71" t="str">
        <x:v>Créer une mission de traque et des preuves d’identité ; vérifier pages et équipement du comic ; distinguer police de scénario et institution universelle.</x:v>
      </x:c>
      <x:c r="P68" s="71" t="str">
        <x:v>Proposition : intercepteur avec mandat, suivi de cible et exigence de récupération ; allié ponctuel ou rival selon le mandat.</x:v>
      </x:c>
      <x:c r="Q68" s="71" t="str">
        <x:v>Proposition : un seul individu nommé par opération, compté dans son budget ; s’il est joué, compter le joueur séparément. Aucun clone de renfort.</x:v>
      </x:c>
      <x:c r="R68" s="71" t="str">
        <x:v>Y/Y : traque attestée par la notice ; humains et trois camps exigent scénario clairement défini ; X = crossover original.</x:v>
      </x:c>
      <x:c r="S68" s="71" t="str">
        <x:v>Lieu du comic à vérifier ; territoires de guerre du clan originaux</x:v>
      </x:c>
      <x:c r="T68" s="71" t="str">
        <x:v>Enforcer décrit ici une fonction/individu. Aucun Clan Apex ni corps de police universel n’est établi par ces notices ; ne pas confondre avec Assassin 2018.</x:v>
      </x:c>
      <x:c r="U68" s="71" t="str">
        <x:v>P1</x:v>
      </x:c>
    </x:row>
    <x:row r="69" ht="90" hidden="0" customHeight="1">
      <x:c r="A69" s="70" t="str">
        <x:v>YAU-026</x:v>
      </x:c>
      <x:c r="B69" s="70" t="str">
        <x:v>Yautja</x:v>
      </x:c>
      <x:c r="C69" s="70" t="str">
        <x:v>Super Predator de The Last Hunt</x:v>
      </x:c>
      <x:c r="D69" s="70" t="str">
        <x:v>Individu ou variante nommé dans une série de comics</x:v>
      </x:c>
      <x:c r="E69" s="70" t="str">
        <x:v>unique</x:v>
      </x:c>
      <x:c r="F69" s="70" t="str">
        <x:v>Predator: The Last Hunt (2024)</x:v>
      </x:c>
      <x:c r="G69" s="70" t="str">
        <x:v>Comic</x:v>
      </x:c>
      <x:c r="H69" s="70" t="str">
        <x:v>Confirmé dans cette série de comics uniquement ; les liens vers les films ou autres séries exigent une référence explicite.</x:v>
      </x:c>
      <x:c r="I69" s="70" t="str">
        <x:v>Confirmé dans l’œuvre</x:v>
      </x:c>
      <x:c r="J69" s="70" t="str">
        <x:v>Marvel annonce un Super Predator menaçant Theta dans une intrigue liée à une réserve de captifs humains.</x:v>
      </x:c>
      <x:c r="K69" s="70" t="str">
        <x:v>Y-S21 — Predator: The Last Hunt — recueil officiel
Marvel ; Éditeur / synopsis de recueil
Portée : Recueil du 16 octobre 2024 ; Theta, réserve de captifs humains et Super Predator. Notice indexée consultée ; ouverture directe HTTP 403.
Consulté le 2026-10-26</x:v>
      </x:c>
      <x:c r="L69" s="77" t="str">
        <x:v>https://www.marvel.com/comics/collection/110461/predator_the_last_hunt_trade_paperback</x:v>
      </x:c>
      <x:c r="M69" s="70" t="str">
        <x:v>Catalogue présent (39871c45). Aucun comportement dédié établi par ce contrôle ; une fiche source ne prouve pas un acteur spécialisé.</x:v>
      </x:c>
      <x:c r="N6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69" s="70" t="str">
        <x:v>Lire et référencer les pages pour identité, armure, arsenal et géographie ; créer un profil distinct du film 2010 et de l’Upgrade 2018.</x:v>
      </x:c>
      <x:c r="P69" s="70" t="str">
        <x:v>Proposition : adversaire de libération de captifs, défense d’un accès et interception ; plan de mission original après étude des pages.</x:v>
      </x:c>
      <x:c r="Q69" s="70" t="str">
        <x:v>Proposition : un seul individu nommé par opération, compté dans son budget ; s’il est joué, compter le joueur séparément. Aucun clone de renfort.</x:v>
      </x:c>
      <x:c r="R69" s="70" t="str">
        <x:v>Y/H : affrontement annoncé par Marvel. Y/X ou trois camps : original ; aucune continuité commune déduite du même mot Super.</x:v>
      </x:c>
      <x:c r="S69" s="70" t="str">
        <x:v>Y-L04 — réserve de captifs de The Last Hunt</x:v>
      </x:c>
      <x:c r="T69" s="70" t="str">
        <x:v>La notice confirme le nom descriptif et le conflit, pas une caste universelle ni l’identité de Mr. Black. Nom exact de planète et cartographie à vérifier.</x:v>
      </x:c>
      <x:c r="U69" s="70" t="str">
        <x:v>P2</x:v>
      </x:c>
    </x:row>
    <x:row r="70" ht="103.5" hidden="0" customHeight="1">
      <x:c r="A70" s="71" t="str">
        <x:v>YAU-027</x:v>
      </x:c>
      <x:c r="B70" s="71" t="str">
        <x:v>Yautja</x:v>
      </x:c>
      <x:c r="C70" s="71" t="str">
        <x:v>Scarface</x:v>
      </x:c>
      <x:c r="D70" s="71" t="str">
        <x:v>Individu de jeu ; exilé en quête de rédemption</x:v>
      </x:c>
      <x:c r="E70" s="71" t="str">
        <x:v>unique</x:v>
      </x:c>
      <x:c r="F70" s="71" t="str">
        <x:v>Predator: Concrete Jungle (2005)</x:v>
      </x:c>
      <x:c r="G70" s="71" t="str">
        <x:v>Jeu</x:v>
      </x:c>
      <x:c r="H70" s="71" t="str">
        <x:v>Confirmé dans la continuité du jeu via le catalogue licencié ; les films ne reprennent pas automatiquement son histoire.</x:v>
      </x:c>
      <x:c r="I70" s="71" t="str">
        <x:v>Confirmé dans l’œuvre</x:v>
      </x:c>
      <x:c r="J70" s="71" t="str">
        <x:v>Scarface revient d’exil pour récupérer à Neonopolis la technologie Yautja exploitée par des humains.</x:v>
      </x:c>
      <x:c r="K70" s="71" t="str">
        <x:v>Y-S22 — Ultimate Scarface — Concrete Jungle
NECA ; Catalogue licencié
Portée : Scarface, exil puis récupération de technologie à Neonopolis dans le jeu 2005 ; noms et prémisse, pas plan spatial certifié.
Consulté le 2026-10-26</x:v>
      </x:c>
      <x:c r="L70" s="76" t="str">
        <x:v>https://store.necaonline.com/blogs/behind-the-scenes/closer-look-video-game-appearance-ultimate-scarface-predator</x:v>
      </x:c>
      <x:c r="M70" s="71" t="str">
        <x:v>Catalogue présent (39871c45). Aucun comportement dédié établi par ce contrôle ; une fiche source ne prouve pas un acteur spécialisé.</x:v>
      </x:c>
      <x:c r="N7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0" s="71" t="str">
        <x:v>Créer l’individu et sa campagne urbaine ; vérifier armes et factions dans le jeu ; séparer héritage d’armurerie et mission réellement intégrée.</x:v>
      </x:c>
      <x:c r="P70" s="71" t="str">
        <x:v>Proposition : récupération d’objets, neutralisation de relais industriels et rupture des transferts technologiques.</x:v>
      </x:c>
      <x:c r="Q70" s="71" t="str">
        <x:v>Proposition : un seul individu nommé par opération, compté dans son budget ; s’il est joué, compter le joueur séparément. Aucun clone de renfort.</x:v>
      </x:c>
      <x:c r="R70" s="71" t="str">
        <x:v>Y/H : conflit de Neonopolis attesté ; Y/Y avec Stone Heart selon contexte du jeu ; X ou trois camps à documenter ou mode original.</x:v>
      </x:c>
      <x:c r="S70" s="71" t="str">
        <x:v>Y-L03 — Neonopolis</x:v>
      </x:c>
      <x:c r="T70" s="71" t="str">
        <x:v>Scarface ne correspond ni à Scar d’AVP ni au City Hunter. L’exil ne suffit pas à établir un rang Bad Blood ; arsenal accessible au joueur à vérifier.</x:v>
      </x:c>
      <x:c r="U70" s="71" t="str">
        <x:v>P1</x:v>
      </x:c>
    </x:row>
    <x:row r="71" ht="76.5" hidden="0" customHeight="1">
      <x:c r="A71" s="70" t="str">
        <x:v>YAU-028</x:v>
      </x:c>
      <x:c r="B71" s="70" t="str">
        <x:v>Yautja</x:v>
      </x:c>
      <x:c r="C71" s="70" t="str">
        <x:v>Stone Heart</x:v>
      </x:c>
      <x:c r="D71" s="70" t="str">
        <x:v>Individu Yautja transformé en cyborg</x:v>
      </x:c>
      <x:c r="E71" s="70" t="str">
        <x:v>unique</x:v>
      </x:c>
      <x:c r="F71" s="70" t="str">
        <x:v>Predator: Concrete Jungle (2005)</x:v>
      </x:c>
      <x:c r="G71" s="70" t="str">
        <x:v>Jeu</x:v>
      </x:c>
      <x:c r="H71" s="70" t="str">
        <x:v>Augmentation et conditionnement individuels confirmés dans la notice licenciée du jeu ; pas variante naturelle ni synthétique humain.</x:v>
      </x:c>
      <x:c r="I71" s="70" t="str">
        <x:v>Confirmé dans l’œuvre</x:v>
      </x:c>
      <x:c r="J71" s="70" t="str">
        <x:v>Borgia Industries capture Stone Heart, l’augmente et le conditionne pour en faire un cyborg.</x:v>
      </x:c>
      <x:c r="K71" s="70" t="str">
        <x:v>Y-S23 — Concrete Jungle — Stone Heart
NECA ; Catalogue licencié
Portée : Stone Heart capturé, augmenté et conditionné par Borgia Industries ; cyborg individuel, pas sous-espèce naturelle.
Consulté le 2026-10-26</x:v>
      </x:c>
      <x:c r="L71" s="77" t="str">
        <x:v>https://store.necaonline.com/products/predator-7-scale-action-figure-concrete-jungle-stone-heart-predator</x:v>
      </x:c>
      <x:c r="M71" s="70" t="str">
        <x:v>Catalogue présent (39871c45). Aucun comportement dédié établi par ce contrôle ; une fiche source ne prouve pas un acteur spécialisé.</x:v>
      </x:c>
      <x:c r="N7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1" s="70" t="str">
        <x:v>Créer identité, silhouette augmentée, contrôleur et états de libération ; vérifier ses attaques dans le jeu avant d’établir le boss.</x:v>
      </x:c>
      <x:c r="P71" s="70" t="str">
        <x:v>Proposition : garde de complexe industriel, dispositifs de contrôle comme objectifs et changement d’allégeance seulement si le scénario le prévoit.</x:v>
      </x:c>
      <x:c r="Q71" s="70" t="str">
        <x:v>Proposition : un seul individu nommé par opération, compté dans son budget ; s’il est joué, compter le joueur séparément. Aucun clone de renfort.</x:v>
      </x:c>
      <x:c r="R71" s="70" t="str">
        <x:v>Y/Y et implication d’une organisation humaine : contexte du jeu ; alliance avec tous les humains exclue ; Y/X ou trois camps = à documenter/original.</x:v>
      </x:c>
      <x:c r="S71" s="70" t="str">
        <x:v>Y-L03 — Neonopolis / installations Borgia à référencer</x:v>
      </x:c>
      <x:c r="T71" s="70" t="str">
        <x:v>Cyborg désigne une transformation, pas une caste. Ne pas le classer synthétique Weyland-Yutani ni fusionner sa technologie avec l’Assassin génétique 2018.</x:v>
      </x:c>
      <x:c r="U71" s="70" t="str">
        <x:v>P2</x:v>
      </x:c>
    </x:row>
    <x:row r="72" ht="103.5" hidden="0" customHeight="1">
      <x:c r="A72" s="71" t="str">
        <x:v>YAU-029</x:v>
      </x:c>
      <x:c r="B72" s="71" t="str">
        <x:v>Yautja</x:v>
      </x:c>
      <x:c r="C72" s="71" t="str">
        <x:v>Brawler</x:v>
      </x:c>
      <x:c r="D72" s="71" t="str">
        <x:v>Classe tactique de jeu ; pas un rang biologique</x:v>
      </x:c>
      <x:c r="E72" s="71" t="str">
        <x:v>Profil de jeu autorisé uniquement dans son preset</x:v>
      </x:c>
      <x:c r="F72" s="71" t="str">
        <x:v>Aliens Versus Predator: Extinction</x:v>
      </x:c>
      <x:c r="G72" s="71" t="str">
        <x:v>Jeu</x:v>
      </x:c>
      <x:c r="H72" s="71" t="str">
        <x:v>AVP / Extinction ; profil distinct de Hunting Grounds et des films</x:v>
      </x:c>
      <x:c r="I72" s="71" t="str">
        <x:v>Nom attesté dans le manuel officiel ; adaptation musou proposée</x:v>
      </x:c>
      <x:c r="J72" s="71" t="str">
        <x:v>Brawler figure au roster Predator.</x:v>
      </x:c>
      <x:c r="K72"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2" s="76" t="str">
        <x:v>https://gamingalexandria.com/ps2/Aliens%20Versus%20Predator%20Extinction/Aliens%20Versus%20Predator%20Extinction%20-%20Manual.pdf</x:v>
      </x:c>
      <x:c r="M72" s="71" t="str">
        <x:v>Catalogue présent (39871c45). Aucun comportement dédié établi par ce contrôle ; une fiche source ne prouve pas un acteur spécialisé.</x:v>
      </x:c>
      <x:c r="N7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2" s="71" t="str">
        <x:v>Créer silhouette, équipement, IA et coûts de rôle propres au preset Extinction. Les propositions de bataille ne valident pas l’ensemble des capacités originales.</x:v>
      </x:c>
      <x:c r="P72" s="71" t="str">
        <x:v>Combattant de mêlée ; proposition de conversion en bataille musou.</x:v>
      </x:c>
      <x:c r="Q72" s="71" t="str">
        <x:v>Rôle choisi dans une cellule finie de quatre ; appuis lourds rares et escorte incluse dans les budgets.</x:v>
      </x:c>
      <x:c r="R72" s="71" t="str">
        <x:v>Y-X ; Y-H ; X-Y-H dans le cadre Extinction ; Y-Y uniquement scénario original</x:v>
      </x:c>
      <x:c r="S72" s="71" t="str">
        <x:v>X-L01 — LV-742 — zones de guerre d’Extinction</x:v>
      </x:c>
      <x:c r="T72" s="71" t="str">
        <x:v>Ne pas transformer une classe de RTS en caste universelle. Aucun bonus chiffré ni arbre d’amélioration imposé aux films. La plateforme matérielle ne représente pas un Yautja supplémentaire.</x:v>
      </x:c>
      <x:c r="U72" s="71" t="str">
        <x:v>P1</x:v>
      </x:c>
    </x:row>
    <x:row r="73" ht="103.5" hidden="0" customHeight="1">
      <x:c r="A73" s="70" t="str">
        <x:v>YAU-030</x:v>
      </x:c>
      <x:c r="B73" s="70" t="str">
        <x:v>Yautja</x:v>
      </x:c>
      <x:c r="C73" s="70" t="str">
        <x:v>Hunter — Extinction</x:v>
      </x:c>
      <x:c r="D73" s="70" t="str">
        <x:v>Classe tactique de jeu ; pas un rang biologique</x:v>
      </x:c>
      <x:c r="E73" s="70" t="str">
        <x:v>Profil de jeu autorisé uniquement dans son preset</x:v>
      </x:c>
      <x:c r="F73" s="70" t="str">
        <x:v>Aliens Versus Predator: Extinction</x:v>
      </x:c>
      <x:c r="G73" s="70" t="str">
        <x:v>Jeu</x:v>
      </x:c>
      <x:c r="H73" s="70" t="str">
        <x:v>AVP / Extinction ; profil distinct de Hunting Grounds et des films</x:v>
      </x:c>
      <x:c r="I73" s="70" t="str">
        <x:v>Nom attesté dans le manuel officiel ; adaptation musou proposée</x:v>
      </x:c>
      <x:c r="J73" s="70" t="str">
        <x:v>Hunter figure au roster Predator.</x:v>
      </x:c>
      <x:c r="K73"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3" s="77" t="str">
        <x:v>https://gamingalexandria.com/ps2/Aliens%20Versus%20Predator%20Extinction/Aliens%20Versus%20Predator%20Extinction%20-%20Manual.pdf</x:v>
      </x:c>
      <x:c r="M73" s="70" t="str">
        <x:v>Catalogue présent (39871c45). Aucun comportement dédié établi par ce contrôle ; une fiche source ne prouve pas un acteur spécialisé.</x:v>
      </x:c>
      <x:c r="N7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3" s="70" t="str">
        <x:v>Créer silhouette, équipement, IA et coûts de rôle propres au preset Extinction. Les propositions de bataille ne valident pas l’ensemble des capacités originales.</x:v>
      </x:c>
      <x:c r="P73" s="70" t="str">
        <x:v>Appui de tir ; proposition de conversion en bataille musou.</x:v>
      </x:c>
      <x:c r="Q73" s="70" t="str">
        <x:v>Rôle choisi dans une cellule finie de quatre ; appuis lourds rares et escorte incluse dans les budgets.</x:v>
      </x:c>
      <x:c r="R73" s="70" t="str">
        <x:v>Y-X ; Y-H ; X-Y-H dans le cadre Extinction ; Y-Y uniquement scénario original</x:v>
      </x:c>
      <x:c r="S73" s="70" t="str">
        <x:v>X-L01 — LV-742 — zones de guerre d’Extinction</x:v>
      </x:c>
      <x:c r="T73" s="70" t="str">
        <x:v>Ne pas transformer une classe de RTS en caste universelle. Aucun bonus chiffré ni arbre d’amélioration imposé aux films. La plateforme matérielle ne représente pas un Yautja supplémentaire.</x:v>
      </x:c>
      <x:c r="U73" s="70" t="str">
        <x:v>P1</x:v>
      </x:c>
    </x:row>
    <x:row r="74" ht="103.5" hidden="0" customHeight="1">
      <x:c r="A74" s="71" t="str">
        <x:v>YAU-031</x:v>
      </x:c>
      <x:c r="B74" s="71" t="str">
        <x:v>Yautja</x:v>
      </x:c>
      <x:c r="C74" s="71" t="str">
        <x:v>Spear Master</x:v>
      </x:c>
      <x:c r="D74" s="71" t="str">
        <x:v>Classe tactique de jeu ; pas un rang biologique</x:v>
      </x:c>
      <x:c r="E74" s="71" t="str">
        <x:v>Profil de jeu autorisé uniquement dans son preset</x:v>
      </x:c>
      <x:c r="F74" s="71" t="str">
        <x:v>Aliens Versus Predator: Extinction</x:v>
      </x:c>
      <x:c r="G74" s="71" t="str">
        <x:v>Jeu</x:v>
      </x:c>
      <x:c r="H74" s="71" t="str">
        <x:v>AVP / Extinction ; profil distinct de Hunting Grounds et des films</x:v>
      </x:c>
      <x:c r="I74" s="71" t="str">
        <x:v>Nom attesté dans le manuel officiel ; adaptation musou proposée</x:v>
      </x:c>
      <x:c r="J74" s="71" t="str">
        <x:v>Spear Master figure au roster Predator.</x:v>
      </x:c>
      <x:c r="K74"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4" s="76" t="str">
        <x:v>https://gamingalexandria.com/ps2/Aliens%20Versus%20Predator%20Extinction/Aliens%20Versus%20Predator%20Extinction%20-%20Manual.pdf</x:v>
      </x:c>
      <x:c r="M74" s="71" t="str">
        <x:v>Catalogue présent (39871c45). Aucun comportement dédié établi par ce contrôle ; une fiche source ne prouve pas un acteur spécialisé.</x:v>
      </x:c>
      <x:c r="N7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4" s="71" t="str">
        <x:v>Créer silhouette, équipement, IA et coûts de rôle propres au preset Extinction. Les propositions de bataille ne valident pas l’ensemble des capacités originales.</x:v>
      </x:c>
      <x:c r="P74" s="71" t="str">
        <x:v>Garde de passage ; proposition de conversion en bataille musou.</x:v>
      </x:c>
      <x:c r="Q74" s="71" t="str">
        <x:v>Rôle choisi dans une cellule finie de quatre ; appuis lourds rares et escorte incluse dans les budgets.</x:v>
      </x:c>
      <x:c r="R74" s="71" t="str">
        <x:v>Y-X ; Y-H ; X-Y-H dans le cadre Extinction ; Y-Y uniquement scénario original</x:v>
      </x:c>
      <x:c r="S74" s="71" t="str">
        <x:v>X-L01 — LV-742 — zones de guerre d’Extinction</x:v>
      </x:c>
      <x:c r="T74" s="71" t="str">
        <x:v>Ne pas transformer une classe de RTS en caste universelle. Aucun bonus chiffré ni arbre d’amélioration imposé aux films. La plateforme matérielle ne représente pas un Yautja supplémentaire.</x:v>
      </x:c>
      <x:c r="U74" s="71" t="str">
        <x:v>P1</x:v>
      </x:c>
    </x:row>
    <x:row r="75" ht="103.5" hidden="0" customHeight="1">
      <x:c r="A75" s="70" t="str">
        <x:v>YAU-032</x:v>
      </x:c>
      <x:c r="B75" s="70" t="str">
        <x:v>Yautja</x:v>
      </x:c>
      <x:c r="C75" s="70" t="str">
        <x:v>Stalker — Extinction</x:v>
      </x:c>
      <x:c r="D75" s="70" t="str">
        <x:v>Classe tactique de jeu ; pas un rang biologique</x:v>
      </x:c>
      <x:c r="E75" s="70" t="str">
        <x:v>Profil de jeu autorisé uniquement dans son preset</x:v>
      </x:c>
      <x:c r="F75" s="70" t="str">
        <x:v>Aliens Versus Predator: Extinction</x:v>
      </x:c>
      <x:c r="G75" s="70" t="str">
        <x:v>Jeu</x:v>
      </x:c>
      <x:c r="H75" s="70" t="str">
        <x:v>AVP / Extinction ; profil distinct de Hunting Grounds et des films</x:v>
      </x:c>
      <x:c r="I75" s="70" t="str">
        <x:v>Nom attesté dans le manuel officiel ; adaptation musou proposée</x:v>
      </x:c>
      <x:c r="J75" s="70" t="str">
        <x:v>Stalker figure au roster Predator.</x:v>
      </x:c>
      <x:c r="K75"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5" s="77" t="str">
        <x:v>https://gamingalexandria.com/ps2/Aliens%20Versus%20Predator%20Extinction/Aliens%20Versus%20Predator%20Extinction%20-%20Manual.pdf</x:v>
      </x:c>
      <x:c r="M75" s="70" t="str">
        <x:v>Catalogue présent (39871c45). Aucun comportement dédié établi par ce contrôle ; une fiche source ne prouve pas un acteur spécialisé.</x:v>
      </x:c>
      <x:c r="N7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5" s="70" t="str">
        <x:v>Créer silhouette, équipement, IA et coûts de rôle propres au preset Extinction. Les propositions de bataille ne valident pas l’ensemble des capacités originales.</x:v>
      </x:c>
      <x:c r="P75" s="70" t="str">
        <x:v>Traque à distance ; proposition de conversion en bataille musou.</x:v>
      </x:c>
      <x:c r="Q75" s="70" t="str">
        <x:v>Rôle choisi dans une cellule finie de quatre ; appuis lourds rares et escorte incluse dans les budgets.</x:v>
      </x:c>
      <x:c r="R75" s="70" t="str">
        <x:v>Y-X ; Y-H ; X-Y-H dans le cadre Extinction ; Y-Y uniquement scénario original</x:v>
      </x:c>
      <x:c r="S75" s="70" t="str">
        <x:v>X-L01 — LV-742 — zones de guerre d’Extinction</x:v>
      </x:c>
      <x:c r="T75" s="70" t="str">
        <x:v>Ne pas transformer une classe de RTS en caste universelle. Aucun bonus chiffré ni arbre d’amélioration imposé aux films. La plateforme matérielle ne représente pas un Yautja supplémentaire.</x:v>
      </x:c>
      <x:c r="U75" s="70" t="str">
        <x:v>P1</x:v>
      </x:c>
    </x:row>
    <x:row r="76" ht="103.5" hidden="0" customHeight="1">
      <x:c r="A76" s="71" t="str">
        <x:v>YAU-033</x:v>
      </x:c>
      <x:c r="B76" s="71" t="str">
        <x:v>Yautja</x:v>
      </x:c>
      <x:c r="C76" s="71" t="str">
        <x:v>Disc Master</x:v>
      </x:c>
      <x:c r="D76" s="71" t="str">
        <x:v>Classe tactique de jeu ; pas un rang biologique</x:v>
      </x:c>
      <x:c r="E76" s="71" t="str">
        <x:v>Profil de jeu autorisé uniquement dans son preset</x:v>
      </x:c>
      <x:c r="F76" s="71" t="str">
        <x:v>Aliens Versus Predator: Extinction</x:v>
      </x:c>
      <x:c r="G76" s="71" t="str">
        <x:v>Jeu</x:v>
      </x:c>
      <x:c r="H76" s="71" t="str">
        <x:v>AVP / Extinction ; profil distinct de Hunting Grounds et des films</x:v>
      </x:c>
      <x:c r="I76" s="71" t="str">
        <x:v>Nom attesté dans le manuel officiel ; adaptation musou proposée</x:v>
      </x:c>
      <x:c r="J76" s="71" t="str">
        <x:v>Disc Master figure au roster Predator.</x:v>
      </x:c>
      <x:c r="K76"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6" s="76" t="str">
        <x:v>https://gamingalexandria.com/ps2/Aliens%20Versus%20Predator%20Extinction/Aliens%20Versus%20Predator%20Extinction%20-%20Manual.pdf</x:v>
      </x:c>
      <x:c r="M76" s="71" t="str">
        <x:v>Catalogue présent (39871c45). Aucun comportement dédié établi par ce contrôle ; une fiche source ne prouve pas un acteur spécialisé.</x:v>
      </x:c>
      <x:c r="N7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6" s="71" t="str">
        <x:v>Créer silhouette, équipement, IA et coûts de rôle propres au preset Extinction. Les propositions de bataille ne valident pas l’ensemble des capacités originales.</x:v>
      </x:c>
      <x:c r="P76" s="71" t="str">
        <x:v>Contrôle d’une ligne ouverte ; proposition de conversion en bataille musou.</x:v>
      </x:c>
      <x:c r="Q76" s="71" t="str">
        <x:v>Rôle choisi dans une cellule finie de quatre ; appuis lourds rares et escorte incluse dans les budgets.</x:v>
      </x:c>
      <x:c r="R76" s="71" t="str">
        <x:v>Y-X ; Y-H ; X-Y-H dans le cadre Extinction ; Y-Y uniquement scénario original</x:v>
      </x:c>
      <x:c r="S76" s="71" t="str">
        <x:v>X-L01 — LV-742 — zones de guerre d’Extinction</x:v>
      </x:c>
      <x:c r="T76" s="71" t="str">
        <x:v>Ne pas transformer une classe de RTS en caste universelle. Aucun bonus chiffré ni arbre d’amélioration imposé aux films. La plateforme matérielle ne représente pas un Yautja supplémentaire.</x:v>
      </x:c>
      <x:c r="U76" s="71" t="str">
        <x:v>P1</x:v>
      </x:c>
    </x:row>
    <x:row r="77" ht="103.5" hidden="0" customHeight="1">
      <x:c r="A77" s="70" t="str">
        <x:v>YAU-034</x:v>
      </x:c>
      <x:c r="B77" s="70" t="str">
        <x:v>Yautja</x:v>
      </x:c>
      <x:c r="C77" s="70" t="str">
        <x:v>Vanguard</x:v>
      </x:c>
      <x:c r="D77" s="70" t="str">
        <x:v>Classe tactique de jeu ; pas un rang biologique</x:v>
      </x:c>
      <x:c r="E77" s="70" t="str">
        <x:v>Profil de jeu autorisé uniquement dans son preset</x:v>
      </x:c>
      <x:c r="F77" s="70" t="str">
        <x:v>Aliens Versus Predator: Extinction</x:v>
      </x:c>
      <x:c r="G77" s="70" t="str">
        <x:v>Jeu</x:v>
      </x:c>
      <x:c r="H77" s="70" t="str">
        <x:v>AVP / Extinction ; profil distinct de Hunting Grounds et des films</x:v>
      </x:c>
      <x:c r="I77" s="70" t="str">
        <x:v>Nom attesté dans le manuel officiel ; adaptation musou proposée</x:v>
      </x:c>
      <x:c r="J77" s="70" t="str">
        <x:v>Vanguard figure au roster Predator.</x:v>
      </x:c>
      <x:c r="K77"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7" s="77" t="str">
        <x:v>https://gamingalexandria.com/ps2/Aliens%20Versus%20Predator%20Extinction/Aliens%20Versus%20Predator%20Extinction%20-%20Manual.pdf</x:v>
      </x:c>
      <x:c r="M77" s="70" t="str">
        <x:v>Catalogue présent (39871c45). Aucun comportement dédié établi par ce contrôle ; une fiche source ne prouve pas un acteur spécialisé.</x:v>
      </x:c>
      <x:c r="N7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7" s="70" t="str">
        <x:v>Créer silhouette, équipement, IA et coûts de rôle propres au preset Extinction. Les propositions de bataille ne valident pas l’ensemble des capacités originales.</x:v>
      </x:c>
      <x:c r="P77" s="70" t="str">
        <x:v>Protection d’un axe ; proposition de conversion en bataille musou.</x:v>
      </x:c>
      <x:c r="Q77" s="70" t="str">
        <x:v>Rôle choisi dans une cellule finie de quatre ; appuis lourds rares et escorte incluse dans les budgets.</x:v>
      </x:c>
      <x:c r="R77" s="70" t="str">
        <x:v>Y-X ; Y-H ; X-Y-H dans le cadre Extinction ; Y-Y uniquement scénario original</x:v>
      </x:c>
      <x:c r="S77" s="70" t="str">
        <x:v>X-L01 — LV-742 — zones de guerre d’Extinction</x:v>
      </x:c>
      <x:c r="T77" s="70" t="str">
        <x:v>Ne pas transformer une classe de RTS en caste universelle. Aucun bonus chiffré ni arbre d’amélioration imposé aux films. La plateforme matérielle ne représente pas un Yautja supplémentaire.</x:v>
      </x:c>
      <x:c r="U77" s="70" t="str">
        <x:v>P1</x:v>
      </x:c>
    </x:row>
    <x:row r="78" ht="103.5" hidden="0" customHeight="1">
      <x:c r="A78" s="71" t="str">
        <x:v>YAU-035</x:v>
      </x:c>
      <x:c r="B78" s="71" t="str">
        <x:v>Yautja</x:v>
      </x:c>
      <x:c r="C78" s="71" t="str">
        <x:v>Hydra</x:v>
      </x:c>
      <x:c r="D78" s="71" t="str">
        <x:v>Classe tactique de jeu ; pas un rang biologique</x:v>
      </x:c>
      <x:c r="E78" s="71" t="str">
        <x:v>Profil de jeu autorisé uniquement dans son preset</x:v>
      </x:c>
      <x:c r="F78" s="71" t="str">
        <x:v>Aliens Versus Predator: Extinction</x:v>
      </x:c>
      <x:c r="G78" s="71" t="str">
        <x:v>Jeu</x:v>
      </x:c>
      <x:c r="H78" s="71" t="str">
        <x:v>AVP / Extinction ; profil distinct de Hunting Grounds et des films</x:v>
      </x:c>
      <x:c r="I78" s="71" t="str">
        <x:v>Nom attesté dans le manuel officiel ; adaptation musou proposée</x:v>
      </x:c>
      <x:c r="J78" s="71" t="str">
        <x:v>Hydra figure au roster Predator.</x:v>
      </x:c>
      <x:c r="K78"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8" s="76" t="str">
        <x:v>https://gamingalexandria.com/ps2/Aliens%20Versus%20Predator%20Extinction/Aliens%20Versus%20Predator%20Extinction%20-%20Manual.pdf</x:v>
      </x:c>
      <x:c r="M78" s="71" t="str">
        <x:v>Catalogue présent (39871c45). Aucun comportement dédié établi par ce contrôle ; une fiche source ne prouve pas un acteur spécialisé.</x:v>
      </x:c>
      <x:c r="N7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8" s="71" t="str">
        <x:v>Créer silhouette, équipement, IA et coûts de rôle propres au preset Extinction. Les propositions de bataille ne valident pas l’ensemble des capacités originales.</x:v>
      </x:c>
      <x:c r="P78" s="71" t="str">
        <x:v>Appui lourd spécialisé ; proposition de conversion en bataille musou.</x:v>
      </x:c>
      <x:c r="Q78" s="71" t="str">
        <x:v>Rôle choisi dans une cellule finie de quatre ; appuis lourds rares et escorte incluse dans les budgets.</x:v>
      </x:c>
      <x:c r="R78" s="71" t="str">
        <x:v>Y-X ; Y-H ; X-Y-H dans le cadre Extinction ; Y-Y uniquement scénario original</x:v>
      </x:c>
      <x:c r="S78" s="71" t="str">
        <x:v>X-L01 — LV-742 — zones de guerre d’Extinction</x:v>
      </x:c>
      <x:c r="T78" s="71" t="str">
        <x:v>Ne pas transformer une classe de RTS en caste universelle. Aucun bonus chiffré ni arbre d’amélioration imposé aux films. La plateforme matérielle ne représente pas un Yautja supplémentaire.</x:v>
      </x:c>
      <x:c r="U78" s="71" t="str">
        <x:v>P1</x:v>
      </x:c>
    </x:row>
    <x:row r="79" ht="103.5" hidden="0" customHeight="1">
      <x:c r="A79" s="70" t="str">
        <x:v>YAU-036</x:v>
      </x:c>
      <x:c r="B79" s="70" t="str">
        <x:v>Yautja</x:v>
      </x:c>
      <x:c r="C79" s="70" t="str">
        <x:v>Blazer</x:v>
      </x:c>
      <x:c r="D79" s="70" t="str">
        <x:v>Classe tactique de jeu ; pas un rang biologique</x:v>
      </x:c>
      <x:c r="E79" s="70" t="str">
        <x:v>Profil de jeu autorisé uniquement dans son preset</x:v>
      </x:c>
      <x:c r="F79" s="70" t="str">
        <x:v>Aliens Versus Predator: Extinction</x:v>
      </x:c>
      <x:c r="G79" s="70" t="str">
        <x:v>Jeu</x:v>
      </x:c>
      <x:c r="H79" s="70" t="str">
        <x:v>AVP / Extinction ; profil distinct de Hunting Grounds et des films</x:v>
      </x:c>
      <x:c r="I79" s="70" t="str">
        <x:v>Nom attesté dans le manuel officiel ; adaptation musou proposée</x:v>
      </x:c>
      <x:c r="J79" s="70" t="str">
        <x:v>Blazer figure au roster Predator.</x:v>
      </x:c>
      <x:c r="K79"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79" s="77" t="str">
        <x:v>https://gamingalexandria.com/ps2/Aliens%20Versus%20Predator%20Extinction/Aliens%20Versus%20Predator%20Extinction%20-%20Manual.pdf</x:v>
      </x:c>
      <x:c r="M79" s="70" t="str">
        <x:v>Catalogue présent (39871c45). Aucun comportement dédié établi par ce contrôle ; une fiche source ne prouve pas un acteur spécialisé.</x:v>
      </x:c>
      <x:c r="N7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79" s="70" t="str">
        <x:v>Créer silhouette, équipement, IA et coûts de rôle propres au preset Extinction. Les propositions de bataille ne valident pas l’ensemble des capacités originales.</x:v>
      </x:c>
      <x:c r="P79" s="70" t="str">
        <x:v>Interdiction de zone ; proposition de conversion en bataille musou.</x:v>
      </x:c>
      <x:c r="Q79" s="70" t="str">
        <x:v>Rôle choisi dans une cellule finie de quatre ; appuis lourds rares et escorte incluse dans les budgets.</x:v>
      </x:c>
      <x:c r="R79" s="70" t="str">
        <x:v>Y-X ; Y-H ; X-Y-H dans le cadre Extinction ; Y-Y uniquement scénario original</x:v>
      </x:c>
      <x:c r="S79" s="70" t="str">
        <x:v>X-L01 — LV-742 — zones de guerre d’Extinction</x:v>
      </x:c>
      <x:c r="T79" s="70" t="str">
        <x:v>Ne pas transformer une classe de RTS en caste universelle. Aucun bonus chiffré ni arbre d’amélioration imposé aux films. La plateforme matérielle ne représente pas un Yautja supplémentaire.</x:v>
      </x:c>
      <x:c r="U79" s="70" t="str">
        <x:v>P1</x:v>
      </x:c>
    </x:row>
    <x:row r="80" ht="103.5" hidden="0" customHeight="1">
      <x:c r="A80" s="71" t="str">
        <x:v>YAU-037</x:v>
      </x:c>
      <x:c r="B80" s="71" t="str">
        <x:v>Matériel Yautja</x:v>
      </x:c>
      <x:c r="C80" s="71" t="str">
        <x:v>Predgun</x:v>
      </x:c>
      <x:c r="D80" s="71" t="str">
        <x:v>Plateforme de soutien de jeu ; pas un individu</x:v>
      </x:c>
      <x:c r="E80" s="71" t="str">
        <x:v>Matériel séparé du quota de combattants</x:v>
      </x:c>
      <x:c r="F80" s="71" t="str">
        <x:v>Aliens Versus Predator: Extinction</x:v>
      </x:c>
      <x:c r="G80" s="71" t="str">
        <x:v>Jeu</x:v>
      </x:c>
      <x:c r="H80" s="71" t="str">
        <x:v>AVP / Extinction ; profil distinct de Hunting Grounds et des films</x:v>
      </x:c>
      <x:c r="I80" s="71" t="str">
        <x:v>Nom attesté dans le manuel officiel ; adaptation musou proposée</x:v>
      </x:c>
      <x:c r="J80" s="71" t="str">
        <x:v>Predgun figure au roster Predator.</x:v>
      </x:c>
      <x:c r="K80"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0" s="76" t="str">
        <x:v>https://gamingalexandria.com/ps2/Aliens%20Versus%20Predator%20Extinction/Aliens%20Versus%20Predator%20Extinction%20-%20Manual.pdf</x:v>
      </x:c>
      <x:c r="M80" s="71" t="str">
        <x:v>Catalogue présent (39871c45). Aucun comportement dédié établi par ce contrôle ; une fiche source ne prouve pas un acteur spécialisé.</x:v>
      </x:c>
      <x:c r="N8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0" s="71" t="str">
        <x:v>Créer silhouette, équipement, IA et coûts de rôle propres au preset Extinction. Les propositions de bataille ne valident pas l’ensemble des capacités originales.</x:v>
      </x:c>
      <x:c r="P80" s="71" t="str">
        <x:v>Matériel de commandement et de soutien ; proposition de conversion en bataille musou.</x:v>
      </x:c>
      <x:c r="Q80" s="71" t="str">
        <x:v>Un dispositif identifié par base au maximum dans le pilote ; destruction persistante, réparateurs déjà comptés.</x:v>
      </x:c>
      <x:c r="R80" s="71" t="str">
        <x:v>Y-X ; Y-H ; X-Y-H dans le cadre Extinction ; Y-Y uniquement scénario original</x:v>
      </x:c>
      <x:c r="S80" s="71" t="str">
        <x:v>X-L01 — LV-742 — zones de guerre d’Extinction</x:v>
      </x:c>
      <x:c r="T80" s="71" t="str">
        <x:v>Ne pas transformer une classe de RTS en caste universelle. Aucun bonus chiffré ni arbre d’amélioration imposé aux films. La plateforme matérielle ne représente pas un Yautja supplémentaire.</x:v>
      </x:c>
      <x:c r="U80" s="71" t="str">
        <x:v>P2</x:v>
      </x:c>
    </x:row>
    <x:row r="81" ht="103.5" hidden="0" customHeight="1">
      <x:c r="A81" s="70" t="str">
        <x:v>HUM-001</x:v>
      </x:c>
      <x:c r="B81" s="70" t="str">
        <x:v>Humains et technologies humaines</x:v>
      </x:c>
      <x:c r="C81" s="70" t="str">
        <x:v>Infantry — AVP: Extinction</x:v>
      </x:c>
      <x:c r="D81" s="70" t="str">
        <x:v>Classe d’infanterie de jeu</x:v>
      </x:c>
      <x:c r="E81" s="70" t="str">
        <x:v>Profil commun à adapter ; nombres et formation proposés</x:v>
      </x:c>
      <x:c r="F81" s="70" t="str">
        <x:v>Aliens Versus Predator: Extinction</x:v>
      </x:c>
      <x:c r="G81" s="70" t="str">
        <x:v>Jeu</x:v>
      </x:c>
      <x:c r="H81" s="70" t="str">
        <x:v>AVP / Extinction</x:v>
      </x:c>
      <x:c r="I81" s="70" t="str">
        <x:v>Attesté dans l’œuvre citée ; portée limitée à sa continuité</x:v>
      </x:c>
      <x:c r="J81" s="70" t="str">
        <x:v>Infantry figure au roster humain.</x:v>
      </x:c>
      <x:c r="K81"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1" s="77" t="str">
        <x:v>https://gamingalexandria.com/ps2/Aliens%20Versus%20Predator%20Extinction/Aliens%20Versus%20Predator%20Extinction%20-%20Manual.pdf</x:v>
      </x:c>
      <x:c r="M81" s="70" t="str">
        <x:v>Catalogue présent (39871c45). marine/human sont acceptés mais deviennent smartgunner ; Infantry Extinction non spécialisé.</x:v>
      </x:c>
      <x:c r="N81" s="70" t="str">
        <x:v>Catalogue importé : https://github.com/darknigthmare/Yautja-hive-warriors/blob/39871c450379225de8174711237632e6aa883f04/js/data/BattleCatalog.js#L41-L51
Preuve ciblée : https://github.com/darknigthmare/Yautja-hive-warriors/blob/39871c450379225de8174711237632e6aa883f04/js/entities/ColonialMarines.js#L190-L200</x:v>
      </x:c>
      <x:c r="O81" s="70" t="str">
        <x:v>Créer une fiche d’unité, une IA de rôle, un équipement de période et une règle de sélection par théâtre. Les comportements ci-dessous sont des propositions de conception.</x:v>
      </x:c>
      <x:c r="P81" s="70" t="str">
        <x:v>Fusilier de ligne proposé : couvert, recul et suppression limitée.</x:v>
      </x:c>
      <x:c r="Q81" s="70" t="str">
        <x:v>Section de quatre ou huit ; officier inclus.</x:v>
      </x:c>
      <x:c r="R81" s="70" t="str">
        <x:v>X-H ; Y-H ; X-Y-H</x:v>
      </x:c>
      <x:c r="S81" s="70" t="str">
        <x:v>Théâtre original AVP du futur</x:v>
      </x:c>
      <x:c r="T81" s="70" t="str">
        <x:v>Preset AVP: Extinction uniquement par défaut ; sélectionner un rôle dans le groupe sans ajouter son effectif au budget. Aucun arbre d’amélioration transformé en biologie ou loi de la franchise.</x:v>
      </x:c>
      <x:c r="U81" s="70" t="str">
        <x:v>P1</x:v>
      </x:c>
    </x:row>
    <x:row r="82" ht="103.5" hidden="0" customHeight="1">
      <x:c r="A82" s="71" t="str">
        <x:v>HUM-002</x:v>
      </x:c>
      <x:c r="B82" s="71" t="str">
        <x:v>Humains et technologies humaines</x:v>
      </x:c>
      <x:c r="C82" s="71" t="str">
        <x:v>Smartgunner — profil humain dédié</x:v>
      </x:c>
      <x:c r="D82" s="71" t="str">
        <x:v>Spécialité d’arme / classe de jeu</x:v>
      </x:c>
      <x:c r="E82" s="71" t="str">
        <x:v>Profil commun à adapter ; nombres et formation proposés</x:v>
      </x:c>
      <x:c r="F82" s="71" t="str">
        <x:v>Aliens Versus Predator: Extinction</x:v>
      </x:c>
      <x:c r="G82" s="71" t="str">
        <x:v>Jeu</x:v>
      </x:c>
      <x:c r="H82" s="71" t="str">
        <x:v>AVP / Extinction</x:v>
      </x:c>
      <x:c r="I82" s="71" t="str">
        <x:v>Attesté dans l’œuvre citée ; portée limitée à sa continuité</x:v>
      </x:c>
      <x:c r="J82" s="71" t="str">
        <x:v>Smartgunner figure au roster humain.</x:v>
      </x:c>
      <x:c r="K82"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2" s="76" t="str">
        <x:v>https://gamingalexandria.com/ps2/Aliens%20Versus%20Predator%20Extinction/Aliens%20Versus%20Predator%20Extinction%20-%20Manual.pdf</x:v>
      </x:c>
      <x:c r="M82" s="71" t="str">
        <x:v>Catalogue présent (39871c45). Type smartgunner présent ; incarnation Extinction et équipement à comparer.</x:v>
      </x:c>
      <x:c r="N82" s="71" t="str">
        <x:v>Catalogue importé : https://github.com/darknigthmare/Yautja-hive-warriors/blob/39871c450379225de8174711237632e6aa883f04/js/data/BattleCatalog.js#L41-L51
Preuve ciblée : https://github.com/darknigthmare/Yautja-hive-warriors/blob/39871c450379225de8174711237632e6aa883f04/js/entities/ColonialMarines.js#L190-L200</x:v>
      </x:c>
      <x:c r="O82" s="71" t="str">
        <x:v>Créer une fiche d’unité, une IA de rôle, un équipement de période et une règle de sélection par théâtre. Les comportements ci-dessous sont des propositions de conception.</x:v>
      </x:c>
      <x:c r="P82" s="71" t="str">
        <x:v>Appui latéral proposé, champs de tir et contraintes de rotation.</x:v>
      </x:c>
      <x:c r="Q82" s="71" t="str">
        <x:v>Un spécialiste remplace un fusilier ; pas toute la section.</x:v>
      </x:c>
      <x:c r="R82" s="71" t="str">
        <x:v>X-H ; Y-H ; X-Y-H</x:v>
      </x:c>
      <x:c r="S82" s="71" t="str">
        <x:v>Théâtre original AVP du futur</x:v>
      </x:c>
      <x:c r="T82" s="71" t="str">
        <x:v>Preset AVP: Extinction uniquement par défaut ; sélectionner un rôle dans le groupe sans ajouter son effectif au budget. Aucun arbre d’amélioration transformé en biologie ou loi de la franchise.</x:v>
      </x:c>
      <x:c r="U82" s="71" t="str">
        <x:v>P1</x:v>
      </x:c>
    </x:row>
    <x:row r="83" ht="103.5" hidden="0" customHeight="1">
      <x:c r="A83" s="70" t="str">
        <x:v>HUM-003</x:v>
      </x:c>
      <x:c r="B83" s="70" t="str">
        <x:v>Humains et technologies humaines</x:v>
      </x:c>
      <x:c r="C83" s="70" t="str">
        <x:v>Flamethrower — opérateur lance-flammes</x:v>
      </x:c>
      <x:c r="D83" s="70" t="str">
        <x:v>Spécialité d’arme / classe de jeu</x:v>
      </x:c>
      <x:c r="E83" s="70" t="str">
        <x:v>Profil commun à adapter ; nombres et formation proposés</x:v>
      </x:c>
      <x:c r="F83" s="70" t="str">
        <x:v>Aliens Versus Predator: Extinction</x:v>
      </x:c>
      <x:c r="G83" s="70" t="str">
        <x:v>Jeu</x:v>
      </x:c>
      <x:c r="H83" s="70" t="str">
        <x:v>AVP / Extinction</x:v>
      </x:c>
      <x:c r="I83" s="70" t="str">
        <x:v>Attesté dans l’œuvre citée ; portée limitée à sa continuité</x:v>
      </x:c>
      <x:c r="J83" s="70" t="str">
        <x:v>Flamethrower figure au roster humain.</x:v>
      </x:c>
      <x:c r="K83"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83" s="77" t="str">
        <x:v>https://gamingalexandria.com/ps2/Aliens%20Versus%20Predator%20Extinction/Aliens%20Versus%20Predator%20Extinction%20-%20Manual.pdf</x:v>
      </x:c>
      <x:c r="M83" s="70" t="str">
        <x:v>Catalogue présent (39871c45). Type flametrooper présent ; incarnation de chaque œuvre à comparer.</x:v>
      </x:c>
      <x:c r="N83" s="70" t="str">
        <x:v>Catalogue importé : https://github.com/darknigthmare/Yautja-hive-warriors/blob/39871c450379225de8174711237632e6aa883f04/js/data/BattleCatalog.js#L41-L51
Preuve ciblée : https://github.com/darknigthmare/Yautja-hive-warriors/blob/39871c450379225de8174711237632e6aa883f04/js/entities/ColonialMarines.js#L190-L200</x:v>
      </x:c>
      <x:c r="O83" s="70" t="str">
        <x:v>Créer une fiche d’unité, une IA de rôle, un équipement de période et une règle de sélection par théâtre. Les comportements ci-dessous sont des propositions de conception.</x:v>
      </x:c>
      <x:c r="P83" s="70" t="str">
        <x:v>Interdiction d’un passage proposée avec carburant suivi et risque de gêner les alliés.</x:v>
      </x:c>
      <x:c r="Q83" s="70" t="str">
        <x:v>Un spécialiste et protection de proximité ; tirs soumis au terrain.</x:v>
      </x:c>
      <x:c r="R83" s="70" t="str">
        <x:v>X-H ; Y-H ; X-Y-H</x:v>
      </x:c>
      <x:c r="S83" s="70" t="str">
        <x:v>Couloirs / accès de ruche</x:v>
      </x:c>
      <x:c r="T83" s="70" t="str">
        <x:v>Preset AVP: Extinction uniquement par défaut ; sélectionner un rôle dans le groupe sans ajouter son effectif au budget. Aucun arbre d’amélioration transformé en biologie ou loi de la franchise.</x:v>
      </x:c>
      <x:c r="U83" s="70" t="str">
        <x:v>P1</x:v>
      </x:c>
    </x:row>
    <x:row r="84" ht="76.5" hidden="0" customHeight="1">
      <x:c r="A84" s="71" t="str">
        <x:v>HUM-004</x:v>
      </x:c>
      <x:c r="B84" s="71" t="str">
        <x:v>Humains et technologies humaines</x:v>
      </x:c>
      <x:c r="C84" s="71" t="str">
        <x:v>Sergent des Colonial Marines</x:v>
      </x:c>
      <x:c r="D84" s="71" t="str">
        <x:v>Grade et fonction militaire</x:v>
      </x:c>
      <x:c r="E84" s="71" t="str">
        <x:v>Profil commun à adapter ; nombres et formation proposés</x:v>
      </x:c>
      <x:c r="F84" s="71" t="str">
        <x:v>Aliens: Dark Descent</x:v>
      </x:c>
      <x:c r="G84" s="71" t="str">
        <x:v>Jeu</x:v>
      </x:c>
      <x:c r="H84" s="71" t="str">
        <x:v>Alien / Dark Descent</x:v>
      </x:c>
      <x:c r="I84" s="71" t="str">
        <x:v>Attesté dans l’œuvre citée ; portée limitée à sa continuité</x:v>
      </x:c>
      <x:c r="J84" s="71" t="str">
        <x:v>Jonas Harper est sergent des Colonial Marines.</x:v>
      </x:c>
      <x:c r="K84" s="71" t="str">
        <x:v>H-S04 — Dark Descent — bande-annonce de l’histoire
Focus Entertainment / Tindalos ; Source primaire officielle
Portée : Lethe, Otago, Pioneer Station, commandos humains rebelles et fonctions des personnages cités.
Consulté le 2026-10-26</x:v>
      </x:c>
      <x:c r="L84" s="76" t="str">
        <x:v>https://www.focus-entmt.com/en/news/tindalos-and-focus-reveal-story-trailer-for-aliens-dark-descent</x:v>
      </x:c>
      <x:c r="M84" s="71" t="str">
        <x:v>Catalogue présent (39871c45). Aucun comportement dédié établi par ce contrôle ; une fiche source ne prouve pas un acteur spécialisé.</x:v>
      </x:c>
      <x:c r="N8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4" s="71" t="str">
        <x:v>Créer une fiche d’unité, une IA de rôle, un équipement de période et une règle de sélection par théâtre. Les comportements ci-dessous sont des propositions de conception.</x:v>
      </x:c>
      <x:c r="P84" s="71" t="str">
        <x:v>Chef humain original pour ordres, cohésion et repli ; Harper reste une option narrative unique.</x:v>
      </x:c>
      <x:c r="Q84" s="71" t="str">
        <x:v>Un sergent inclus dans la section ; pas une créature à PV de monstre.</x:v>
      </x:c>
      <x:c r="R84" s="71" t="str">
        <x:v>X-H ; extension Y-H ou X-Y-H originale</x:v>
      </x:c>
      <x:c r="S84" s="71" t="str">
        <x:v>H-L02 ; H-L04</x:v>
      </x:c>
      <x:c r="T84" s="71" t="str">
        <x:v>Pas de clones de Jonas Harper ; ses relations scénaristiques ne sont pas transférées automatiquement.</x:v>
      </x:c>
      <x:c r="U84" s="71" t="str">
        <x:v>P1</x:v>
      </x:c>
    </x:row>
    <x:row r="85" ht="76.5" hidden="0" customHeight="1">
      <x:c r="A85" s="70" t="str">
        <x:v>HUM-005</x:v>
      </x:c>
      <x:c r="B85" s="70" t="str">
        <x:v>Humains et technologies humaines</x:v>
      </x:c>
      <x:c r="C85" s="70" t="str">
        <x:v>Gunner — Fireteam Elite</x:v>
      </x:c>
      <x:c r="D85" s="70" t="str">
        <x:v>Kit de classe de jeu</x:v>
      </x:c>
      <x:c r="E85" s="70" t="str">
        <x:v>Profil commun à adapter ; nombres et formation proposés</x:v>
      </x:c>
      <x:c r="F85" s="70" t="str">
        <x:v>Aliens: Fireteam Elite</x:v>
      </x:c>
      <x:c r="G85" s="70" t="str">
        <x:v>Jeu</x:v>
      </x:c>
      <x:c r="H85" s="70" t="str">
        <x:v>Alien / Fireteam Elite</x:v>
      </x:c>
      <x:c r="I85" s="70" t="str">
        <x:v>Attesté dans l’œuvre citée ; portée limitée à sa continuité</x:v>
      </x:c>
      <x:c r="J85" s="70" t="str">
        <x:v>Gunner est un kit de classe.</x:v>
      </x:c>
      <x:c r="K85" s="70" t="str">
        <x:v>H-S02 — Aliens: Fireteam Elite — présentation officielle
Cold Iron Studios ; Source primaire officielle
Portée : Colonial Marines, cinq classes initiales et ennemis synthétiques Weyland-Yutani ; pas un inventaire complet des unités du jeu.
Consulté le 2026-10-26</x:v>
      </x:c>
      <x:c r="L85" s="77" t="str">
        <x:v>https://www.aliensfireteamelite.com/</x:v>
      </x:c>
      <x:c r="M85" s="70" t="str">
        <x:v>Catalogue présent (39871c45). Aucun comportement dédié établi par ce contrôle ; une fiche source ne prouve pas un acteur spécialisé.</x:v>
      </x:c>
      <x:c r="N8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5" s="70" t="str">
        <x:v>Créer une fiche d’unité, une IA de rôle, un équipement de période et une règle de sélection par théâtre. Les comportements ci-dessous sont des propositions de conception.</x:v>
      </x:c>
      <x:c r="P85" s="70" t="str">
        <x:v>Assaut et ouverture d’axe ; rythme de tir puis changement de couvert. Proposition d’adaptation PNJ.</x:v>
      </x:c>
      <x:c r="Q85" s="70" t="str">
        <x:v>Choisir au plus quatre spécialistes complémentaires par section ; les sept kits ne deviennent pas sept soldats obligatoires.</x:v>
      </x:c>
      <x:c r="R85" s="70" t="str">
        <x:v>X-H ; extension X-Y-H originale</x:v>
      </x:c>
      <x:c r="S85" s="70" t="str">
        <x:v>LV-895 ; théâtre Fireteam documenté</x:v>
      </x:c>
      <x:c r="T85" s="70" t="str">
        <x:v>Classe de jeu, pas caste biologique ni grade universel. Ne pas recopier les bonus chiffrés comme pouvoirs canoniques.</x:v>
      </x:c>
      <x:c r="U85" s="70" t="str">
        <x:v>P1</x:v>
      </x:c>
    </x:row>
    <x:row r="86" ht="76.5" hidden="0" customHeight="1">
      <x:c r="A86" s="71" t="str">
        <x:v>HUM-006</x:v>
      </x:c>
      <x:c r="B86" s="71" t="str">
        <x:v>Humains et technologies humaines</x:v>
      </x:c>
      <x:c r="C86" s="71" t="str">
        <x:v>Demolisher — Fireteam Elite</x:v>
      </x:c>
      <x:c r="D86" s="71" t="str">
        <x:v>Kit de classe de jeu</x:v>
      </x:c>
      <x:c r="E86" s="71" t="str">
        <x:v>Profil commun à adapter ; nombres et formation proposés</x:v>
      </x:c>
      <x:c r="F86" s="71" t="str">
        <x:v>Aliens: Fireteam Elite</x:v>
      </x:c>
      <x:c r="G86" s="71" t="str">
        <x:v>Jeu</x:v>
      </x:c>
      <x:c r="H86" s="71" t="str">
        <x:v>Alien / Fireteam Elite</x:v>
      </x:c>
      <x:c r="I86" s="71" t="str">
        <x:v>Attesté dans l’œuvre citée ; portée limitée à sa continuité</x:v>
      </x:c>
      <x:c r="J86" s="71" t="str">
        <x:v>Demolisher est un kit de classe.</x:v>
      </x:c>
      <x:c r="K86" s="71" t="str">
        <x:v>H-S02 — Aliens: Fireteam Elite — présentation officielle
Cold Iron Studios ; Source primaire officielle
Portée : Colonial Marines, cinq classes initiales et ennemis synthétiques Weyland-Yutani ; pas un inventaire complet des unités du jeu.
Consulté le 2026-10-26</x:v>
      </x:c>
      <x:c r="L86" s="76" t="str">
        <x:v>https://www.aliensfireteamelite.com/</x:v>
      </x:c>
      <x:c r="M86" s="71" t="str">
        <x:v>Catalogue présent (39871c45). Aucun comportement dédié établi par ce contrôle ; une fiche source ne prouve pas un acteur spécialisé.</x:v>
      </x:c>
      <x:c r="N8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6" s="71" t="str">
        <x:v>Créer une fiche d’unité, une IA de rôle, un équipement de période et une règle de sélection par théâtre. Les comportements ci-dessous sont des propositions de conception.</x:v>
      </x:c>
      <x:c r="P86" s="71" t="str">
        <x:v>Appui lourd contre regroupements ; angles et délais de déplacement lisibles. Proposition d’adaptation PNJ.</x:v>
      </x:c>
      <x:c r="Q86" s="71" t="str">
        <x:v>Choisir au plus quatre spécialistes complémentaires par section ; les sept kits ne deviennent pas sept soldats obligatoires.</x:v>
      </x:c>
      <x:c r="R86" s="71" t="str">
        <x:v>X-H ; extension X-Y-H originale</x:v>
      </x:c>
      <x:c r="S86" s="71" t="str">
        <x:v>LV-895 ; théâtre Fireteam documenté</x:v>
      </x:c>
      <x:c r="T86" s="71" t="str">
        <x:v>Classe de jeu, pas caste biologique ni grade universel. Ne pas recopier les bonus chiffrés comme pouvoirs canoniques.</x:v>
      </x:c>
      <x:c r="U86" s="71" t="str">
        <x:v>P1</x:v>
      </x:c>
    </x:row>
    <x:row r="87" ht="76.5" hidden="0" customHeight="1">
      <x:c r="A87" s="70" t="str">
        <x:v>HUM-007</x:v>
      </x:c>
      <x:c r="B87" s="70" t="str">
        <x:v>Humains et technologies humaines</x:v>
      </x:c>
      <x:c r="C87" s="70" t="str">
        <x:v>Technician — Fireteam Elite</x:v>
      </x:c>
      <x:c r="D87" s="70" t="str">
        <x:v>Kit de classe de jeu</x:v>
      </x:c>
      <x:c r="E87" s="70" t="str">
        <x:v>Profil commun à adapter ; nombres et formation proposés</x:v>
      </x:c>
      <x:c r="F87" s="70" t="str">
        <x:v>Aliens: Fireteam Elite</x:v>
      </x:c>
      <x:c r="G87" s="70" t="str">
        <x:v>Jeu</x:v>
      </x:c>
      <x:c r="H87" s="70" t="str">
        <x:v>Alien / Fireteam Elite</x:v>
      </x:c>
      <x:c r="I87" s="70" t="str">
        <x:v>Attesté dans l’œuvre citée ; portée limitée à sa continuité</x:v>
      </x:c>
      <x:c r="J87" s="70" t="str">
        <x:v>Technician est un kit de classe.</x:v>
      </x:c>
      <x:c r="K87" s="70" t="str">
        <x:v>H-S02 — Aliens: Fireteam Elite — présentation officielle
Cold Iron Studios ; Source primaire officielle
Portée : Colonial Marines, cinq classes initiales et ennemis synthétiques Weyland-Yutani ; pas un inventaire complet des unités du jeu.
Consulté le 2026-10-26</x:v>
      </x:c>
      <x:c r="L87" s="77" t="str">
        <x:v>https://www.aliensfireteamelite.com/</x:v>
      </x:c>
      <x:c r="M87" s="70" t="str">
        <x:v>Catalogue présent (39871c45). Aucun comportement dédié établi par ce contrôle ; une fiche source ne prouve pas un acteur spécialisé.</x:v>
      </x:c>
      <x:c r="N8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7" s="70" t="str">
        <x:v>Créer une fiche d’unité, une IA de rôle, un équipement de période et une règle de sélection par théâtre. Les comportements ci-dessous sont des propositions de conception.</x:v>
      </x:c>
      <x:c r="P87" s="70" t="str">
        <x:v>Sécurisation d’objectif et matériel déployé ; la tourelle est comptée comme équipement. Proposition d’adaptation PNJ.</x:v>
      </x:c>
      <x:c r="Q87" s="70" t="str">
        <x:v>Choisir au plus quatre spécialistes complémentaires par section ; les sept kits ne deviennent pas sept soldats obligatoires.</x:v>
      </x:c>
      <x:c r="R87" s="70" t="str">
        <x:v>X-H ; extension X-Y-H originale</x:v>
      </x:c>
      <x:c r="S87" s="70" t="str">
        <x:v>LV-895 ; théâtre Fireteam documenté</x:v>
      </x:c>
      <x:c r="T87" s="70" t="str">
        <x:v>Classe de jeu, pas caste biologique ni grade universel. Ne pas recopier les bonus chiffrés comme pouvoirs canoniques.</x:v>
      </x:c>
      <x:c r="U87" s="70" t="str">
        <x:v>P1</x:v>
      </x:c>
    </x:row>
    <x:row r="88" ht="76.5" hidden="0" customHeight="1">
      <x:c r="A88" s="71" t="str">
        <x:v>HUM-008</x:v>
      </x:c>
      <x:c r="B88" s="71" t="str">
        <x:v>Humains et technologies humaines</x:v>
      </x:c>
      <x:c r="C88" s="71" t="str">
        <x:v>Doc — Fireteam Elite</x:v>
      </x:c>
      <x:c r="D88" s="71" t="str">
        <x:v>Kit de classe de jeu</x:v>
      </x:c>
      <x:c r="E88" s="71" t="str">
        <x:v>Profil commun à adapter ; nombres et formation proposés</x:v>
      </x:c>
      <x:c r="F88" s="71" t="str">
        <x:v>Aliens: Fireteam Elite</x:v>
      </x:c>
      <x:c r="G88" s="71" t="str">
        <x:v>Jeu</x:v>
      </x:c>
      <x:c r="H88" s="71" t="str">
        <x:v>Alien / Fireteam Elite</x:v>
      </x:c>
      <x:c r="I88" s="71" t="str">
        <x:v>Attesté dans l’œuvre citée ; portée limitée à sa continuité</x:v>
      </x:c>
      <x:c r="J88" s="71" t="str">
        <x:v>Doc est un kit de classe.</x:v>
      </x:c>
      <x:c r="K88" s="71" t="str">
        <x:v>H-S02 — Aliens: Fireteam Elite — présentation officielle
Cold Iron Studios ; Source primaire officielle
Portée : Colonial Marines, cinq classes initiales et ennemis synthétiques Weyland-Yutani ; pas un inventaire complet des unités du jeu.
Consulté le 2026-10-26</x:v>
      </x:c>
      <x:c r="L88" s="76" t="str">
        <x:v>https://www.aliensfireteamelite.com/</x:v>
      </x:c>
      <x:c r="M88" s="71" t="str">
        <x:v>Catalogue présent (39871c45). Aucun comportement dédié établi par ce contrôle ; une fiche source ne prouve pas un acteur spécialisé.</x:v>
      </x:c>
      <x:c r="N8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8" s="71" t="str">
        <x:v>Créer une fiche d’unité, une IA de rôle, un équipement de période et une règle de sélection par théâtre. Les comportements ci-dessous sont des propositions de conception.</x:v>
      </x:c>
      <x:c r="P88" s="71" t="str">
        <x:v>Soins et évacuation ; charges limitées, blessés persistants, pas résurrection gratuite. Proposition d’adaptation PNJ.</x:v>
      </x:c>
      <x:c r="Q88" s="71" t="str">
        <x:v>Choisir au plus quatre spécialistes complémentaires par section ; les sept kits ne deviennent pas sept soldats obligatoires.</x:v>
      </x:c>
      <x:c r="R88" s="71" t="str">
        <x:v>X-H ; extension X-Y-H originale</x:v>
      </x:c>
      <x:c r="S88" s="71" t="str">
        <x:v>LV-895 ; théâtre Fireteam documenté</x:v>
      </x:c>
      <x:c r="T88" s="71" t="str">
        <x:v>Classe de jeu, pas caste biologique ni grade universel. Ne pas recopier les bonus chiffrés comme pouvoirs canoniques.</x:v>
      </x:c>
      <x:c r="U88" s="71" t="str">
        <x:v>P1</x:v>
      </x:c>
    </x:row>
    <x:row r="89" ht="76.5" hidden="0" customHeight="1">
      <x:c r="A89" s="70" t="str">
        <x:v>HUM-009</x:v>
      </x:c>
      <x:c r="B89" s="70" t="str">
        <x:v>Humains et technologies humaines</x:v>
      </x:c>
      <x:c r="C89" s="70" t="str">
        <x:v>Recon — Fireteam Elite</x:v>
      </x:c>
      <x:c r="D89" s="70" t="str">
        <x:v>Kit de classe de jeu</x:v>
      </x:c>
      <x:c r="E89" s="70" t="str">
        <x:v>Profil commun à adapter ; nombres et formation proposés</x:v>
      </x:c>
      <x:c r="F89" s="70" t="str">
        <x:v>Aliens: Fireteam Elite</x:v>
      </x:c>
      <x:c r="G89" s="70" t="str">
        <x:v>Jeu</x:v>
      </x:c>
      <x:c r="H89" s="70" t="str">
        <x:v>Alien / Fireteam Elite</x:v>
      </x:c>
      <x:c r="I89" s="70" t="str">
        <x:v>Attesté dans l’œuvre citée ; portée limitée à sa continuité</x:v>
      </x:c>
      <x:c r="J89" s="70" t="str">
        <x:v>Recon est un kit de classe.</x:v>
      </x:c>
      <x:c r="K89" s="70" t="str">
        <x:v>H-S02 — Aliens: Fireteam Elite — présentation officielle
Cold Iron Studios ; Source primaire officielle
Portée : Colonial Marines, cinq classes initiales et ennemis synthétiques Weyland-Yutani ; pas un inventaire complet des unités du jeu.
Consulté le 2026-10-26</x:v>
      </x:c>
      <x:c r="L89" s="77" t="str">
        <x:v>https://www.aliensfireteamelite.com/</x:v>
      </x:c>
      <x:c r="M89" s="70" t="str">
        <x:v>Catalogue présent (39871c45). Aucun comportement dédié établi par ce contrôle ; une fiche source ne prouve pas un acteur spécialisé.</x:v>
      </x:c>
      <x:c r="N8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89" s="70" t="str">
        <x:v>Créer une fiche d’unité, une IA de rôle, un équipement de période et une règle de sélection par théâtre. Les comportements ci-dessous sont des propositions de conception.</x:v>
      </x:c>
      <x:c r="P89" s="70" t="str">
        <x:v>Observation et désignation ; information limitée à capteurs et liaisons réels. Proposition d’adaptation PNJ.</x:v>
      </x:c>
      <x:c r="Q89" s="70" t="str">
        <x:v>Choisir au plus quatre spécialistes complémentaires par section ; les sept kits ne deviennent pas sept soldats obligatoires.</x:v>
      </x:c>
      <x:c r="R89" s="70" t="str">
        <x:v>X-H ; extension X-Y-H originale</x:v>
      </x:c>
      <x:c r="S89" s="70" t="str">
        <x:v>LV-895 ; théâtre Fireteam documenté</x:v>
      </x:c>
      <x:c r="T89" s="70" t="str">
        <x:v>Classe de jeu, pas caste biologique ni grade universel. Ne pas recopier les bonus chiffrés comme pouvoirs canoniques.</x:v>
      </x:c>
      <x:c r="U89" s="70" t="str">
        <x:v>P1</x:v>
      </x:c>
    </x:row>
    <x:row r="90" ht="76.5" hidden="0" customHeight="1">
      <x:c r="A90" s="71" t="str">
        <x:v>HUM-010</x:v>
      </x:c>
      <x:c r="B90" s="71" t="str">
        <x:v>Humains et technologies humaines</x:v>
      </x:c>
      <x:c r="C90" s="71" t="str">
        <x:v>Phalanx — Fireteam Elite</x:v>
      </x:c>
      <x:c r="D90" s="71" t="str">
        <x:v>Kit de classe de jeu</x:v>
      </x:c>
      <x:c r="E90" s="71" t="str">
        <x:v>Profil commun à adapter ; nombres et formation proposés</x:v>
      </x:c>
      <x:c r="F90" s="71" t="str">
        <x:v>Aliens: Fireteam Elite</x:v>
      </x:c>
      <x:c r="G90" s="71" t="str">
        <x:v>Jeu</x:v>
      </x:c>
      <x:c r="H90" s="71" t="str">
        <x:v>Alien / Fireteam Elite</x:v>
      </x:c>
      <x:c r="I90" s="71" t="str">
        <x:v>Attesté dans l’œuvre citée ; portée limitée à sa continuité</x:v>
      </x:c>
      <x:c r="J90" s="71" t="str">
        <x:v>Phalanx est un kit de classe.</x:v>
      </x:c>
      <x:c r="K90" s="71" t="str">
        <x:v>H-S03 — Aliens: Fireteam Elite — notes de version
Cold Iron Studios ; Source primaire officielle
Portée : Sept kits de classe identifiables, dont Phalanx et Lancer. Abilités de jeu propres à cette continuité.
Consulté le 2026-10-26</x:v>
      </x:c>
      <x:c r="L90" s="76" t="str">
        <x:v>https://www.aliensfireteamelite.com/en/releasenotes/</x:v>
      </x:c>
      <x:c r="M90" s="71" t="str">
        <x:v>Catalogue présent (39871c45). Aucun comportement dédié établi par ce contrôle ; une fiche source ne prouve pas un acteur spécialisé.</x:v>
      </x:c>
      <x:c r="N9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0" s="71" t="str">
        <x:v>Créer une fiche d’unité, une IA de rôle, un équipement de période et une règle de sélection par théâtre. Les comportements ci-dessous sont des propositions de conception.</x:v>
      </x:c>
      <x:c r="P90" s="71" t="str">
        <x:v>Protection d’une progression en couloir ; angles de protection explicités. Proposition d’adaptation PNJ.</x:v>
      </x:c>
      <x:c r="Q90" s="71" t="str">
        <x:v>Choisir au plus quatre spécialistes complémentaires par section ; les sept kits ne deviennent pas sept soldats obligatoires.</x:v>
      </x:c>
      <x:c r="R90" s="71" t="str">
        <x:v>X-H ; extension X-Y-H originale</x:v>
      </x:c>
      <x:c r="S90" s="71" t="str">
        <x:v>LV-895 ; théâtre Fireteam documenté</x:v>
      </x:c>
      <x:c r="T90" s="71" t="str">
        <x:v>Classe de jeu, pas caste biologique ni grade universel. Ne pas recopier les bonus chiffrés comme pouvoirs canoniques.</x:v>
      </x:c>
      <x:c r="U90" s="71" t="str">
        <x:v>P1</x:v>
      </x:c>
    </x:row>
    <x:row r="91" ht="76.5" hidden="0" customHeight="1">
      <x:c r="A91" s="70" t="str">
        <x:v>HUM-011</x:v>
      </x:c>
      <x:c r="B91" s="70" t="str">
        <x:v>Humains et technologies humaines</x:v>
      </x:c>
      <x:c r="C91" s="70" t="str">
        <x:v>Lancer — Fireteam Elite</x:v>
      </x:c>
      <x:c r="D91" s="70" t="str">
        <x:v>Kit de classe de jeu</x:v>
      </x:c>
      <x:c r="E91" s="70" t="str">
        <x:v>Profil commun à adapter ; nombres et formation proposés</x:v>
      </x:c>
      <x:c r="F91" s="70" t="str">
        <x:v>Aliens: Fireteam Elite</x:v>
      </x:c>
      <x:c r="G91" s="70" t="str">
        <x:v>Jeu</x:v>
      </x:c>
      <x:c r="H91" s="70" t="str">
        <x:v>Alien / Fireteam Elite</x:v>
      </x:c>
      <x:c r="I91" s="70" t="str">
        <x:v>Attesté dans l’œuvre citée ; portée limitée à sa continuité</x:v>
      </x:c>
      <x:c r="J91" s="70" t="str">
        <x:v>Lancer est un kit lourd supplémentaire.</x:v>
      </x:c>
      <x:c r="K91" s="70" t="str">
        <x:v>H-S03 — Aliens: Fireteam Elite — notes de version
Cold Iron Studios ; Source primaire officielle
Portée : Sept kits de classe identifiables, dont Phalanx et Lancer. Abilités de jeu propres à cette continuité.
Consulté le 2026-10-26</x:v>
      </x:c>
      <x:c r="L91" s="77" t="str">
        <x:v>https://www.aliensfireteamelite.com/en/releasenotes/</x:v>
      </x:c>
      <x:c r="M91" s="70" t="str">
        <x:v>Catalogue présent (39871c45). Aucun comportement dédié établi par ce contrôle ; une fiche source ne prouve pas un acteur spécialisé.</x:v>
      </x:c>
      <x:c r="N9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1" s="70" t="str">
        <x:v>Créer une fiche d’unité, une IA de rôle, un équipement de période et une règle de sélection par théâtre. Les comportements ci-dessous sont des propositions de conception.</x:v>
      </x:c>
      <x:c r="P91" s="70" t="str">
        <x:v>Appui contre élites depuis une position exposée ; évite de remplacer tout le groupe. Proposition d’adaptation PNJ.</x:v>
      </x:c>
      <x:c r="Q91" s="70" t="str">
        <x:v>Choisir au plus quatre spécialistes complémentaires par section ; les sept kits ne deviennent pas sept soldats obligatoires.</x:v>
      </x:c>
      <x:c r="R91" s="70" t="str">
        <x:v>X-H ; extension X-Y-H originale</x:v>
      </x:c>
      <x:c r="S91" s="70" t="str">
        <x:v>LV-895 ; théâtre Fireteam documenté</x:v>
      </x:c>
      <x:c r="T91" s="70" t="str">
        <x:v>Classe de jeu, pas caste biologique ni grade universel. Ne pas recopier les bonus chiffrés comme pouvoirs canoniques.</x:v>
      </x:c>
      <x:c r="U91" s="70" t="str">
        <x:v>P1</x:v>
      </x:c>
    </x:row>
    <x:row r="92" ht="76.5" hidden="0" customHeight="1">
      <x:c r="A92" s="71" t="str">
        <x:v>HUM-012</x:v>
      </x:c>
      <x:c r="B92" s="71" t="str">
        <x:v>Humains et technologies humaines</x:v>
      </x:c>
      <x:c r="C92" s="71" t="str">
        <x:v>Commandos humains rebelles</x:v>
      </x:c>
      <x:c r="D92" s="71" t="str">
        <x:v>Faction / rôle combattant</x:v>
      </x:c>
      <x:c r="E92" s="71" t="str">
        <x:v>Profil commun à adapter ; nombres et formation proposés</x:v>
      </x:c>
      <x:c r="F92" s="71" t="str">
        <x:v>Aliens: Dark Descent</x:v>
      </x:c>
      <x:c r="G92" s="71" t="str">
        <x:v>Jeu</x:v>
      </x:c>
      <x:c r="H92" s="71" t="str">
        <x:v>Alien / Dark Descent</x:v>
      </x:c>
      <x:c r="I92" s="71" t="str">
        <x:v>Attesté dans l’œuvre citée ; portée limitée à sa continuité</x:v>
      </x:c>
      <x:c r="J92" s="71" t="str">
        <x:v>Le jeu présente des commandos humains rebelles.</x:v>
      </x:c>
      <x:c r="K92" s="71" t="str">
        <x:v>H-S04 — Dark Descent — bande-annonce de l’histoire
Focus Entertainment / Tindalos ; Source primaire officielle
Portée : Lethe, Otago, Pioneer Station, commandos humains rebelles et fonctions des personnages cités.
Consulté le 2026-10-26</x:v>
      </x:c>
      <x:c r="L92" s="76" t="str">
        <x:v>https://www.focus-entmt.com/en/news/tindalos-and-focus-reveal-story-trailer-for-aliens-dark-descent</x:v>
      </x:c>
      <x:c r="M92" s="71" t="str">
        <x:v>Catalogue présent (39871c45). Aucun comportement dédié établi par ce contrôle ; une fiche source ne prouve pas un acteur spécialisé.</x:v>
      </x:c>
      <x:c r="N9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2" s="71" t="str">
        <x:v>Créer une fiche d’unité, une IA de rôle, un équipement de période et une règle de sélection par théâtre. Les comportements ci-dessous sont des propositions de conception.
Séparer commandos rebelles, agents WY et éventuels Darwin Era/Cultist/Guardian après preuve de roster. HUM-012 ne couvre pas tout ennemi humain de Dark Descent.</x:v>
      </x:c>
      <x:c r="P92" s="71" t="str">
        <x:v>Camp humain distinct pour sabotage, défense d’un accès et poursuite d’un objectif propre.</x:v>
      </x:c>
      <x:c r="Q92" s="71" t="str">
        <x:v>Groupes séparés des Marines ; affiliation et ordres affichés.</x:v>
      </x:c>
      <x:c r="R92" s="71" t="str">
        <x:v>H-H ; X-H ; extension X-Y-H originale</x:v>
      </x:c>
      <x:c r="S92" s="71" t="str">
        <x:v>H-L02 — Lethe</x:v>
      </x:c>
      <x:c r="T92" s="71" t="str">
        <x:v>Pas de fusion automatique de tout humain dans une faction amie ; dirigeants et doctrine précise à documenter.</x:v>
      </x:c>
      <x:c r="U92" s="71" t="str">
        <x:v>P1</x:v>
      </x:c>
    </x:row>
    <x:row r="93" ht="76.5" hidden="0" customHeight="1">
      <x:c r="A93" s="70" t="str">
        <x:v>HUM-013</x:v>
      </x:c>
      <x:c r="B93" s="70" t="str">
        <x:v>Humains et technologies humaines</x:v>
      </x:c>
      <x:c r="C93" s="70" t="str">
        <x:v>Administration coloniale Weyland-Yutani</x:v>
      </x:c>
      <x:c r="D93" s="70" t="str">
        <x:v>Fonction civile / commandement local</x:v>
      </x:c>
      <x:c r="E93" s="70" t="str">
        <x:v>Personnages uniques / civils ; hors horde</x:v>
      </x:c>
      <x:c r="F93" s="70" t="str">
        <x:v>Aliens: Dark Descent</x:v>
      </x:c>
      <x:c r="G93" s="70" t="str">
        <x:v>Jeu</x:v>
      </x:c>
      <x:c r="H93" s="70" t="str">
        <x:v>Alien / Dark Descent</x:v>
      </x:c>
      <x:c r="I93" s="70" t="str">
        <x:v>Attesté dans l’œuvre citée ; portée limitée à sa continuité</x:v>
      </x:c>
      <x:c r="J93" s="70" t="str">
        <x:v>Maeko Hayes et Barbara Pryce occupent des fonctions administratives.</x:v>
      </x:c>
      <x:c r="K93" s="70" t="str">
        <x:v>H-S04 — Dark Descent — bande-annonce de l’histoire
Focus Entertainment / Tindalos ; Source primaire officielle
Portée : Lethe, Otago, Pioneer Station, commandos humains rebelles et fonctions des personnages cités.
Consulté le 2026-10-26</x:v>
      </x:c>
      <x:c r="L93" s="77" t="str">
        <x:v>https://www.focus-entmt.com/en/news/tindalos-and-focus-reveal-story-trailer-for-aliens-dark-descent</x:v>
      </x:c>
      <x:c r="M93" s="70" t="str">
        <x:v>Catalogue présent (39871c45). Aucun comportement dédié établi par ce contrôle ; une fiche source ne prouve pas un acteur spécialisé.</x:v>
      </x:c>
      <x:c r="N9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3" s="70" t="str">
        <x:v>Créer une fiche d’unité, une IA de rôle, un équipement de période et une règle de sélection par théâtre. Les comportements ci-dessous sont des propositions de conception.</x:v>
      </x:c>
      <x:c r="P93" s="70" t="str">
        <x:v>Objectifs de négociation, d’accès ou d’évacuation ; personnel civil hors quotas de soldats.</x:v>
      </x:c>
      <x:c r="Q93" s="70" t="str">
        <x:v>Personnages nommés uniques ; assistants originaux seulement dans une variante de guerre.</x:v>
      </x:c>
      <x:c r="R93" s="70" t="str">
        <x:v>X-H ; extension X-Y-H originale</x:v>
      </x:c>
      <x:c r="S93" s="70" t="str">
        <x:v>H-L02 ; H-L03</x:v>
      </x:c>
      <x:c r="T93" s="70" t="str">
        <x:v>Un employeur ne rend pas chaque civil combattant ou antagoniste.</x:v>
      </x:c>
      <x:c r="U93" s="70" t="str">
        <x:v>P1</x:v>
      </x:c>
    </x:row>
    <x:row r="94" ht="76.5" hidden="0" customHeight="1">
      <x:c r="A94" s="71" t="str">
        <x:v>HUM-014</x:v>
      </x:c>
      <x:c r="B94" s="71" t="str">
        <x:v>Humains et technologies humaines</x:v>
      </x:c>
      <x:c r="C94" s="71" t="str">
        <x:v>Colons et spécialistes rescapés</x:v>
      </x:c>
      <x:c r="D94" s="71" t="str">
        <x:v>Population civile</x:v>
      </x:c>
      <x:c r="E94" s="71" t="str">
        <x:v>Civils ; exclus des quotas combattants</x:v>
      </x:c>
      <x:c r="F94" s="71" t="str">
        <x:v>Aliens: Dark Descent</x:v>
      </x:c>
      <x:c r="G94" s="71" t="str">
        <x:v>Jeu</x:v>
      </x:c>
      <x:c r="H94" s="71" t="str">
        <x:v>Alien / Dark Descent</x:v>
      </x:c>
      <x:c r="I94" s="71" t="str">
        <x:v>Attesté dans l’œuvre citée ; portée limitée à sa continuité</x:v>
      </x:c>
      <x:c r="J94" s="71" t="str">
        <x:v>Les colonies de Lethe subissent l’infestation.</x:v>
      </x:c>
      <x:c r="K94" s="71" t="str">
        <x:v>H-S05 — Dark Descent — FAQ du 13 juin 2023
Focus Entertainment ; Source primaire officielle
Portée : Cadre Lethe, colonies, personnages et campagne ; les effectifs musou proposés ne sont pas ceux du jeu.
Consulté le 2026-10-26</x:v>
      </x:c>
      <x:c r="L94" s="76" t="str">
        <x:v>https://support.focus-entmt.com/hc/en-us/articles/16126166561425-FREQUENTLY-ASKED-QUESTIONS-JUNE-13-2023</x:v>
      </x:c>
      <x:c r="M94" s="71" t="str">
        <x:v>Catalogue présent (39871c45). Aucun comportement dédié établi par ce contrôle ; une fiche source ne prouve pas un acteur spécialisé.</x:v>
      </x:c>
      <x:c r="N9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4" s="71" t="str">
        <x:v>Créer une fiche d’unité, une IA de rôle, un équipement de période et une règle de sélection par théâtre. Les comportements ci-dessous sont des propositions de conception.</x:v>
      </x:c>
      <x:c r="P94" s="71" t="str">
        <x:v>Sauvetage, remise en service d’un relais et extraction ; effectif civil distinct.</x:v>
      </x:c>
      <x:c r="Q94" s="71" t="str">
        <x:v>Groupes civils de quatre à huit proposés, guide identifié ; aucun score de massacre.</x:v>
      </x:c>
      <x:c r="R94" s="71" t="str">
        <x:v>X-H ; extension X-Y-H originale</x:v>
      </x:c>
      <x:c r="S94" s="71" t="str">
        <x:v>H-L02 ; H-L04</x:v>
      </x:c>
      <x:c r="T94" s="71" t="str">
        <x:v>Les métiers, armes et nombres d’une colonie élargie sont des ajouts de conception.</x:v>
      </x:c>
      <x:c r="U94" s="71" t="str">
        <x:v>P1</x:v>
      </x:c>
    </x:row>
    <x:row r="95" ht="76.5" hidden="0" customHeight="1">
      <x:c r="A95" s="70" t="str">
        <x:v>HUM-015</x:v>
      </x:c>
      <x:c r="B95" s="70" t="str">
        <x:v>Synthétiques de fabrication humaine</x:v>
      </x:c>
      <x:c r="C95" s="70" t="str">
        <x:v>Synthétiques de combat Weyland-Yutani</x:v>
      </x:c>
      <x:c r="D95" s="70" t="str">
        <x:v>Famille de robots combattants</x:v>
      </x:c>
      <x:c r="E95" s="70" t="str">
        <x:v>Profil commun à adapter ; nombres et formation proposés</x:v>
      </x:c>
      <x:c r="F95" s="70" t="str">
        <x:v>Aliens: Fireteam Elite</x:v>
      </x:c>
      <x:c r="G95" s="70" t="str">
        <x:v>Jeu</x:v>
      </x:c>
      <x:c r="H95" s="70" t="str">
        <x:v>Alien / Fireteam Elite</x:v>
      </x:c>
      <x:c r="I95" s="70" t="str">
        <x:v>Attesté dans l’œuvre citée ; portée limitée à sa continuité</x:v>
      </x:c>
      <x:c r="J95" s="70" t="str">
        <x:v>Les Marines affrontent des synthétiques Weyland-Yutani.</x:v>
      </x:c>
      <x:c r="K95" s="70" t="str">
        <x:v>H-S02 — Aliens: Fireteam Elite — présentation officielle
Cold Iron Studios ; Source primaire officielle
Portée : Colonial Marines, cinq classes initiales et ennemis synthétiques Weyland-Yutani ; pas un inventaire complet des unités du jeu.
Consulté le 2026-10-26</x:v>
      </x:c>
      <x:c r="L95" s="77" t="str">
        <x:v>https://www.aliensfireteamelite.com/</x:v>
      </x:c>
      <x:c r="M95" s="70" t="str">
        <x:v>Catalogue présent (39871c45). Famille weyland_combat présente ; AFF-16 instancie pourtant marine. Sous-types non spécialisés.</x:v>
      </x:c>
      <x:c r="N95" s="70" t="str">
        <x:v>Catalogue importé : https://github.com/darknigthmare/Yautja-hive-warriors/blob/39871c450379225de8174711237632e6aa883f04/js/data/BattleCatalog.js#L41-L51
Preuve ciblée : https://github.com/darknigthmare/Yautja-hive-warriors/blob/39871c450379225de8174711237632e6aa883f04/js/entities/Synthetics.js#L298-L307</x:v>
      </x:c>
      <x:c r="O95" s="70" t="str">
        <x:v>Créer une fiche d’unité, une IA de rôle, un équipement de période et une règle de sélection par théâtre. Les comportements ci-dessous sont des propositions de conception.
Conserver la fiche familiale et lier les sous-types ; ne pas prétendre que weyland_combat implémente dix variantes distinctes. Ajouter la couverture narrative Ash, David, Walter, Bishop, Call, Andy et Rook : individus distincts, alliés ou antagonistes selon œuvre, sans réserve de clones.</x:v>
      </x:c>
      <x:c r="P95" s="70" t="str">
        <x:v>Sécurité armée à objectifs corporatistes ; liaisons et consignes de cible définies par mission.</x:v>
      </x:c>
      <x:c r="Q95" s="70" t="str">
        <x:v>Cellules homogènes, soutien et chef comptés une seule fois.</x:v>
      </x:c>
      <x:c r="R95" s="70" t="str">
        <x:v>X-H ; H-H ; extension X-Y-H originale</x:v>
      </x:c>
      <x:c r="S95" s="70" t="str">
        <x:v>Théâtre Fireteam documenté</x:v>
      </x:c>
      <x:c r="T95" s="70" t="str">
        <x:v>Warden, Heavy ou autres sous-types ne sont pas automatiquement certifiés par cette seule source générale.</x:v>
      </x:c>
      <x:c r="U95" s="70" t="str">
        <x:v>P1</x:v>
      </x:c>
    </x:row>
    <x:row r="96" ht="76.5" hidden="0" customHeight="1">
      <x:c r="A96" s="71" t="str">
        <x:v>HUM-016</x:v>
      </x:c>
      <x:c r="B96" s="71" t="str">
        <x:v>Synthétiques de fabrication humaine</x:v>
      </x:c>
      <x:c r="C96" s="71" t="str">
        <x:v>Working Joe</x:v>
      </x:c>
      <x:c r="D96" s="71" t="str">
        <x:v>Modèle de synthétique industriel</x:v>
      </x:c>
      <x:c r="E96" s="71" t="str">
        <x:v>Profil commun à adapter ; nombres et formation proposés</x:v>
      </x:c>
      <x:c r="F96" s="71" t="str">
        <x:v>Alien: Isolation — The Trigger</x:v>
      </x:c>
      <x:c r="G96" s="71" t="str">
        <x:v>Jeu</x:v>
      </x:c>
      <x:c r="H96" s="71" t="str">
        <x:v>Alien / Isolation</x:v>
      </x:c>
      <x:c r="I96" s="71" t="str">
        <x:v>Attesté dans l’œuvre citée ; portée limitée à sa continuité</x:v>
      </x:c>
      <x:c r="J96" s="71" t="str">
        <x:v>Working Joes et Sevastopol figurent dans ce contenu officiel.</x:v>
      </x:c>
      <x:c r="K96" s="71" t="str">
        <x:v>H-S06 — Alien: Isolation — The Trigger
SEGA / page éditeur Epic Games Store ; Source primaire officielle
Portée : Sevastopol et Working Joes dans le texte commercial du contenu officiel ; ne prouve pas toutes leurs règles d’IA.
Consulté le 2026-10-26</x:v>
      </x:c>
      <x:c r="L96" s="76" t="str">
        <x:v>https://store.epicgames.com/p/alien-isolation--the-trigger?lang=en-US</x:v>
      </x:c>
      <x:c r="M96" s="71" t="str">
        <x:v>Catalogue présent (39871c45). Type working_joe présent ; AFF-13 instancie pourtant marine pour GRP-50.</x:v>
      </x:c>
      <x:c r="N96" s="71" t="str">
        <x:v>Catalogue importé : https://github.com/darknigthmare/Yautja-hive-warriors/blob/39871c450379225de8174711237632e6aa883f04/js/data/BattleCatalog.js#L41-L51
Preuve ciblée : https://github.com/darknigthmare/Yautja-hive-warriors/blob/39871c450379225de8174711237632e6aa883f04/js/entities/Synthetics.js#L298-L307</x:v>
      </x:c>
      <x:c r="O96" s="71" t="str">
        <x:v>Créer une fiche d’unité, une IA de rôle, un équipement de période et une règle de sélection par théâtre. Les comportements ci-dessous sont des propositions de conception.
Working Joe identifié, mais vérifier son instanciation effective dans AFF-13 : le camp synthétique est actuellement converti en humains génériques.</x:v>
      </x:c>
      <x:c r="P96" s="71" t="str">
        <x:v>Obstacle industriel persistant ; routines et hostilité déclenchées par règles du scénario.</x:v>
      </x:c>
      <x:c r="Q96" s="71" t="str">
        <x:v>Petites équipes de maintenance ; pas arsenal de Marine ajouté par défaut.</x:v>
      </x:c>
      <x:c r="R96" s="71" t="str">
        <x:v>X-H ; H-H ; extension Y-H originale</x:v>
      </x:c>
      <x:c r="S96" s="71" t="str">
        <x:v>H-L01 — Sevastopol</x:v>
      </x:c>
      <x:c r="T96" s="71" t="str">
        <x:v>Leur relation aux Xénomorphes doit être contrôlée séparément ; trois camps présents ne signifie pas trois camps mutuellement hostiles.</x:v>
      </x:c>
      <x:c r="U96" s="71" t="str">
        <x:v>P1</x:v>
      </x:c>
    </x:row>
    <x:row r="97" ht="76.5" hidden="0" customHeight="1">
      <x:c r="A97" s="70" t="str">
        <x:v>HUM-017</x:v>
      </x:c>
      <x:c r="B97" s="70" t="str">
        <x:v>Humains et technologies humaines</x:v>
      </x:c>
      <x:c r="C97" s="70" t="str">
        <x:v>Assault — Hunting Grounds</x:v>
      </x:c>
      <x:c r="D97" s="70" t="str">
        <x:v>Classe de force paramilitaire</x:v>
      </x:c>
      <x:c r="E97" s="70" t="str">
        <x:v>Profil commun à adapter ; nombres et formation proposés</x:v>
      </x:c>
      <x:c r="F97" s="70" t="str">
        <x:v>Predator: Hunting Grounds</x:v>
      </x:c>
      <x:c r="G97" s="70" t="str">
        <x:v>Jeu</x:v>
      </x:c>
      <x:c r="H97" s="70" t="str">
        <x:v>Predator / Hunting Grounds</x:v>
      </x:c>
      <x:c r="I97" s="70" t="str">
        <x:v>Attesté dans l’œuvre citée ; portée limitée à sa continuité</x:v>
      </x:c>
      <x:c r="J97" s="70" t="str">
        <x:v>Assault est une classe polyvalente.</x:v>
      </x:c>
      <x:c r="K97" s="70" t="str">
        <x:v>H-S07 — Predator: Hunting Grounds — The Fireteam
IllFonic ; Source primaire officielle
Portée : Quatre classes humaines et rôles généraux ; classes du jeu, sans équivalence automatique avec un grade militaire.
Consulté le 2026-10-26</x:v>
      </x:c>
      <x:c r="L97" s="77" t="str">
        <x:v>https://predator.illfonic.com/the-fireteam/</x:v>
      </x:c>
      <x:c r="M97" s="70" t="str">
        <x:v>Catalogue présent (39871c45). Aucun comportement dédié établi par ce contrôle ; une fiche source ne prouve pas un acteur spécialisé.</x:v>
      </x:c>
      <x:c r="N9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7" s="70" t="str">
        <x:v>Créer une fiche d’unité, une IA de rôle, un équipement de période et une règle de sélection par théâtre. Les comportements ci-dessous sont des propositions de conception.</x:v>
      </x:c>
      <x:c r="P97" s="70" t="str">
        <x:v>Assaut de camp et progression collective ; adaptation PNJ proposée.</x:v>
      </x:c>
      <x:c r="Q97" s="70" t="str">
        <x:v>Quatre membres au total par équipe proposée, rôles choisis selon mission.</x:v>
      </x:c>
      <x:c r="R97" s="70" t="str">
        <x:v>Y-H ; H-H ; X seulement dans crossover original</x:v>
      </x:c>
      <x:c r="S97" s="70" t="str">
        <x:v>Jungle et installations compatibles avec Hunting Grounds</x:v>
      </x:c>
      <x:c r="T97" s="70" t="str">
        <x:v>Ne pas confondre Recon Hunting Grounds et Recon Fireteam : périodes et équipements distincts.</x:v>
      </x:c>
      <x:c r="U97" s="70" t="str">
        <x:v>P1</x:v>
      </x:c>
    </x:row>
    <x:row r="98" ht="76.5" hidden="0" customHeight="1">
      <x:c r="A98" s="71" t="str">
        <x:v>HUM-018</x:v>
      </x:c>
      <x:c r="B98" s="71" t="str">
        <x:v>Humains et technologies humaines</x:v>
      </x:c>
      <x:c r="C98" s="71" t="str">
        <x:v>Recon — Hunting Grounds</x:v>
      </x:c>
      <x:c r="D98" s="71" t="str">
        <x:v>Classe de force paramilitaire</x:v>
      </x:c>
      <x:c r="E98" s="71" t="str">
        <x:v>Profil commun à adapter ; nombres et formation proposés</x:v>
      </x:c>
      <x:c r="F98" s="71" t="str">
        <x:v>Predator: Hunting Grounds</x:v>
      </x:c>
      <x:c r="G98" s="71" t="str">
        <x:v>Jeu</x:v>
      </x:c>
      <x:c r="H98" s="71" t="str">
        <x:v>Predator / Hunting Grounds</x:v>
      </x:c>
      <x:c r="I98" s="71" t="str">
        <x:v>Attesté dans l’œuvre citée ; portée limitée à sa continuité</x:v>
      </x:c>
      <x:c r="J98" s="71" t="str">
        <x:v>Recon privilégie observation et combat distant.</x:v>
      </x:c>
      <x:c r="K98" s="71" t="str">
        <x:v>H-S07 — Predator: Hunting Grounds — The Fireteam
IllFonic ; Source primaire officielle
Portée : Quatre classes humaines et rôles généraux ; classes du jeu, sans équivalence automatique avec un grade militaire.
Consulté le 2026-10-26</x:v>
      </x:c>
      <x:c r="L98" s="76" t="str">
        <x:v>https://predator.illfonic.com/the-fireteam/</x:v>
      </x:c>
      <x:c r="M98" s="71" t="str">
        <x:v>Catalogue présent (39871c45). Aucun comportement dédié établi par ce contrôle ; une fiche source ne prouve pas un acteur spécialisé.</x:v>
      </x:c>
      <x:c r="N9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8" s="71" t="str">
        <x:v>Créer une fiche d’unité, une IA de rôle, un équipement de période et une règle de sélection par théâtre. Les comportements ci-dessous sont des propositions de conception.</x:v>
      </x:c>
      <x:c r="P98" s="71" t="str">
        <x:v>Guet, couverture d’une évacuation et signalement ; adaptation PNJ proposée.</x:v>
      </x:c>
      <x:c r="Q98" s="71" t="str">
        <x:v>Quatre membres au total par équipe proposée, rôles choisis selon mission.</x:v>
      </x:c>
      <x:c r="R98" s="71" t="str">
        <x:v>Y-H ; H-H ; X seulement dans crossover original</x:v>
      </x:c>
      <x:c r="S98" s="71" t="str">
        <x:v>Jungle et installations compatibles avec Hunting Grounds</x:v>
      </x:c>
      <x:c r="T98" s="71" t="str">
        <x:v>Ne pas confondre Recon Hunting Grounds et Recon Fireteam : périodes et équipements distincts.</x:v>
      </x:c>
      <x:c r="U98" s="71" t="str">
        <x:v>P1</x:v>
      </x:c>
    </x:row>
    <x:row r="99" ht="76.5" hidden="0" customHeight="1">
      <x:c r="A99" s="70" t="str">
        <x:v>HUM-019</x:v>
      </x:c>
      <x:c r="B99" s="70" t="str">
        <x:v>Humains et technologies humaines</x:v>
      </x:c>
      <x:c r="C99" s="70" t="str">
        <x:v>Scout — Hunting Grounds</x:v>
      </x:c>
      <x:c r="D99" s="70" t="str">
        <x:v>Classe de force paramilitaire</x:v>
      </x:c>
      <x:c r="E99" s="70" t="str">
        <x:v>Profil commun à adapter ; nombres et formation proposés</x:v>
      </x:c>
      <x:c r="F99" s="70" t="str">
        <x:v>Predator: Hunting Grounds</x:v>
      </x:c>
      <x:c r="G99" s="70" t="str">
        <x:v>Jeu</x:v>
      </x:c>
      <x:c r="H99" s="70" t="str">
        <x:v>Predator / Hunting Grounds</x:v>
      </x:c>
      <x:c r="I99" s="70" t="str">
        <x:v>Attesté dans l’œuvre citée ; portée limitée à sa continuité</x:v>
      </x:c>
      <x:c r="J99" s="70" t="str">
        <x:v>Scout privilégie mobilité et agilité.</x:v>
      </x:c>
      <x:c r="K99" s="70" t="str">
        <x:v>H-S07 — Predator: Hunting Grounds — The Fireteam
IllFonic ; Source primaire officielle
Portée : Quatre classes humaines et rôles généraux ; classes du jeu, sans équivalence automatique avec un grade militaire.
Consulté le 2026-10-26</x:v>
      </x:c>
      <x:c r="L99" s="77" t="str">
        <x:v>https://predator.illfonic.com/the-fireteam/</x:v>
      </x:c>
      <x:c r="M99" s="70" t="str">
        <x:v>Catalogue présent (39871c45). Aucun comportement dédié établi par ce contrôle ; une fiche source ne prouve pas un acteur spécialisé.</x:v>
      </x:c>
      <x:c r="N9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99" s="70" t="str">
        <x:v>Créer une fiche d’unité, une IA de rôle, un équipement de période et une règle de sélection par théâtre. Les comportements ci-dessous sont des propositions de conception.</x:v>
      </x:c>
      <x:c r="P99" s="70" t="str">
        <x:v>Reconnaissance d’itinéraire et contournement ; adaptation PNJ proposée.</x:v>
      </x:c>
      <x:c r="Q99" s="70" t="str">
        <x:v>Quatre membres au total par équipe proposée, rôles choisis selon mission.</x:v>
      </x:c>
      <x:c r="R99" s="70" t="str">
        <x:v>Y-H ; H-H ; X seulement dans crossover original</x:v>
      </x:c>
      <x:c r="S99" s="70" t="str">
        <x:v>Jungle et installations compatibles avec Hunting Grounds</x:v>
      </x:c>
      <x:c r="T99" s="70" t="str">
        <x:v>Ne pas confondre Recon Hunting Grounds et Recon Fireteam : périodes et équipements distincts.</x:v>
      </x:c>
      <x:c r="U99" s="70" t="str">
        <x:v>P1</x:v>
      </x:c>
    </x:row>
    <x:row r="100" ht="76.5" hidden="0" customHeight="1">
      <x:c r="A100" s="71" t="str">
        <x:v>HUM-020</x:v>
      </x:c>
      <x:c r="B100" s="71" t="str">
        <x:v>Humains et technologies humaines</x:v>
      </x:c>
      <x:c r="C100" s="71" t="str">
        <x:v>Support — Hunting Grounds</x:v>
      </x:c>
      <x:c r="D100" s="71" t="str">
        <x:v>Classe de force paramilitaire</x:v>
      </x:c>
      <x:c r="E100" s="71" t="str">
        <x:v>Profil commun à adapter ; nombres et formation proposés</x:v>
      </x:c>
      <x:c r="F100" s="71" t="str">
        <x:v>Predator: Hunting Grounds</x:v>
      </x:c>
      <x:c r="G100" s="71" t="str">
        <x:v>Jeu</x:v>
      </x:c>
      <x:c r="H100" s="71" t="str">
        <x:v>Predator / Hunting Grounds</x:v>
      </x:c>
      <x:c r="I100" s="71" t="str">
        <x:v>Attesté dans l’œuvre citée ; portée limitée à sa continuité</x:v>
      </x:c>
      <x:c r="J100" s="71" t="str">
        <x:v>Support privilégie puissance de feu et protection.</x:v>
      </x:c>
      <x:c r="K100" s="71" t="str">
        <x:v>H-S07 — Predator: Hunting Grounds — The Fireteam
IllFonic ; Source primaire officielle
Portée : Quatre classes humaines et rôles généraux ; classes du jeu, sans équivalence automatique avec un grade militaire.
Consulté le 2026-10-26</x:v>
      </x:c>
      <x:c r="L100" s="76" t="str">
        <x:v>https://predator.illfonic.com/the-fireteam/</x:v>
      </x:c>
      <x:c r="M100" s="71" t="str">
        <x:v>Catalogue présent (39871c45). Aucun comportement dédié établi par ce contrôle ; une fiche source ne prouve pas un acteur spécialisé.</x:v>
      </x:c>
      <x:c r="N10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0" s="71" t="str">
        <x:v>Créer une fiche d’unité, une IA de rôle, un équipement de période et une règle de sélection par théâtre. Les comportements ci-dessous sont des propositions de conception.</x:v>
      </x:c>
      <x:c r="P100" s="71" t="str">
        <x:v>Appui du groupe et maintien d’un passage ; adaptation PNJ proposée.</x:v>
      </x:c>
      <x:c r="Q100" s="71" t="str">
        <x:v>Quatre membres au total par équipe proposée, rôles choisis selon mission.</x:v>
      </x:c>
      <x:c r="R100" s="71" t="str">
        <x:v>Y-H ; H-H ; X seulement dans crossover original</x:v>
      </x:c>
      <x:c r="S100" s="71" t="str">
        <x:v>Jungle et installations compatibles avec Hunting Grounds</x:v>
      </x:c>
      <x:c r="T100" s="71" t="str">
        <x:v>Ne pas confondre Recon Hunting Grounds et Recon Fireteam : périodes et équipements distincts.</x:v>
      </x:c>
      <x:c r="U100" s="71" t="str">
        <x:v>P1</x:v>
      </x:c>
    </x:row>
    <x:row r="101" ht="76.5" hidden="0" customHeight="1">
      <x:c r="A101" s="70" t="str">
        <x:v>HUM-021</x:v>
      </x:c>
      <x:c r="B101" s="70" t="str">
        <x:v>Humains et technologies humaines</x:v>
      </x:c>
      <x:c r="C101" s="70" t="str">
        <x:v>Soldats tactiques de Prodigy</x:v>
      </x:c>
      <x:c r="D101" s="70" t="str">
        <x:v>Faction / emploi militaire</x:v>
      </x:c>
      <x:c r="E101" s="70" t="str">
        <x:v>Profil commun à adapter ; nombres et formation proposés</x:v>
      </x:c>
      <x:c r="F101" s="70" t="str">
        <x:v>Alien: Earth</x:v>
      </x:c>
      <x:c r="G101" s="70" t="str">
        <x:v>Série</x:v>
      </x:c>
      <x:c r="H101" s="70" t="str">
        <x:v>Alien / Earth, 2120</x:v>
      </x:c>
      <x:c r="I101" s="70" t="str">
        <x:v>Attesté dans l’œuvre citée ; portée limitée à sa continuité</x:v>
      </x:c>
      <x:c r="J101" s="70" t="str">
        <x:v>La série présente des soldats tactiques de Prodigy.</x:v>
      </x:c>
      <x:c r="K101" s="70" t="str">
        <x:v>H-S08 — Alien: Earth — personnages
FX ; Source primaire officielle
Portée : Rôles de Wendy, Hermit, Kirsh, Morrow, troupes et techniciens de Prodigy ; personnages nommés uniques.
Consulté le 2026-10-26</x:v>
      </x:c>
      <x:c r="L101" s="77" t="str">
        <x:v>https://www.fxnetworks.com/shows/alien-earth/characters</x:v>
      </x:c>
      <x:c r="M101" s="70" t="str">
        <x:v>Catalogue présent (39871c45). Aucun comportement dédié établi par ce contrôle ; une fiche source ne prouve pas un acteur spécialisé.</x:v>
      </x:c>
      <x:c r="N10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1" s="70" t="str">
        <x:v>Créer une fiche d’unité, une IA de rôle, un équipement de période et une règle de sélection par théâtre. Les comportements ci-dessous sont des propositions de conception.</x:v>
      </x:c>
      <x:c r="P101" s="70" t="str">
        <x:v>Sécurité du périmètre et récupération de survivants ; ordres corporatistes distincts des Marines.</x:v>
      </x:c>
      <x:c r="Q101" s="70" t="str">
        <x:v>Cellules de quatre originales ; Siberian et Rashidi restent des personnes uniques.</x:v>
      </x:c>
      <x:c r="R101" s="70" t="str">
        <x:v>X-H ; H-H ; extension X-Y-H originale</x:v>
      </x:c>
      <x:c r="S101" s="70" t="str">
        <x:v>H-L05 — Prodigy City et épave de l’USCSS Maginot</x:v>
      </x:c>
      <x:c r="T101" s="70" t="str">
        <x:v>Aucune armée USCM importée automatiquement dans ce cadre.</x:v>
      </x:c>
      <x:c r="U101" s="70" t="str">
        <x:v>P1</x:v>
      </x:c>
    </x:row>
    <x:row r="102" ht="76.5" hidden="0" customHeight="1">
      <x:c r="A102" s="71" t="str">
        <x:v>HUM-022</x:v>
      </x:c>
      <x:c r="B102" s="71" t="str">
        <x:v>Humains et technologies humaines</x:v>
      </x:c>
      <x:c r="C102" s="71" t="str">
        <x:v>Hermit — officier tactique et secouriste</x:v>
      </x:c>
      <x:c r="D102" s="71" t="str">
        <x:v>Personnage humain unique / double rôle</x:v>
      </x:c>
      <x:c r="E102" s="71" t="str">
        <x:v>Individu unique ; jamais unité de masse</x:v>
      </x:c>
      <x:c r="F102" s="71" t="str">
        <x:v>Alien: Earth</x:v>
      </x:c>
      <x:c r="G102" s="71" t="str">
        <x:v>Série</x:v>
      </x:c>
      <x:c r="H102" s="71" t="str">
        <x:v>Alien / Earth, 2120</x:v>
      </x:c>
      <x:c r="I102" s="71" t="str">
        <x:v>Attesté dans l’œuvre citée ; portée limitée à sa continuité</x:v>
      </x:c>
      <x:c r="J102" s="71" t="str">
        <x:v>Hermit est officier tactique et secouriste.</x:v>
      </x:c>
      <x:c r="K102" s="71" t="str">
        <x:v>H-S08 — Alien: Earth — personnages
FX ; Source primaire officielle
Portée : Rôles de Wendy, Hermit, Kirsh, Morrow, troupes et techniciens de Prodigy ; personnages nommés uniques.
Consulté le 2026-10-26</x:v>
      </x:c>
      <x:c r="L102" s="76" t="str">
        <x:v>https://www.fxnetworks.com/shows/alien-earth/characters</x:v>
      </x:c>
      <x:c r="M102" s="71" t="str">
        <x:v>Catalogue présent (39871c45). Aucun comportement dédié établi par ce contrôle ; une fiche source ne prouve pas un acteur spécialisé.</x:v>
      </x:c>
      <x:c r="N102"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2" s="71" t="str">
        <x:v>Créer une fiche d’unité, une IA de rôle, un équipement de période et une règle de sélection par théâtre. Les comportements ci-dessous sont des propositions de conception.</x:v>
      </x:c>
      <x:c r="P102" s="71" t="str">
        <x:v>Allié de scénario et secours ; comportement et liens personnels à conserver.</x:v>
      </x:c>
      <x:c r="Q102" s="71" t="str">
        <x:v>Une seule instance ; un profil de secouriste original peut exister sans porter son identité.</x:v>
      </x:c>
      <x:c r="R102" s="71" t="str">
        <x:v>X-H ; extension X-Y-H originale</x:v>
      </x:c>
      <x:c r="S102" s="71" t="str">
        <x:v>H-L05 — Prodigy City et épave de l’USCSS Maginot</x:v>
      </x:c>
      <x:c r="T102" s="71" t="str">
        <x:v>Pas de clones de Hermit dans chaque escouade.</x:v>
      </x:c>
      <x:c r="U102" s="71" t="str">
        <x:v>P1</x:v>
      </x:c>
    </x:row>
    <x:row r="103" ht="76.5" hidden="0" customHeight="1">
      <x:c r="A103" s="70" t="str">
        <x:v>HUM-023</x:v>
      </x:c>
      <x:c r="B103" s="70" t="str">
        <x:v>Humains et technologies humaines</x:v>
      </x:c>
      <x:c r="C103" s="70" t="str">
        <x:v>Techniciens de Prodigy</x:v>
      </x:c>
      <x:c r="D103" s="70" t="str">
        <x:v>Fonction scientifique et technique</x:v>
      </x:c>
      <x:c r="E103" s="70" t="str">
        <x:v>Civils / support ; pas horde armée</x:v>
      </x:c>
      <x:c r="F103" s="70" t="str">
        <x:v>Alien: Earth</x:v>
      </x:c>
      <x:c r="G103" s="70" t="str">
        <x:v>Série</x:v>
      </x:c>
      <x:c r="H103" s="70" t="str">
        <x:v>Alien / Earth, 2120</x:v>
      </x:c>
      <x:c r="I103" s="70" t="str">
        <x:v>Attesté dans l’œuvre citée ; portée limitée à sa continuité</x:v>
      </x:c>
      <x:c r="J103" s="70" t="str">
        <x:v>Arthur Sylvia est l’un des techniciens responsables de Prodigy.</x:v>
      </x:c>
      <x:c r="K103" s="70" t="str">
        <x:v>H-S08 — Alien: Earth — personnages
FX ; Source primaire officielle
Portée : Rôles de Wendy, Hermit, Kirsh, Morrow, troupes et techniciens de Prodigy ; personnages nommés uniques.
Consulté le 2026-10-26</x:v>
      </x:c>
      <x:c r="L103" s="77" t="str">
        <x:v>https://www.fxnetworks.com/shows/alien-earth/characters</x:v>
      </x:c>
      <x:c r="M103" s="70" t="str">
        <x:v>Catalogue présent (39871c45). Aucun comportement dédié établi par ce contrôle ; une fiche source ne prouve pas un acteur spécialisé.</x:v>
      </x:c>
      <x:c r="N10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3" s="70" t="str">
        <x:v>Créer une fiche d’unité, une IA de rôle, un équipement de période et une règle de sélection par théâtre. Les comportements ci-dessous sont des propositions de conception.</x:v>
      </x:c>
      <x:c r="P103" s="70" t="str">
        <x:v>Réparer, isoler un secteur et sécuriser des données ; civils accompagnés et plafonnés.</x:v>
      </x:c>
      <x:c r="Q103" s="70" t="str">
        <x:v>Arthur unique ; techniciens originaux hors quotas combattants.</x:v>
      </x:c>
      <x:c r="R103" s="70" t="str">
        <x:v>X-H ; H-H ; extension X-Y-H originale</x:v>
      </x:c>
      <x:c r="S103" s="70" t="str">
        <x:v>H-L05 — Prodigy City et épave de l’USCSS Maginot</x:v>
      </x:c>
      <x:c r="T103" s="70" t="str">
        <x:v>Le scientifique n’est pas un soldat automatique ; fonctions et permissions distinctes.</x:v>
      </x:c>
      <x:c r="U103" s="70" t="str">
        <x:v>P1</x:v>
      </x:c>
    </x:row>
    <x:row r="104" ht="76.5" hidden="0" customHeight="1">
      <x:c r="A104" s="71" t="str">
        <x:v>HUM-024</x:v>
      </x:c>
      <x:c r="B104" s="71" t="str">
        <x:v>Humains et technologies humaines</x:v>
      </x:c>
      <x:c r="C104" s="71" t="str">
        <x:v>Morrow — sécurité du Maginot</x:v>
      </x:c>
      <x:c r="D104" s="71" t="str">
        <x:v>Personnage unique / fonction de sûreté</x:v>
      </x:c>
      <x:c r="E104" s="71" t="str">
        <x:v>Individu unique ; pas classe reproductible</x:v>
      </x:c>
      <x:c r="F104" s="71" t="str">
        <x:v>Alien: Earth</x:v>
      </x:c>
      <x:c r="G104" s="71" t="str">
        <x:v>Série</x:v>
      </x:c>
      <x:c r="H104" s="71" t="str">
        <x:v>Alien / Earth, 2120</x:v>
      </x:c>
      <x:c r="I104" s="71" t="str">
        <x:v>Attesté dans l’œuvre citée ; portée limitée à sa continuité</x:v>
      </x:c>
      <x:c r="J104" s="71" t="str">
        <x:v>Morrow est responsable de la sécurité du Maginot pour Weyland-Yutani.</x:v>
      </x:c>
      <x:c r="K104" s="71" t="str">
        <x:v>H-S08 — Alien: Earth — personnages
FX ; Source primaire officielle
Portée : Rôles de Wendy, Hermit, Kirsh, Morrow, troupes et techniciens de Prodigy ; personnages nommés uniques.
Consulté le 2026-10-26</x:v>
      </x:c>
      <x:c r="L104" s="76" t="str">
        <x:v>https://www.fxnetworks.com/shows/alien-earth/characters</x:v>
      </x:c>
      <x:c r="M104" s="71" t="str">
        <x:v>Catalogue présent (39871c45). Aucun comportement dédié établi par ce contrôle ; une fiche source ne prouve pas un acteur spécialisé.</x:v>
      </x:c>
      <x:c r="N10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4" s="71" t="str">
        <x:v>Créer une fiche d’unité, une IA de rôle, un équipement de période et une règle de sélection par théâtre. Les comportements ci-dessous sont des propositions de conception.</x:v>
      </x:c>
      <x:c r="P104" s="71" t="str">
        <x:v>Objectif autonome de récupération ; trêve, conflit ou retrait déterminés par le scénario.</x:v>
      </x:c>
      <x:c r="Q104" s="71" t="str">
        <x:v>Une seule instance ; escorte éventuelle entièrement originale.</x:v>
      </x:c>
      <x:c r="R104" s="71" t="str">
        <x:v>X-H ; H-H ; extension X-Y-H originale</x:v>
      </x:c>
      <x:c r="S104" s="71" t="str">
        <x:v>H-L05 — Prodigy City et épave de l’USCSS Maginot</x:v>
      </x:c>
      <x:c r="T104" s="71" t="str">
        <x:v>Ne pas généraliser son identité ou son agenda à toutes les unités humaines.</x:v>
      </x:c>
      <x:c r="U104" s="71" t="str">
        <x:v>P1</x:v>
      </x:c>
    </x:row>
    <x:row r="105" ht="76.5" hidden="0" customHeight="1">
      <x:c r="A105" s="70" t="str">
        <x:v>HUM-025</x:v>
      </x:c>
      <x:c r="B105" s="70" t="str">
        <x:v>Humains et technologies humaines</x:v>
      </x:c>
      <x:c r="C105" s="70" t="str">
        <x:v>Cyborgs humains</x:v>
      </x:c>
      <x:c r="D105" s="70" t="str">
        <x:v>Catégorie technologique, pas caste</x:v>
      </x:c>
      <x:c r="E105" s="70" t="str">
        <x:v>Cadre de classification ; profil précis requis</x:v>
      </x:c>
      <x:c r="F105" s="70" t="str">
        <x:v>Alien: Earth</x:v>
      </x:c>
      <x:c r="G105" s="70" t="str">
        <x:v>Série</x:v>
      </x:c>
      <x:c r="H105" s="70" t="str">
        <x:v>Alien / Earth, 2120</x:v>
      </x:c>
      <x:c r="I105" s="70" t="str">
        <x:v>Attesté dans l’œuvre citée ; portée limitée à sa continuité</x:v>
      </x:c>
      <x:c r="J105" s="70" t="str">
        <x:v>Un cyborg combine parties biologiques et artificielles.</x:v>
      </x:c>
      <x:c r="K105" s="70" t="str">
        <x:v>H-S10 — Alien: Earth — nouvelle série FX
The Walt Disney Company ; Source primaire officielle
Portée : Définition des trois catégories technologiques ; Wendy prototype et crash du Maginot.
Consulté le 2026-10-26</x:v>
      </x:c>
      <x:c r="L105" s="77" t="str">
        <x:v>https://thewaltdisneycompany.com/news/alien-earth-fx-noah-hawley/</x:v>
      </x:c>
      <x:c r="M105" s="70" t="str">
        <x:v>Catalogue présent (39871c45). Aucun comportement dédié établi par ce contrôle ; une fiche source ne prouve pas un acteur spécialisé.</x:v>
      </x:c>
      <x:c r="N10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5" s="70" t="str">
        <x:v>Créer une fiche d’unité, une IA de rôle, un équipement de période et une règle de sélection par théâtre. Les comportements ci-dessous sont des propositions de conception.</x:v>
      </x:c>
      <x:c r="P105" s="70" t="str">
        <x:v>Concevoir des composants et vulnérabilités propres au personnage choisi, après documentation.</x:v>
      </x:c>
      <x:c r="Q105" s="70" t="str">
        <x:v>Aucun bataillon de cyborgs déduit de cette définition.</x:v>
      </x:c>
      <x:c r="R105" s="70" t="str">
        <x:v>Selon personnage et œuvre ; extensions annoncées</x:v>
      </x:c>
      <x:c r="S105" s="70" t="str">
        <x:v>H-L05 — Prodigy City et épave de l’USCSS Maginot</x:v>
      </x:c>
      <x:c r="T105" s="70" t="str">
        <x:v>La catégorie ne prouve ni un arsenal partagé ni une résistance universelle.</x:v>
      </x:c>
      <x:c r="U105" s="70" t="str">
        <x:v>P2</x:v>
      </x:c>
    </x:row>
    <x:row r="106" ht="76.5" hidden="0" customHeight="1">
      <x:c r="A106" s="71" t="str">
        <x:v>HUM-026</x:v>
      </x:c>
      <x:c r="B106" s="71" t="str">
        <x:v>Synthétiques de fabrication humaine</x:v>
      </x:c>
      <x:c r="C106" s="71" t="str">
        <x:v>Kirsh — synthétique de Prodigy</x:v>
      </x:c>
      <x:c r="D106" s="71" t="str">
        <x:v>Personnage synthétique unique</x:v>
      </x:c>
      <x:c r="E106" s="71" t="str">
        <x:v>Individu unique</x:v>
      </x:c>
      <x:c r="F106" s="71" t="str">
        <x:v>Alien: Earth</x:v>
      </x:c>
      <x:c r="G106" s="71" t="str">
        <x:v>Série</x:v>
      </x:c>
      <x:c r="H106" s="71" t="str">
        <x:v>Alien / Earth, 2120</x:v>
      </x:c>
      <x:c r="I106" s="71" t="str">
        <x:v>Attesté dans l’œuvre citée ; portée limitée à sa continuité</x:v>
      </x:c>
      <x:c r="J106" s="71" t="str">
        <x:v>Kirsh est un synthétique participant à l’entraînement des hybrides.</x:v>
      </x:c>
      <x:c r="K106" s="71" t="str">
        <x:v>H-S08 — Alien: Earth — personnages
FX ; Source primaire officielle
Portée : Rôles de Wendy, Hermit, Kirsh, Morrow, troupes et techniciens de Prodigy ; personnages nommés uniques.
Consulté le 2026-10-26</x:v>
      </x:c>
      <x:c r="L106" s="76" t="str">
        <x:v>https://www.fxnetworks.com/shows/alien-earth/characters</x:v>
      </x:c>
      <x:c r="M106" s="71" t="str">
        <x:v>Catalogue présent (39871c45). Aucun comportement dédié établi par ce contrôle ; une fiche source ne prouve pas un acteur spécialisé.</x:v>
      </x:c>
      <x:c r="N10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6" s="71" t="str">
        <x:v>Créer une fiche d’unité, une IA de rôle, un équipement de période et une règle de sélection par théâtre. Les comportements ci-dessous sont des propositions de conception.</x:v>
      </x:c>
      <x:c r="P106" s="71" t="str">
        <x:v>Interlocuteur ou superviseur unique ; objectifs liés au site plutôt que chef de horde.</x:v>
      </x:c>
      <x:c r="Q106" s="71" t="str">
        <x:v>Un personnage ; aucune production de masse de Kirsh.</x:v>
      </x:c>
      <x:c r="R106" s="71" t="str">
        <x:v>X-H ; H-H ; extension Y-H originale</x:v>
      </x:c>
      <x:c r="S106" s="71" t="str">
        <x:v>H-L05 — Prodigy City et épave de l’USCSS Maginot</x:v>
      </x:c>
      <x:c r="T106" s="71" t="str">
        <x:v>Synthétique à IA, distinct d’un hybride porteur de conscience humaine.</x:v>
      </x:c>
      <x:c r="U106" s="71" t="str">
        <x:v>P2</x:v>
      </x:c>
    </x:row>
    <x:row r="107" ht="76.5" hidden="0" customHeight="1">
      <x:c r="A107" s="70" t="str">
        <x:v>HUM-027</x:v>
      </x:c>
      <x:c r="B107" s="70" t="str">
        <x:v>Hybrides technologiques de Prodigy</x:v>
      </x:c>
      <x:c r="C107" s="70" t="str">
        <x:v>Wendy et premiers hybrides de Prodigy</x:v>
      </x:c>
      <x:c r="D107" s="70" t="str">
        <x:v>Groupe nommé / technologie de conscience transférée</x:v>
      </x:c>
      <x:c r="E107" s="70" t="str">
        <x:v>Personnages uniques ; hors réserve générique</x:v>
      </x:c>
      <x:c r="F107" s="70" t="str">
        <x:v>Alien: Earth</x:v>
      </x:c>
      <x:c r="G107" s="70" t="str">
        <x:v>Série</x:v>
      </x:c>
      <x:c r="H107" s="70" t="str">
        <x:v>Alien / Earth, 2120</x:v>
      </x:c>
      <x:c r="I107" s="70" t="str">
        <x:v>Attesté dans l’œuvre citée ; portée limitée à sa continuité</x:v>
      </x:c>
      <x:c r="J107" s="70" t="str">
        <x:v>Wendy est le premier prototype hybride à conscience humaine.</x:v>
      </x:c>
      <x:c r="K107" s="70" t="str">
        <x:v>H-S10 — Alien: Earth — nouvelle série FX
The Walt Disney Company ; Source primaire officielle
Portée : Définition des trois catégories technologiques ; Wendy prototype et crash du Maginot.
Consulté le 2026-10-26</x:v>
      </x:c>
      <x:c r="L107" s="77" t="str">
        <x:v>https://thewaltdisneycompany.com/news/alien-earth-fx-noah-hawley/</x:v>
      </x:c>
      <x:c r="M107" s="70" t="str">
        <x:v>Catalogue présent (39871c45). Aucun comportement dédié établi par ce contrôle ; une fiche source ne prouve pas un acteur spécialisé.</x:v>
      </x:c>
      <x:c r="N10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7" s="70" t="str">
        <x:v>Créer une fiche d’unité, une IA de rôle, un équipement de période et une règle de sélection par théâtre. Les comportements ci-dessous sont des propositions de conception.</x:v>
      </x:c>
      <x:c r="P107" s="70" t="str">
        <x:v>Personnages narratifs avec états persistants ; capacités individuelles à documenter avant combat.</x:v>
      </x:c>
      <x:c r="Q107" s="70" t="str">
        <x:v>Identités distinctes, uniques ; aucun générateur de Lost Boys anonymes.</x:v>
      </x:c>
      <x:c r="R107" s="70" t="str">
        <x:v>X-H ; extension X-Y-H originale</x:v>
      </x:c>
      <x:c r="S107" s="70" t="str">
        <x:v>H-L05 — Prodigy City et épave de l’USCSS Maginot</x:v>
      </x:c>
      <x:c r="T107" s="70" t="str">
        <x:v>Le terme hybride ici ne signifie pas hybride biologique xénomorphe ; ne pas confondre avec Predalien ou Offspring.</x:v>
      </x:c>
      <x:c r="U107" s="70" t="str">
        <x:v>P2</x:v>
      </x:c>
    </x:row>
    <x:row r="108" ht="76.5" hidden="0" customHeight="1">
      <x:c r="A108" s="71" t="str">
        <x:v>HUM-028</x:v>
      </x:c>
      <x:c r="B108" s="71" t="str">
        <x:v>Synthétiques de fabrication humaine</x:v>
      </x:c>
      <x:c r="C108" s="71" t="str">
        <x:v>Steel Team</x:v>
      </x:c>
      <x:c r="D108" s="71" t="str">
        <x:v>Unité synthétique nommée</x:v>
      </x:c>
      <x:c r="E108" s="71" t="str">
        <x:v>Unité nommée unique ; composition exacte à documenter</x:v>
      </x:c>
      <x:c r="F108" s="71" t="str">
        <x:v>Alien (2022) #2–3</x:v>
      </x:c>
      <x:c r="G108" s="71" t="str">
        <x:v>Comic</x:v>
      </x:c>
      <x:c r="H108" s="71" t="str">
        <x:v>Alien / série Marvel 2022</x:v>
      </x:c>
      <x:c r="I108" s="71" t="str">
        <x:v>Attesté dans l’œuvre citée ; portée limitée à sa continuité</x:v>
      </x:c>
      <x:c r="J108" s="71" t="str">
        <x:v>Steel Team est une unité synthétique d’opérations spéciales.</x:v>
      </x:c>
      <x:c r="K108" s="71" t="str">
        <x:v>H-S11 — Alien (2022) #3
Marvel ; Source primaire officielle
Portée : Steel Team, survivants de Tobler-9 et coopération conditionnelle ; pas un effectif de bataille certifié.
Consulté le 2026-10-26</x:v>
      </x:c>
      <x:c r="L108" s="76" t="str">
        <x:v>https://www.marvel.com/comics/issue/103780/read</x:v>
      </x:c>
      <x:c r="M108" s="71" t="str">
        <x:v>Catalogue présent (39871c45). Aucun comportement dédié établi par ce contrôle ; une fiche source ne prouve pas un acteur spécialisé.</x:v>
      </x:c>
      <x:c r="N10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8" s="71" t="str">
        <x:v>Créer une fiche d’unité, une IA de rôle, un équipement de période et une règle de sélection par théâtre. Les comportements ci-dessous sont des propositions de conception.</x:v>
      </x:c>
      <x:c r="P108" s="71" t="str">
        <x:v>Détachement unique capable de coopérer temporairement avec des survivants.</x:v>
      </x:c>
      <x:c r="Q108" s="71" t="str">
        <x:v>Chaque membre garde son identité ; des renforts ne sont pas des clones de Steel Team.</x:v>
      </x:c>
      <x:c r="R108" s="71" t="str">
        <x:v>X-H ; H-H ; extension X-Y-H originale</x:v>
      </x:c>
      <x:c r="S108" s="71" t="str">
        <x:v>H-L06 — Tobler-9</x:v>
      </x:c>
      <x:c r="T108" s="71" t="str">
        <x:v>Décompte et noms exacts à relever avant reconstitution ; escorte originale explicitement distinguée.</x:v>
      </x:c>
      <x:c r="U108" s="71" t="str">
        <x:v>P1</x:v>
      </x:c>
    </x:row>
    <x:row r="109" ht="76.5" hidden="0" customHeight="1">
      <x:c r="A109" s="70" t="str">
        <x:v>HUM-029</x:v>
      </x:c>
      <x:c r="B109" s="70" t="str">
        <x:v>Humains et technologies humaines</x:v>
      </x:c>
      <x:c r="C109" s="70" t="str">
        <x:v>Survivants humains de Tobler-9</x:v>
      </x:c>
      <x:c r="D109" s="70" t="str">
        <x:v>Communauté de survivants</x:v>
      </x:c>
      <x:c r="E109" s="70" t="str">
        <x:v>Profil commun à adapter ; nombres et formation proposés</x:v>
      </x:c>
      <x:c r="F109" s="70" t="str">
        <x:v>Alien (2022) #3</x:v>
      </x:c>
      <x:c r="G109" s="70" t="str">
        <x:v>Comic</x:v>
      </x:c>
      <x:c r="H109" s="70" t="str">
        <x:v>Alien / série Marvel 2022</x:v>
      </x:c>
      <x:c r="I109" s="70" t="str">
        <x:v>Attesté dans l’œuvre citée ; portée limitée à sa continuité</x:v>
      </x:c>
      <x:c r="J109" s="70" t="str">
        <x:v>Des humains survivent sur Tobler-9 et négocient avec Steel Team.</x:v>
      </x:c>
      <x:c r="K109" s="70" t="str">
        <x:v>H-S11 — Alien (2022) #3
Marvel ; Source primaire officielle
Portée : Steel Team, survivants de Tobler-9 et coopération conditionnelle ; pas un effectif de bataille certifié.
Consulté le 2026-10-26</x:v>
      </x:c>
      <x:c r="L109" s="77" t="str">
        <x:v>https://www.marvel.com/comics/issue/103780/read</x:v>
      </x:c>
      <x:c r="M109" s="70" t="str">
        <x:v>Catalogue présent (39871c45). Aucun comportement dédié établi par ce contrôle ; une fiche source ne prouve pas un acteur spécialisé.</x:v>
      </x:c>
      <x:c r="N10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09" s="70" t="str">
        <x:v>Créer une fiche d’unité, une IA de rôle, un équipement de période et une règle de sélection par théâtre. Les comportements ci-dessous sont des propositions de conception.</x:v>
      </x:c>
      <x:c r="P109" s="70" t="str">
        <x:v>Guide, défense locale ou évacuation ; relations fondées sur objectifs et confiance.</x:v>
      </x:c>
      <x:c r="Q109" s="70" t="str">
        <x:v>Séparer combattants volontaires et civils ; nombres proposés, pas relevés de planche.</x:v>
      </x:c>
      <x:c r="R109" s="70" t="str">
        <x:v>X-H ; H-H ; extension X-Y-H originale</x:v>
      </x:c>
      <x:c r="S109" s="70" t="str">
        <x:v>H-L06 — Tobler-9</x:v>
      </x:c>
      <x:c r="T109" s="70" t="str">
        <x:v>La coopération avec les synthétiques ne crée pas une alliance universelle.</x:v>
      </x:c>
      <x:c r="U109" s="70" t="str">
        <x:v>P1</x:v>
      </x:c>
    </x:row>
    <x:row r="110" ht="76.5" hidden="0" customHeight="1">
      <x:c r="A110" s="71" t="str">
        <x:v>HUM-030</x:v>
      </x:c>
      <x:c r="B110" s="71" t="str">
        <x:v>Humains et technologies humaines</x:v>
      </x:c>
      <x:c r="C110" s="71" t="str">
        <x:v>Communauté des Spinners</x:v>
      </x:c>
      <x:c r="D110" s="71" t="str">
        <x:v>Population coloniale civile</x:v>
      </x:c>
      <x:c r="E110" s="71" t="str">
        <x:v>Population civile ; combattants uniquement sur preuve ou variante originale</x:v>
      </x:c>
      <x:c r="F110" s="71" t="str">
        <x:v>Alien (2021) #7</x:v>
      </x:c>
      <x:c r="G110" s="71" t="str">
        <x:v>Comic</x:v>
      </x:c>
      <x:c r="H110" s="71" t="str">
        <x:v>Alien / série Marvel 2021</x:v>
      </x:c>
      <x:c r="I110" s="71" t="str">
        <x:v>Attesté dans l’œuvre citée ; portée limitée à sa continuité</x:v>
      </x:c>
      <x:c r="J110" s="71" t="str">
        <x:v>Les Spinners habitent une colonie de lune en terraformation.</x:v>
      </x:c>
      <x:c r="K110" s="71" t="str">
        <x:v>H-S12 — Alien (2021) #7 — fiche officielle
Marvel ; Source primaire officielle
Portée : Communauté des Spinners sur une lune en terraformation ; nom précis non confirmé par la fiche consultée.
Consulté le 2026-10-26</x:v>
      </x:c>
      <x:c r="L110" s="76" t="str">
        <x:v>https://www.marvel.com/comics/issue/96969/alien_2021_7_variant/variant</x:v>
      </x:c>
      <x:c r="M110" s="71" t="str">
        <x:v>Catalogue présent (39871c45). Aucun comportement dédié établi par ce contrôle ; une fiche source ne prouve pas un acteur spécialisé.</x:v>
      </x:c>
      <x:c r="N11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0" s="71" t="str">
        <x:v>Créer une fiche d’unité, une IA de rôle, un équipement de période et une règle de sélection par théâtre. Les comportements ci-dessous sont des propositions de conception.</x:v>
      </x:c>
      <x:c r="P110" s="71" t="str">
        <x:v>Evacuation, survie et remise en route du habitat ; habitants distincts des soldats.</x:v>
      </x:c>
      <x:c r="Q110" s="71" t="str">
        <x:v>Groupes civils finis ; gardes originaux seulement si la variante le précise.</x:v>
      </x:c>
      <x:c r="R110" s="71" t="str">
        <x:v>X-H ; extension X-Y-H originale</x:v>
      </x:c>
      <x:c r="S110" s="71" t="str">
        <x:v>H-L08 — Lune des Spinners — nom à confirmer</x:v>
      </x:c>
      <x:c r="T110" s="71" t="str">
        <x:v>Nom exact de la lune à confirmer ; ne pas déduire un arsenal militaire de la fiche éditoriale.</x:v>
      </x:c>
      <x:c r="U110" s="71" t="str">
        <x:v>P1</x:v>
      </x:c>
    </x:row>
    <x:row r="111" ht="76.5" hidden="0" customHeight="1">
      <x:c r="A111" s="70" t="str">
        <x:v>HUM-031</x:v>
      </x:c>
      <x:c r="B111" s="70" t="str">
        <x:v>Synthétiques de fabrication humaine</x:v>
      </x:c>
      <x:c r="C111" s="70" t="str">
        <x:v>Thia — synthétique Weyland-Yutani</x:v>
      </x:c>
      <x:c r="D111" s="70" t="str">
        <x:v>Personnage synthétique unique</x:v>
      </x:c>
      <x:c r="E111" s="70" t="str">
        <x:v>Individu unique</x:v>
      </x:c>
      <x:c r="F111" s="70" t="str">
        <x:v>Predator: Badlands</x:v>
      </x:c>
      <x:c r="G111" s="70" t="str">
        <x:v>Film</x:v>
      </x:c>
      <x:c r="H111" s="70" t="str">
        <x:v>Predator / Badlands</x:v>
      </x:c>
      <x:c r="I111" s="70" t="str">
        <x:v>Attesté dans l’œuvre citée ; portée limitée à sa continuité</x:v>
      </x:c>
      <x:c r="J111" s="70" t="str">
        <x:v>Thia est une synthétique Weyland-Yutani endommagée qui accompagne Dek.</x:v>
      </x:c>
      <x:c r="K111" s="70" t="str">
        <x:v>H-S14 — Predator: Badlands — histoire et personnages
Disney+ ; Source primaire officielle
Portée : Genna, Dek et Thia, synthétique endommagée Weyland-Yutani ; aucune armée de clones déduite.
Consulté le 2026-10-26</x:v>
      </x:c>
      <x:c r="L111" s="77" t="str">
        <x:v>https://www.disneyplus.com/explore/articles/predator-badlands-movie</x:v>
      </x:c>
      <x:c r="M111" s="70" t="str">
        <x:v>Catalogue présent (39871c45). Aucun comportement dédié établi par ce contrôle ; une fiche source ne prouve pas un acteur spécialisé.</x:v>
      </x:c>
      <x:c r="N11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1" s="70" t="str">
        <x:v>Créer une fiche d’unité, une IA de rôle, un équipement de période et une règle de sélection par théâtre. Les comportements ci-dessous sont des propositions de conception.
Thia reste individuelle ; ajouter Tessa distincte et ne pas instancier une réserve de Thia.</x:v>
      </x:c>
      <x:c r="P111" s="70" t="str">
        <x:v>Compagne de mission ; fonctions d’information et d’entraide à scénariser.</x:v>
      </x:c>
      <x:c r="Q111" s="70" t="str">
        <x:v>Une seule Thia ; aucune escouade de copies déduite.</x:v>
      </x:c>
      <x:c r="R111" s="70" t="str">
        <x:v>Y-H coopératif ; autres conflits uniquement variante originale</x:v>
      </x:c>
      <x:c r="S111" s="70" t="str">
        <x:v>Genna</x:v>
      </x:c>
      <x:c r="T111" s="70" t="str">
        <x:v>Affiliation Weyland-Yutani ne signifie pas hostilité automatique au joueur ; pas d’armée attribuée sans source.</x:v>
      </x:c>
      <x:c r="U111" s="70" t="str">
        <x:v>P1</x:v>
      </x:c>
    </x:row>
    <x:row r="112" ht="76.5" hidden="0" customHeight="1">
      <x:c r="A112" s="71" t="str">
        <x:v>HUM-032</x:v>
      </x:c>
      <x:c r="B112" s="71" t="str">
        <x:v>Humains et technologies humaines</x:v>
      </x:c>
      <x:c r="C112" s="71" t="str">
        <x:v>Theta</x:v>
      </x:c>
      <x:c r="D112" s="71" t="str">
        <x:v>Personnage humain unique / chasseuse de Yautja</x:v>
      </x:c>
      <x:c r="E112" s="71" t="str">
        <x:v>Individu unique</x:v>
      </x:c>
      <x:c r="F112" s="71" t="str">
        <x:v>Predator (2022) #1–2</x:v>
      </x:c>
      <x:c r="G112" s="71" t="str">
        <x:v>Comic</x:v>
      </x:c>
      <x:c r="H112" s="71" t="str">
        <x:v>Predator / série Marvel 2022</x:v>
      </x:c>
      <x:c r="I112" s="71" t="str">
        <x:v>Attesté dans l’œuvre citée ; portée limitée à sa continuité</x:v>
      </x:c>
      <x:c r="J112" s="71" t="str">
        <x:v>Theta traque le Yautja responsable de la mort de sa famille.</x:v>
      </x:c>
      <x:c r="K112" s="71" t="str">
        <x:v>H-S15 — Predator (2022) #1
Marvel ; Source primaire officielle
Portée : Theta poursuit le Yautja ayant tué sa famille ; personnage individuel.
Consulté le 2026-10-26</x:v>
      </x:c>
      <x:c r="L112" s="76" t="str">
        <x:v>https://www.marvel.com/comics/issue/89617/predator</x:v>
      </x:c>
      <x:c r="M112" s="71" t="str">
        <x:v>Catalogue présent (39871c45). Identité adapted_theta unique dans la configuration ; acteur marine générique.</x:v>
      </x:c>
      <x:c r="N112" s="71" t="str">
        <x:v>Catalogue importé : https://github.com/darknigthmare/Yautja-hive-warriors/blob/39871c450379225de8174711237632e6aa883f04/js/data/BattleCatalog.js#L41-L51
Preuve ciblée : https://github.com/darknigthmare/Yautja-hive-warriors/blob/39871c450379225de8174711237632e6aa883f04/js/data/BattleCatalog.js#L260-L264</x:v>
      </x:c>
      <x:c r="O112" s="71" t="str">
        <x:v>Créer une fiche d’unité, une IA de rôle, un équipement de période et une règle de sélection par théâtre. Les comportements ci-dessous sont des propositions de conception.</x:v>
      </x:c>
      <x:c r="P112" s="71" t="str">
        <x:v>Adversaire ou interlocutrice d’une traque précise ; choix de fuite, de duel ou de négociation.</x:v>
      </x:c>
      <x:c r="Q112" s="71" t="str">
        <x:v>Une seule instance ; effectif d’avant-poste ajouté explicitement original.</x:v>
      </x:c>
      <x:c r="R112" s="71" t="str">
        <x:v>Y-H ; autres espèces seulement crossover annoncé</x:v>
      </x:c>
      <x:c r="S112" s="71" t="str">
        <x:v>H-L09 — Planète de toundra de Theta — nom non donné</x:v>
      </x:c>
      <x:c r="T112" s="71" t="str">
        <x:v>Pas de caste humaine de Theta, ni d’alliance imposée à toutes ses rencontres.</x:v>
      </x:c>
      <x:c r="U112" s="71" t="str">
        <x:v>P1</x:v>
      </x:c>
    </x:row>
    <x:row r="113" ht="90" hidden="0" customHeight="1">
      <x:c r="A113" s="70" t="str">
        <x:v>HUM-033</x:v>
      </x:c>
      <x:c r="B113" s="70" t="str">
        <x:v>Humains et technologies humaines</x:v>
      </x:c>
      <x:c r="C113" s="70" t="str">
        <x:v>Chasseurs comanches — Naru et Taabe</x:v>
      </x:c>
      <x:c r="D113" s="70" t="str">
        <x:v>Groupe humain et personnages uniques</x:v>
      </x:c>
      <x:c r="E113" s="70" t="str">
        <x:v>Personnages uniques + groupe humain de période</x:v>
      </x:c>
      <x:c r="F113" s="70" t="str">
        <x:v>Prey</x:v>
      </x:c>
      <x:c r="G113" s="70" t="str">
        <x:v>Film</x:v>
      </x:c>
      <x:c r="H113" s="70" t="str">
        <x:v>Predator / Prey, 1719</x:v>
      </x:c>
      <x:c r="I113" s="70" t="str">
        <x:v>Attesté dans l’œuvre citée ; portée limitée à sa continuité</x:v>
      </x:c>
      <x:c r="J113" s="70" t="str">
        <x:v>Naru et Taabe sont des chasseurs comanches du film.</x:v>
      </x:c>
      <x:c r="K113" s="70"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L113" s="77" t="str">
        <x:v>https://lumiere-a.akamaihd.net/v1/documents/prey_final_production_notes_bios_59_82be4e25.pdf</x:v>
      </x:c>
      <x:c r="M113" s="70" t="str">
        <x:v>Catalogue présent (39871c45). Aucun comportement dédié établi par ce contrôle ; une fiche source ne prouve pas un acteur spécialisé.</x:v>
      </x:c>
      <x:c r="N113"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3" s="70" t="str">
        <x:v>Créer une fiche d’unité, une IA de rôle, un équipement de période et une règle de sélection par théâtre. Les comportements ci-dessous sont des propositions de conception.</x:v>
      </x:c>
      <x:c r="P113" s="70" t="str">
        <x:v>Pistage, secours et protection du camp ; duels individuels et terrain utile.</x:v>
      </x:c>
      <x:c r="Q113" s="70" t="str">
        <x:v>Naru et Taabe uniques ; groupe de chasse séparé des personnes du camp.</x:v>
      </x:c>
      <x:c r="R113" s="70" t="str">
        <x:v>Y-H ; H-H ; pas de Xénomorphes en reconstitution</x:v>
      </x:c>
      <x:c r="S113" s="70" t="str">
        <x:v>H-L10 ; LD-10</x:v>
      </x:c>
      <x:c r="T113" s="70" t="str">
        <x:v>Equipement de période ; identité culturelle ne définit pas une faction ennemie automatique.</x:v>
      </x:c>
      <x:c r="U113" s="70" t="str">
        <x:v>P1</x:v>
      </x:c>
    </x:row>
    <x:row r="114" ht="90" hidden="0" customHeight="1">
      <x:c r="A114" s="71" t="str">
        <x:v>HUM-034</x:v>
      </x:c>
      <x:c r="B114" s="71" t="str">
        <x:v>Humains et technologies humaines</x:v>
      </x:c>
      <x:c r="C114" s="71" t="str">
        <x:v>Trappeurs de Prey</x:v>
      </x:c>
      <x:c r="D114" s="71" t="str">
        <x:v>Groupe humain de période</x:v>
      </x:c>
      <x:c r="E114" s="71" t="str">
        <x:v>Profil commun à adapter ; nombres et formation proposés</x:v>
      </x:c>
      <x:c r="F114" s="71" t="str">
        <x:v>Prey</x:v>
      </x:c>
      <x:c r="G114" s="71" t="str">
        <x:v>Film</x:v>
      </x:c>
      <x:c r="H114" s="71" t="str">
        <x:v>Predator / Prey, 1719</x:v>
      </x:c>
      <x:c r="I114" s="71" t="str">
        <x:v>Attesté dans l’œuvre citée ; portée limitée à sa continuité</x:v>
      </x:c>
      <x:c r="J114" s="71" t="str">
        <x:v>Les notes de production décrivent les trappeurs du film.</x:v>
      </x:c>
      <x:c r="K114" s="71"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L114" s="76" t="str">
        <x:v>https://lumiere-a.akamaihd.net/v1/documents/prey_final_production_notes_bios_59_82be4e25.pdf</x:v>
      </x:c>
      <x:c r="M114" s="71" t="str">
        <x:v>Catalogue présent (39871c45). Aucun comportement dédié établi par ce contrôle ; une fiche source ne prouve pas un acteur spécialisé.</x:v>
      </x:c>
      <x:c r="N114"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4" s="71" t="str">
        <x:v>Créer une fiche d’unité, une IA de rôle, un équipement de période et une règle de sélection par théâtre. Les comportements ci-dessous sont des propositions de conception.</x:v>
      </x:c>
      <x:c r="P114" s="71" t="str">
        <x:v>Camp, capture, poursuite et rechargement ; liens avec pistes et ravitaillement.</x:v>
      </x:c>
      <x:c r="Q114" s="71" t="str">
        <x:v>Petits groupes finis ; quantité du film à relever pour une reconstitution.</x:v>
      </x:c>
      <x:c r="R114" s="71" t="str">
        <x:v>Y-H ; H-H ; X seulement variante explicitement originale</x:v>
      </x:c>
      <x:c r="S114" s="71" t="str">
        <x:v>H-L10 ; LD-10</x:v>
      </x:c>
      <x:c r="T114" s="71" t="str">
        <x:v>Pas de fusils automatiques, de Marines ou de robots par défaut.</x:v>
      </x:c>
      <x:c r="U114" s="71" t="str">
        <x:v>P1</x:v>
      </x:c>
    </x:row>
    <x:row r="115" ht="76.5" hidden="0" customHeight="1">
      <x:c r="A115" s="70" t="str">
        <x:v>HUM-035</x:v>
      </x:c>
      <x:c r="B115" s="70" t="str">
        <x:v>Humains et technologies humaines</x:v>
      </x:c>
      <x:c r="C115" s="70" t="str">
        <x:v>Lynch, Dynamic et Threshold</x:v>
      </x:c>
      <x:c r="D115" s="70" t="str">
        <x:v>Corporations attestées, roster militaire non confirmé</x:v>
      </x:c>
      <x:c r="E115" s="70" t="str">
        <x:v>Exclu du spawn tant que le roster reste non sourcé</x:v>
      </x:c>
      <x:c r="F115" s="70" t="str">
        <x:v>Alien: Earth</x:v>
      </x:c>
      <x:c r="G115" s="70" t="str">
        <x:v>Série</x:v>
      </x:c>
      <x:c r="H115" s="70" t="str">
        <x:v>Alien / Earth, 2120</x:v>
      </x:c>
      <x:c r="I115" s="70" t="str">
        <x:v>Existence des corporations confirmée ; unités non documentées</x:v>
      </x:c>
      <x:c r="J115" s="70" t="str">
        <x:v>Lynch, Dynamic et Threshold font partie des cinq corporations.</x:v>
      </x:c>
      <x:c r="K115" s="70" t="str">
        <x:v>H-S09 — Alien: Earth — présentation de la série
ABC / Disney ; Source primaire officielle
Portée : Année 2120, cinq corporations, cyborgs/synthétiques/hybrides, Maginot et Prodigy City.
Consulté le 2026-10-26</x:v>
      </x:c>
      <x:c r="L115" s="77" t="str">
        <x:v>https://abc.com/show/95f00a9c-4cd4-4307-8eac-1485d9e439ea/about-the-show</x:v>
      </x:c>
      <x:c r="M115" s="70" t="str">
        <x:v>Catalogue présent (39871c45). Aucun comportement dédié établi par ce contrôle ; une fiche source ne prouve pas un acteur spécialisé.</x:v>
      </x:c>
      <x:c r="N115"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5" s="70" t="str">
        <x:v>Créer une fiche d’unité, une IA de rôle, un équipement de période et une règle de sélection par théâtre. Les comportements ci-dessous sont des propositions de conception.</x:v>
      </x:c>
      <x:c r="P115" s="70" t="str">
        <x:v>Réserve de recherche pour diplomatie et contrats ; aucun soldat spécifique validé par leur seul nom.</x:v>
      </x:c>
      <x:c r="Q115" s="70" t="str">
        <x:v>Aucune unité autorisée sans source supplémentaire.</x:v>
      </x:c>
      <x:c r="R115" s="70" t="str">
        <x:v>Non défini : données de faction à compléter</x:v>
      </x:c>
      <x:c r="S115" s="70" t="str">
        <x:v>H-L05 — Prodigy City et épave de l’USCSS Maginot</x:v>
      </x:c>
      <x:c r="T115" s="70" t="str">
        <x:v>Ne pas inventer une armée canonique, une hiérarchie ou un équipement à partir d’un nom d’entreprise.</x:v>
      </x:c>
      <x:c r="U115" s="70" t="str">
        <x:v>P2</x:v>
      </x:c>
    </x:row>
    <x:row r="116" ht="103.5" hidden="0" customHeight="1">
      <x:c r="A116" s="71" t="str">
        <x:v>HUM-036</x:v>
      </x:c>
      <x:c r="B116" s="71" t="str">
        <x:v>Humains et technologies humaines</x:v>
      </x:c>
      <x:c r="C116" s="71" t="str">
        <x:v>Sniper — Extinction</x:v>
      </x:c>
      <x:c r="D116" s="71" t="str">
        <x:v>Classe humaine de jeu</x:v>
      </x:c>
      <x:c r="E116" s="71" t="str">
        <x:v>Profil commun à adapter ; nombres et formation proposés</x:v>
      </x:c>
      <x:c r="F116" s="71" t="str">
        <x:v>Aliens Versus Predator: Extinction</x:v>
      </x:c>
      <x:c r="G116" s="71" t="str">
        <x:v>Jeu</x:v>
      </x:c>
      <x:c r="H116" s="71" t="str">
        <x:v>AVP / Extinction</x:v>
      </x:c>
      <x:c r="I116" s="71" t="str">
        <x:v>Attesté dans l’œuvre citée ; portée limitée à sa continuité</x:v>
      </x:c>
      <x:c r="J116" s="71" t="str">
        <x:v>Sniper figure au roster humain.</x:v>
      </x:c>
      <x:c r="K116"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6" s="76" t="str">
        <x:v>https://gamingalexandria.com/ps2/Aliens%20Versus%20Predator%20Extinction/Aliens%20Versus%20Predator%20Extinction%20-%20Manual.pdf</x:v>
      </x:c>
      <x:c r="M116" s="71" t="str">
        <x:v>Catalogue présent (39871c45). Aucun comportement dédié établi par ce contrôle ; une fiche source ne prouve pas un acteur spécialisé.</x:v>
      </x:c>
      <x:c r="N116"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6" s="71" t="str">
        <x:v>Créer une fiche d’unité, une IA de rôle, un équipement de période et une règle de sélection par théâtre. Les comportements ci-dessous sont des propositions de conception.</x:v>
      </x:c>
      <x:c r="P116" s="71" t="str">
        <x:v>Tireur spécialisé de couverture ; adaptation tactique à développer et à profiler.</x:v>
      </x:c>
      <x:c r="Q116" s="71" t="str">
        <x:v>Profil intégré à une section ; pilote compté comme combattant, véhicule comme matériel séparé si applicable.</x:v>
      </x:c>
      <x:c r="R116" s="71" t="str">
        <x:v>X-H ; Y-H ; X-Y-H</x:v>
      </x:c>
      <x:c r="S116" s="71" t="str">
        <x:v>Théâtre original AVP du futur</x:v>
      </x:c>
      <x:c r="T116" s="71" t="str">
        <x:v>Preset AVP: Extinction uniquement par défaut ; sélectionner un rôle dans le groupe sans ajouter son effectif au budget. Aucun arbre d’amélioration transformé en biologie ou loi de la franchise.</x:v>
      </x:c>
      <x:c r="U116" s="71" t="str">
        <x:v>P1</x:v>
      </x:c>
    </x:row>
    <x:row r="117" ht="103.5" hidden="0" customHeight="1">
      <x:c r="A117" s="70" t="str">
        <x:v>HUM-037</x:v>
      </x:c>
      <x:c r="B117" s="70" t="str">
        <x:v>Humains et technologies humaines</x:v>
      </x:c>
      <x:c r="C117" s="70" t="str">
        <x:v>Medic — Extinction</x:v>
      </x:c>
      <x:c r="D117" s="70" t="str">
        <x:v>Classe humaine de jeu</x:v>
      </x:c>
      <x:c r="E117" s="70" t="str">
        <x:v>Profil commun à adapter ; nombres et formation proposés</x:v>
      </x:c>
      <x:c r="F117" s="70" t="str">
        <x:v>Aliens Versus Predator: Extinction</x:v>
      </x:c>
      <x:c r="G117" s="70" t="str">
        <x:v>Jeu</x:v>
      </x:c>
      <x:c r="H117" s="70" t="str">
        <x:v>AVP / Extinction</x:v>
      </x:c>
      <x:c r="I117" s="70" t="str">
        <x:v>Attesté dans l’œuvre citée ; portée limitée à sa continuité</x:v>
      </x:c>
      <x:c r="J117" s="70" t="str">
        <x:v>Medic figure au roster humain.</x:v>
      </x:c>
      <x:c r="K117"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7" s="77" t="str">
        <x:v>https://gamingalexandria.com/ps2/Aliens%20Versus%20Predator%20Extinction/Aliens%20Versus%20Predator%20Extinction%20-%20Manual.pdf</x:v>
      </x:c>
      <x:c r="M117" s="70" t="str">
        <x:v>Catalogue présent (39871c45). Aucun comportement dédié établi par ce contrôle ; une fiche source ne prouve pas un acteur spécialisé.</x:v>
      </x:c>
      <x:c r="N117"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7" s="70" t="str">
        <x:v>Créer une fiche d’unité, une IA de rôle, un équipement de période et une règle de sélection par théâtre. Les comportements ci-dessous sont des propositions de conception.</x:v>
      </x:c>
      <x:c r="P117" s="70" t="str">
        <x:v>Secours médical de section ; adaptation tactique à développer et à profiler.</x:v>
      </x:c>
      <x:c r="Q117" s="70" t="str">
        <x:v>Profil intégré à une section ; pilote compté comme combattant, véhicule comme matériel séparé si applicable.</x:v>
      </x:c>
      <x:c r="R117" s="70" t="str">
        <x:v>X-H ; Y-H ; X-Y-H</x:v>
      </x:c>
      <x:c r="S117" s="70" t="str">
        <x:v>Théâtre original AVP du futur</x:v>
      </x:c>
      <x:c r="T117" s="70" t="str">
        <x:v>Preset AVP: Extinction uniquement par défaut ; sélectionner un rôle dans le groupe sans ajouter son effectif au budget. Aucun arbre d’amélioration transformé en biologie ou loi de la franchise.</x:v>
      </x:c>
      <x:c r="U117" s="70" t="str">
        <x:v>P1</x:v>
      </x:c>
    </x:row>
    <x:row r="118" ht="103.5" hidden="0" customHeight="1">
      <x:c r="A118" s="71" t="str">
        <x:v>HUM-038</x:v>
      </x:c>
      <x:c r="B118" s="71" t="str">
        <x:v>Humains et technologies humaines</x:v>
      </x:c>
      <x:c r="C118" s="71" t="str">
        <x:v>CommTech — Extinction</x:v>
      </x:c>
      <x:c r="D118" s="71" t="str">
        <x:v>Classe humaine de jeu</x:v>
      </x:c>
      <x:c r="E118" s="71" t="str">
        <x:v>Profil commun à adapter ; nombres et formation proposés</x:v>
      </x:c>
      <x:c r="F118" s="71" t="str">
        <x:v>Aliens Versus Predator: Extinction</x:v>
      </x:c>
      <x:c r="G118" s="71" t="str">
        <x:v>Jeu</x:v>
      </x:c>
      <x:c r="H118" s="71" t="str">
        <x:v>AVP / Extinction</x:v>
      </x:c>
      <x:c r="I118" s="71" t="str">
        <x:v>Attesté dans l’œuvre citée ; portée limitée à sa continuité</x:v>
      </x:c>
      <x:c r="J118" s="71" t="str">
        <x:v>CommTech figure au roster humain.</x:v>
      </x:c>
      <x:c r="K118"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8" s="76" t="str">
        <x:v>https://gamingalexandria.com/ps2/Aliens%20Versus%20Predator%20Extinction/Aliens%20Versus%20Predator%20Extinction%20-%20Manual.pdf</x:v>
      </x:c>
      <x:c r="M118" s="71" t="str">
        <x:v>Catalogue présent (39871c45). Aucun comportement dédié établi par ce contrôle ; une fiche source ne prouve pas un acteur spécialisé.</x:v>
      </x:c>
      <x:c r="N118"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8" s="71" t="str">
        <x:v>Créer une fiche d’unité, une IA de rôle, un équipement de période et une règle de sélection par théâtre. Les comportements ci-dessous sont des propositions de conception.</x:v>
      </x:c>
      <x:c r="P118" s="71" t="str">
        <x:v>Communications et logistique ; adaptation tactique à développer et à profiler.</x:v>
      </x:c>
      <x:c r="Q118" s="71" t="str">
        <x:v>Profil intégré à une section ; pilote compté comme combattant, véhicule comme matériel séparé si applicable.</x:v>
      </x:c>
      <x:c r="R118" s="71" t="str">
        <x:v>X-H ; Y-H ; X-Y-H</x:v>
      </x:c>
      <x:c r="S118" s="71" t="str">
        <x:v>Théâtre original AVP du futur</x:v>
      </x:c>
      <x:c r="T118" s="71" t="str">
        <x:v>Preset AVP: Extinction uniquement par défaut ; sélectionner un rôle dans le groupe sans ajouter son effectif au budget. Aucun arbre d’amélioration transformé en biologie ou loi de la franchise.</x:v>
      </x:c>
      <x:c r="U118" s="71" t="str">
        <x:v>P1</x:v>
      </x:c>
    </x:row>
    <x:row r="119" ht="103.5" hidden="0" customHeight="1">
      <x:c r="A119" s="70" t="str">
        <x:v>HUM-039</x:v>
      </x:c>
      <x:c r="B119" s="70" t="str">
        <x:v>Synthétiques de fabrication humaine</x:v>
      </x:c>
      <x:c r="C119" s="70" t="str">
        <x:v>Synthetic — Extinction</x:v>
      </x:c>
      <x:c r="D119" s="70" t="str">
        <x:v>Classe synthétique de jeu</x:v>
      </x:c>
      <x:c r="E119" s="70" t="str">
        <x:v>Profil commun à adapter ; nombres et formation proposés</x:v>
      </x:c>
      <x:c r="F119" s="70" t="str">
        <x:v>Aliens Versus Predator: Extinction</x:v>
      </x:c>
      <x:c r="G119" s="70" t="str">
        <x:v>Jeu</x:v>
      </x:c>
      <x:c r="H119" s="70" t="str">
        <x:v>AVP / Extinction</x:v>
      </x:c>
      <x:c r="I119" s="70" t="str">
        <x:v>Attesté dans l’œuvre citée ; portée limitée à sa continuité</x:v>
      </x:c>
      <x:c r="J119" s="70" t="str">
        <x:v>Synthetic figure au roster humain.</x:v>
      </x:c>
      <x:c r="K119"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19" s="77" t="str">
        <x:v>https://gamingalexandria.com/ps2/Aliens%20Versus%20Predator%20Extinction/Aliens%20Versus%20Predator%20Extinction%20-%20Manual.pdf</x:v>
      </x:c>
      <x:c r="M119" s="70" t="str">
        <x:v>Catalogue présent (39871c45). Aucun comportement dédié établi par ce contrôle ; une fiche source ne prouve pas un acteur spécialisé.</x:v>
      </x:c>
      <x:c r="N119"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19" s="70" t="str">
        <x:v>Créer une fiche d’unité, une IA de rôle, un équipement de période et une règle de sélection par théâtre. Les comportements ci-dessous sont des propositions de conception.</x:v>
      </x:c>
      <x:c r="P119" s="70" t="str">
        <x:v>Support robotique de section ; adaptation tactique à développer et à profiler.</x:v>
      </x:c>
      <x:c r="Q119" s="70" t="str">
        <x:v>Profil intégré à une section ; pilote compté comme combattant, véhicule comme matériel séparé si applicable.</x:v>
      </x:c>
      <x:c r="R119" s="70" t="str">
        <x:v>X-H ; Y-H ; X-Y-H</x:v>
      </x:c>
      <x:c r="S119" s="70" t="str">
        <x:v>Théâtre original AVP du futur</x:v>
      </x:c>
      <x:c r="T119" s="70" t="str">
        <x:v>Preset AVP: Extinction uniquement par défaut ; sélectionner un rôle dans le groupe sans ajouter son effectif au budget. Aucun arbre d’amélioration transformé en biologie ou loi de la franchise.</x:v>
      </x:c>
      <x:c r="U119" s="70" t="str">
        <x:v>P1</x:v>
      </x:c>
    </x:row>
    <x:row r="120" ht="103.5" hidden="0" customHeight="1">
      <x:c r="A120" s="71" t="str">
        <x:v>HUM-040</x:v>
      </x:c>
      <x:c r="B120" s="71" t="str">
        <x:v>Humains et technologies humaines</x:v>
      </x:c>
      <x:c r="C120" s="71" t="str">
        <x:v>Exosuit — Extinction</x:v>
      </x:c>
      <x:c r="D120" s="71" t="str">
        <x:v>Matériel piloté / classe de jeu</x:v>
      </x:c>
      <x:c r="E120" s="71" t="str">
        <x:v>Profil commun à adapter ; nombres et formation proposés</x:v>
      </x:c>
      <x:c r="F120" s="71" t="str">
        <x:v>Aliens Versus Predator: Extinction</x:v>
      </x:c>
      <x:c r="G120" s="71" t="str">
        <x:v>Jeu</x:v>
      </x:c>
      <x:c r="H120" s="71" t="str">
        <x:v>AVP / Extinction</x:v>
      </x:c>
      <x:c r="I120" s="71" t="str">
        <x:v>Attesté dans l’œuvre citée ; portée limitée à sa continuité</x:v>
      </x:c>
      <x:c r="J120" s="71" t="str">
        <x:v>Exosuit figure au roster humain.</x:v>
      </x:c>
      <x:c r="K120" s="71"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20" s="76" t="str">
        <x:v>https://gamingalexandria.com/ps2/Aliens%20Versus%20Predator%20Extinction/Aliens%20Versus%20Predator%20Extinction%20-%20Manual.pdf</x:v>
      </x:c>
      <x:c r="M120" s="71" t="str">
        <x:v>Catalogue présent (39871c45). Aucun comportement dédié établi par ce contrôle ; une fiche source ne prouve pas un acteur spécialisé.</x:v>
      </x:c>
      <x:c r="N120" s="71"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20" s="71" t="str">
        <x:v>Créer une fiche d’unité, une IA de rôle, un équipement de période et une règle de sélection par théâtre. Les comportements ci-dessous sont des propositions de conception.</x:v>
      </x:c>
      <x:c r="P120" s="71" t="str">
        <x:v>Plateforme pilotée lourde ; adaptation tactique à développer et à profiler.</x:v>
      </x:c>
      <x:c r="Q120" s="71" t="str">
        <x:v>Profil intégré à une section ; pilote compté comme combattant, véhicule comme matériel séparé si applicable.</x:v>
      </x:c>
      <x:c r="R120" s="71" t="str">
        <x:v>X-H ; Y-H ; X-Y-H</x:v>
      </x:c>
      <x:c r="S120" s="71" t="str">
        <x:v>Théâtre original AVP du futur</x:v>
      </x:c>
      <x:c r="T120" s="71" t="str">
        <x:v>Preset AVP: Extinction uniquement par défaut ; sélectionner un rôle dans le groupe sans ajouter son effectif au budget. Aucun arbre d’amélioration transformé en biologie ou loi de la franchise.</x:v>
      </x:c>
      <x:c r="U120" s="71" t="str">
        <x:v>P2</x:v>
      </x:c>
    </x:row>
    <x:row r="121" ht="103.5" hidden="0" customHeight="1">
      <x:c r="A121" s="70" t="str">
        <x:v>HUM-041</x:v>
      </x:c>
      <x:c r="B121" s="70" t="str">
        <x:v>Humains et technologies humaines</x:v>
      </x:c>
      <x:c r="C121" s="70" t="str">
        <x:v>SADAR — Extinction</x:v>
      </x:c>
      <x:c r="D121" s="70" t="str">
        <x:v>Classe humaine de jeu</x:v>
      </x:c>
      <x:c r="E121" s="70" t="str">
        <x:v>Profil commun à adapter ; nombres et formation proposés</x:v>
      </x:c>
      <x:c r="F121" s="70" t="str">
        <x:v>Aliens Versus Predator: Extinction</x:v>
      </x:c>
      <x:c r="G121" s="70" t="str">
        <x:v>Jeu</x:v>
      </x:c>
      <x:c r="H121" s="70" t="str">
        <x:v>AVP / Extinction</x:v>
      </x:c>
      <x:c r="I121" s="70" t="str">
        <x:v>Attesté dans l’œuvre citée ; portée limitée à sa continuité</x:v>
      </x:c>
      <x:c r="J121" s="70" t="str">
        <x:v>SADAR figure au roster humain.</x:v>
      </x:c>
      <x:c r="K121" s="70" t="str">
        <x:v>H-S01 — Aliens Versus Predator: Extinction — manuel EA archivé
Electronic Arts ; copie conservée par Gaming Alexandria ; Source primaire officielle
Portée : Document primaire du jeu ; noms de classes attestés dans les extraits indexés. Aucune pagination fiable issue de cet OCR ; les règles ne sont pas universelles.
Consulté le 2026-10-26</x:v>
      </x:c>
      <x:c r="L121" s="77" t="str">
        <x:v>https://gamingalexandria.com/ps2/Aliens%20Versus%20Predator%20Extinction/Aliens%20Versus%20Predator%20Extinction%20-%20Manual.pdf</x:v>
      </x:c>
      <x:c r="M121" s="70" t="str">
        <x:v>Catalogue présent (39871c45). Aucun comportement dédié établi par ce contrôle ; une fiche source ne prouve pas un acteur spécialisé.</x:v>
      </x:c>
      <x:c r="N121" s="70" t="str">
        <x:v>Catalogue importé : https://github.com/darknigthmare/Yautja-hive-warriors/blob/39871c450379225de8174711237632e6aa883f04/js/data/BattleCatalog.js#L41-L51
Types détaillés supportés : https://github.com/darknigthmare/Yautja-hive-warriors/blob/39871c450379225de8174711237632e6aa883f04/js/battlefield/BattleActorBridge.js#L3-L8</x:v>
      </x:c>
      <x:c r="O121" s="70" t="str">
        <x:v>Créer une fiche d’unité, une IA de rôle, un équipement de période et une règle de sélection par théâtre. Les comportements ci-dessous sont des propositions de conception.</x:v>
      </x:c>
      <x:c r="P121" s="70" t="str">
        <x:v>Spécialiste de frappe antiblindage ; adaptation tactique à développer et à profiler.</x:v>
      </x:c>
      <x:c r="Q121" s="70" t="str">
        <x:v>Profil intégré à une section ; pilote compté comme combattant, véhicule comme matériel séparé si applicable.</x:v>
      </x:c>
      <x:c r="R121" s="70" t="str">
        <x:v>X-H ; Y-H ; X-Y-H</x:v>
      </x:c>
      <x:c r="S121" s="70" t="str">
        <x:v>Théâtre original AVP du futur</x:v>
      </x:c>
      <x:c r="T121" s="70" t="str">
        <x:v>Preset AVP: Extinction uniquement par défaut ; sélectionner un rôle dans le groupe sans ajouter son effectif au budget. Aucun arbre d’amélioration transformé en biologie ou loi de la franchise.</x:v>
      </x:c>
      <x:c r="U121" s="70" t="str">
        <x:v>P1</x:v>
      </x:c>
    </x:row>
    <x:row r="122" ht="36" hidden="0" customHeight="1">
      <x:c r="A122" s="10" t="str">
        <x:v>XEN-038</x:v>
      </x:c>
      <x:c r="B122" s="10" t="str">
        <x:v>Xénomorphes</x:v>
      </x:c>
      <x:c r="C122" s="10" t="str">
        <x:v>Warden — Fireteam Elite 2</x:v>
      </x:c>
      <x:c r="D122" s="10" t="str">
        <x:v>Profil de combat xénomorphe propre au jeu</x:v>
      </x:c>
      <x:c r="E122" s="10" t="str">
        <x:v>élite locale ; jamais synonyme de synthétique</x:v>
      </x:c>
      <x:c r="F122" s="10" t="str">
        <x:v>Aliens: Fireteam Elite 2</x:v>
      </x:c>
      <x:c r="G122" s="10" t="str">
        <x:v>Jeu</x:v>
      </x:c>
      <x:c r="H122" s="10" t="str">
        <x:v>Aliens: Fireteam Elite 2 ; ne pas généraliser à tous les médias.</x:v>
      </x:c>
      <x:c r="I122" s="10" t="str">
        <x:v>Confirmé pour le fait cité ; autres détails à vérifier</x:v>
      </x:c>
      <x:c r="J122" s="10" t="str">
        <x:v>Le dossier présente Warden comme combattant de première ligne, avec acide à distance et attaques de mêlée.</x:v>
      </x:c>
      <x:c r="K122" s="10" t="str">
        <x:v>XC-S01 — Aliens: Fireteam Elite 2 — Xenomorph Showcase, 20 août 2026
Annonce officielle du développeur sur Steam
Portée : Fait cité uniquement ; identité, capacités et biologie non extrapolées au-delà de cette preuve.</x:v>
      </x:c>
      <x:c r="L122" s="23" t="str">
        <x:v>https://steamcommunity.com/app/3448650/allnews/?l=english</x:v>
      </x:c>
      <x:c r="M122" s="10" t="str">
        <x:v>Absent du catalogue source de 115 fiches. Aucun acteur dédié établi par le contrôle des registres ; les rapprochements de noms restent à vérifier.</x:v>
      </x:c>
      <x:c r="N122" s="10" t="str">
        <x:v>https://github.com/darknigthmare/Yautja-hive-warriors/blob/39871c450379225de8174711237632e6aa883f04/js/data/BattleCatalog.js#L41-L51</x:v>
      </x:c>
      <x:c r="O122" s="10" t="str">
        <x:v>Ajouter la correspondance profil → acteur → source. Relever les capacités, modèle et animations ; vérifier le spawn, les identités et la fidélité du preset.</x:v>
      </x:c>
      <x:c r="P122" s="10" t="str">
        <x:v>Proposition de conception : élite tenant un carrefour, avec fenêtre de contournement.</x:v>
      </x:c>
      <x:c r="Q122" s="10" t="str">
        <x:v>Profil Xeno distinct ; le Warden synthétique de Fireteam Elite 1 n'est pas cette créature. Les ajouts à un groupe remplacent des places allouées. Réserves finies ; aucun renfort créé hors budget.</x:v>
      </x:c>
      <x:c r="R122" s="10" t="str">
        <x:v>Relations et opposition à définir dans le scénario de cette œuvre. Toute rencontre X/Y/H non attestée est une adaptation originale explicitement choisie.</x:v>
      </x:c>
      <x:c r="S122" s="10" t="str">
        <x:v>Lieu et scène de Fireteam Elite 2 à documenter. Ne pas transférer automatiquement ces profils sur LV-895 du premier jeu.</x:v>
      </x:c>
      <x:c r="T122" s="10" t="str">
        <x:v>Profil Xeno distinct ; le Warden synthétique de Fireteam Elite 1 n'est pas cette créature.</x:v>
      </x:c>
      <x:c r="U122" s="10" t="str">
        <x:v>P1</x:v>
      </x:c>
    </x:row>
    <x:row r="123" ht="36" hidden="0" customHeight="1">
      <x:c r="A123" s="9" t="str">
        <x:v>XEN-039</x:v>
      </x:c>
      <x:c r="B123" s="9" t="str">
        <x:v>Xénomorphes</x:v>
      </x:c>
      <x:c r="C123" s="9" t="str">
        <x:v>Exploder — Fireteam Elite 2</x:v>
      </x:c>
      <x:c r="D123" s="9" t="str">
        <x:v>Profil de combat xénomorphe propre au jeu</x:v>
      </x:c>
      <x:c r="E123" s="9" t="str">
        <x:v>À spécifier et vérifier dans le projet.</x:v>
      </x:c>
      <x:c r="F123" s="9" t="str">
        <x:v>Aliens: Fireteam Elite 2</x:v>
      </x:c>
      <x:c r="G123" s="9" t="str">
        <x:v>Jeu</x:v>
      </x:c>
      <x:c r="H123" s="9" t="str">
        <x:v>Aliens: Fireteam Elite 2 ; ne pas généraliser à tous les médias.</x:v>
      </x:c>
      <x:c r="I123" s="9" t="str">
        <x:v>Confirmé pour le fait cité ; autres détails à vérifier</x:v>
      </x:c>
      <x:c r="J123" s="9" t="str">
        <x:v>Exploder est un assaillant rapide qui explose à proximité de sa cible.</x:v>
      </x:c>
      <x:c r="K123" s="9" t="str">
        <x:v>XC-S01 — Aliens: Fireteam Elite 2 — Xenomorph Showcase, 20 août 2026
Annonce officielle du développeur sur Steam
Portée : Fait cité uniquement ; identité, capacités et biologie non extrapolées au-delà de cette preuve.</x:v>
      </x:c>
      <x:c r="L123" s="22" t="str">
        <x:v>https://steamcommunity.com/app/3448650/allnews/?l=english</x:v>
      </x:c>
      <x:c r="M123" s="9" t="str">
        <x:v>Absent du catalogue source de 115 fiches. Aucun acteur dédié établi par le contrôle des registres ; les rapprochements de noms restent à vérifier.</x:v>
      </x:c>
      <x:c r="N123" s="9" t="str">
        <x:v>https://github.com/darknigthmare/Yautja-hive-warriors/blob/39871c450379225de8174711237632e6aa883f04/js/data/BattleCatalog.js#L41-L51</x:v>
      </x:c>
      <x:c r="O123" s="9" t="str">
        <x:v>Ajouter la correspondance profil → acteur → source. Relever les capacités, modèle et animations ; vérifier le spawn, les identités et la fidélité du preset.</x:v>
      </x:c>
      <x:c r="P123" s="9" t="str">
        <x:v>Proposition de conception : pression de proximité en petits groupes, lisibilité et distance de réaction.</x:v>
      </x:c>
      <x:c r="Q123" s="9" t="str">
        <x:v>Conserver son identité de jeu ; ne pas fusionner automatiquement avec Burster, Boiler ou Pathogen Popper. Les ajouts à un groupe remplacent des places allouées. Réserves finies ; aucun renfort créé hors budget.</x:v>
      </x:c>
      <x:c r="R123" s="9" t="str">
        <x:v>Relations et opposition à définir dans le scénario de cette œuvre. Toute rencontre X/Y/H non attestée est une adaptation originale explicitement choisie.</x:v>
      </x:c>
      <x:c r="S123" s="9" t="str">
        <x:v>Lieu et scène de Fireteam Elite 2 à documenter. Ne pas transférer automatiquement ces profils sur LV-895 du premier jeu.</x:v>
      </x:c>
      <x:c r="T123" s="9" t="str">
        <x:v>Conserver son identité de jeu ; ne pas fusionner automatiquement avec Burster, Boiler ou Pathogen Popper.</x:v>
      </x:c>
      <x:c r="U123" s="9" t="str">
        <x:v>P1</x:v>
      </x:c>
    </x:row>
    <x:row r="124" ht="36" hidden="0" customHeight="1">
      <x:c r="A124" s="10" t="str">
        <x:v>XEN-040</x:v>
      </x:c>
      <x:c r="B124" s="10" t="str">
        <x:v>Xénomorphes</x:v>
      </x:c>
      <x:c r="C124" s="10" t="str">
        <x:v>Siren — Fireteam Elite 2</x:v>
      </x:c>
      <x:c r="D124" s="10" t="str">
        <x:v>Profil de soutien xénomorphe propre au jeu</x:v>
      </x:c>
      <x:c r="E124" s="10" t="str">
        <x:v>À spécifier et vérifier dans le projet.</x:v>
      </x:c>
      <x:c r="F124" s="10" t="str">
        <x:v>Aliens: Fireteam Elite 2</x:v>
      </x:c>
      <x:c r="G124" s="10" t="str">
        <x:v>Jeu</x:v>
      </x:c>
      <x:c r="H124" s="10" t="str">
        <x:v>Aliens: Fireteam Elite 2 ; ne pas généraliser à tous les médias.</x:v>
      </x:c>
      <x:c r="I124" s="10" t="str">
        <x:v>Confirmé pour le fait cité ; autres détails à vérifier</x:v>
      </x:c>
      <x:c r="J124" s="10" t="str">
        <x:v>Siren appelle des ennemis supplémentaires et peut repousser au corps à corps.</x:v>
      </x:c>
      <x:c r="K124" s="10" t="str">
        <x:v>XC-S01 — Aliens: Fireteam Elite 2 — Xenomorph Showcase, 20 août 2026
Annonce officielle du développeur sur Steam
Portée : Fait cité uniquement ; identité, capacités et biologie non extrapolées au-delà de cette preuve.</x:v>
      </x:c>
      <x:c r="L124" s="23" t="str">
        <x:v>https://steamcommunity.com/app/3448650/allnews/?l=english</x:v>
      </x:c>
      <x:c r="M124" s="10" t="str">
        <x:v>Absent du catalogue source de 115 fiches. Aucun acteur dédié établi par le contrôle des registres ; les rapprochements de noms restent à vérifier.</x:v>
      </x:c>
      <x:c r="N124" s="10" t="str">
        <x:v>https://github.com/darknigthmare/Yautja-hive-warriors/blob/39871c450379225de8174711237632e6aa883f04/js/data/BattleCatalog.js#L41-L51</x:v>
      </x:c>
      <x:c r="O124" s="10" t="str">
        <x:v>Ajouter la correspondance profil → acteur → source. Relever les capacités, modèle et animations ; vérifier le spawn, les identités et la fidélité du preset.</x:v>
      </x:c>
      <x:c r="P124" s="10" t="str">
        <x:v>Proposition de conception : priorité de cible appelant des renforts prélevés sur les réserves du front.</x:v>
      </x:c>
      <x:c r="Q124" s="10" t="str">
        <x:v>Les renforts et leurs effectifs sont un budget de conception, pas une population canonique illimitée. Les ajouts à un groupe remplacent des places allouées. Réserves finies ; aucun renfort créé hors budget.</x:v>
      </x:c>
      <x:c r="R124" s="10" t="str">
        <x:v>Relations et opposition à définir dans le scénario de cette œuvre. Toute rencontre X/Y/H non attestée est une adaptation originale explicitement choisie.</x:v>
      </x:c>
      <x:c r="S124" s="10" t="str">
        <x:v>Lieu et scène de Fireteam Elite 2 à documenter. Ne pas transférer automatiquement ces profils sur LV-895 du premier jeu.</x:v>
      </x:c>
      <x:c r="T124" s="10" t="str">
        <x:v>Les renforts et leurs effectifs sont un budget de conception, pas une population canonique illimitée.</x:v>
      </x:c>
      <x:c r="U124" s="10" t="str">
        <x:v>P1</x:v>
      </x:c>
    </x:row>
    <x:row r="125" ht="36" hidden="0" customHeight="1">
      <x:c r="A125" s="9" t="str">
        <x:v>XEN-041</x:v>
      </x:c>
      <x:c r="B125" s="9" t="str">
        <x:v>Organismes à classer</x:v>
      </x:c>
      <x:c r="C125" s="9" t="str">
        <x:v>Harbinger — Fireteam Elite 2</x:v>
      </x:c>
      <x:c r="D125" s="9" t="str">
        <x:v>Organisme ennemi nommé ; affiliation biologique exacte à documenter</x:v>
      </x:c>
      <x:c r="E125" s="9" t="str">
        <x:v>À spécifier et vérifier dans le projet.</x:v>
      </x:c>
      <x:c r="F125" s="9" t="str">
        <x:v>Aliens: Fireteam Elite 2</x:v>
      </x:c>
      <x:c r="G125" s="9" t="str">
        <x:v>Jeu</x:v>
      </x:c>
      <x:c r="H125" s="9" t="str">
        <x:v>Aliens: Fireteam Elite 2 ; ne pas généraliser à tous les médias.</x:v>
      </x:c>
      <x:c r="I125" s="9" t="str">
        <x:v>Confirmé pour le fait cité ; autres détails à vérifier</x:v>
      </x:c>
      <x:c r="J125" s="9" t="str">
        <x:v>Le correctif confirme Harbinger et son attaque bondissante.</x:v>
      </x:c>
      <x:c r="K125" s="9" t="str">
        <x:v>XC-S02 — Aliens: Fireteam Elite 2 — Game Patch Notes, 17 septembre 2026
Notes officielles du développeur/éditeur
Portée : Fait cité uniquement ; identité, capacités et biologie non extrapolées au-delà de cette preuve.</x:v>
      </x:c>
      <x:c r="L125" s="22" t="str">
        <x:v>https://www.daybreakgames.com/press/afe2/article/afe2-91726-patchnotes</x:v>
      </x:c>
      <x:c r="M125" s="9" t="str">
        <x:v>Absent du catalogue source de 115 fiches. Aucun acteur dédié établi par le contrôle des registres ; les rapprochements de noms restent à vérifier.</x:v>
      </x:c>
      <x:c r="N125" s="9" t="str">
        <x:v>https://github.com/darknigthmare/Yautja-hive-warriors/blob/39871c450379225de8174711237632e6aa883f04/js/data/BattleCatalog.js#L41-L51</x:v>
      </x:c>
      <x:c r="O125" s="9" t="str">
        <x:v>Ajouter la correspondance profil → acteur → source. Relever les capacités, modèle et animations ; vérifier le spawn, les identités et la fidélité du preset.</x:v>
      </x:c>
      <x:c r="P125" s="9" t="str">
        <x:v>Proposition de conception : élite bondissante interrompant une position, avec trajectoire annoncée.</x:v>
      </x:c>
      <x:c r="Q125" s="9" t="str">
        <x:v>Ne pas affirmer une nouvelle caste naturelle ni un hôte précis ; la graphie Harbringer du dossier est un alias. Les ajouts à un groupe remplacent des places allouées. Réserves finies ; aucun renfort créé hors budget.</x:v>
      </x:c>
      <x:c r="R125" s="9" t="str">
        <x:v>Relations et opposition à définir dans le scénario de cette œuvre. Toute rencontre X/Y/H non attestée est une adaptation originale explicitement choisie.</x:v>
      </x:c>
      <x:c r="S125" s="9" t="str">
        <x:v>Lieu et scène de Fireteam Elite 2 à documenter. Ne pas transférer automatiquement ces profils sur LV-895 du premier jeu.</x:v>
      </x:c>
      <x:c r="T125" s="9" t="str">
        <x:v>Ne pas affirmer une nouvelle caste naturelle ni un hôte précis ; la graphie Harbringer du dossier est un alias.</x:v>
      </x:c>
      <x:c r="U125" s="9" t="str">
        <x:v>P1</x:v>
      </x:c>
    </x:row>
    <x:row r="126" ht="36" hidden="0" customHeight="1">
      <x:c r="A126" s="10" t="str">
        <x:v>XEN-042</x:v>
      </x:c>
      <x:c r="B126" s="10" t="str">
        <x:v>Organismes à classer</x:v>
      </x:c>
      <x:c r="C126" s="10" t="str">
        <x:v>Striker — Fireteam Elite 2</x:v>
      </x:c>
      <x:c r="D126" s="10" t="str">
        <x:v>Organisme ennemi nommé ; affiliation biologique exacte à documenter</x:v>
      </x:c>
      <x:c r="E126" s="10" t="str">
        <x:v>À spécifier et vérifier dans le projet.</x:v>
      </x:c>
      <x:c r="F126" s="10" t="str">
        <x:v>Aliens: Fireteam Elite 2</x:v>
      </x:c>
      <x:c r="G126" s="10" t="str">
        <x:v>Jeu</x:v>
      </x:c>
      <x:c r="H126" s="10" t="str">
        <x:v>Aliens: Fireteam Elite 2 ; ne pas généraliser à tous les médias.</x:v>
      </x:c>
      <x:c r="I126" s="10" t="str">
        <x:v>Confirmé pour le fait cité ; autres détails à vérifier</x:v>
      </x:c>
      <x:c r="J126" s="10" t="str">
        <x:v>Striker est présenté comme une lourde menace de mêlée aux attaques amples.</x:v>
      </x:c>
      <x:c r="K126" s="10" t="str">
        <x:v>XC-S01 — Aliens: Fireteam Elite 2 — Xenomorph Showcase, 20 août 2026
Annonce officielle du développeur sur Steam
Portée : Fait cité uniquement ; identité, capacités et biologie non extrapolées au-delà de cette preuve.</x:v>
      </x:c>
      <x:c r="L126" s="23" t="str">
        <x:v>https://steamcommunity.com/app/3448650/allnews/?l=english</x:v>
      </x:c>
      <x:c r="M126" s="10" t="str">
        <x:v>Absent du catalogue source de 115 fiches. Aucun acteur dédié établi par le contrôle des registres ; les rapprochements de noms restent à vérifier.</x:v>
      </x:c>
      <x:c r="N126" s="10" t="str">
        <x:v>https://github.com/darknigthmare/Yautja-hive-warriors/blob/39871c450379225de8174711237632e6aa883f04/js/data/BattleCatalog.js#L41-L51</x:v>
      </x:c>
      <x:c r="O126" s="10" t="str">
        <x:v>Ajouter la correspondance profil → acteur → source. Relever les capacités, modèle et animations ; vérifier le spawn, les identités et la fidélité du preset.</x:v>
      </x:c>
      <x:c r="P126" s="10" t="str">
        <x:v>Proposition de conception : briseur de ligne limité en nombre et exposé après un coup large.</x:v>
      </x:c>
      <x:c r="Q126" s="10" t="str">
        <x:v>La rubrique commerciale Xenomorph Showcase ne suffit pas à résoudre toute la taxonomie Pathogen/Xénomorphe. Les ajouts à un groupe remplacent des places allouées. Réserves finies ; aucun renfort créé hors budget.</x:v>
      </x:c>
      <x:c r="R126" s="10" t="str">
        <x:v>Relations et opposition à définir dans le scénario de cette œuvre. Toute rencontre X/Y/H non attestée est une adaptation originale explicitement choisie.</x:v>
      </x:c>
      <x:c r="S126" s="10" t="str">
        <x:v>Lieu et scène de Fireteam Elite 2 à documenter. Ne pas transférer automatiquement ces profils sur LV-895 du premier jeu.</x:v>
      </x:c>
      <x:c r="T126" s="10" t="str">
        <x:v>La rubrique commerciale Xenomorph Showcase ne suffit pas à résoudre toute la taxonomie Pathogen/Xénomorphe.</x:v>
      </x:c>
      <x:c r="U126" s="10" t="str">
        <x:v>P1</x:v>
      </x:c>
    </x:row>
    <x:row r="127" ht="36" hidden="0" customHeight="1">
      <x:c r="A127" s="9" t="str">
        <x:v>XEN-043</x:v>
      </x:c>
      <x:c r="B127" s="9" t="str">
        <x:v>Organismes à classer</x:v>
      </x:c>
      <x:c r="C127" s="9" t="str">
        <x:v>Engineer Husk — Fireteam Elite 2</x:v>
      </x:c>
      <x:c r="D127" s="9" t="str">
        <x:v>Ennemi nommé ; organisme/hôte à vérifier dans le jeu</x:v>
      </x:c>
      <x:c r="E127" s="9" t="str">
        <x:v>bloqué jusqu'à identification visuelle et biologique</x:v>
      </x:c>
      <x:c r="F127" s="9" t="str">
        <x:v>Aliens: Fireteam Elite 2</x:v>
      </x:c>
      <x:c r="G127" s="9" t="str">
        <x:v>Jeu</x:v>
      </x:c>
      <x:c r="H127" s="9" t="str">
        <x:v>Aliens: Fireteam Elite 2 ; ne pas généraliser à tous les médias.</x:v>
      </x:c>
      <x:c r="I127" s="9" t="str">
        <x:v>Confirmé pour le fait cité ; autres détails à vérifier</x:v>
      </x:c>
      <x:c r="J127" s="9" t="str">
        <x:v>Le correctif nomme Engineer Husk et corrige les dégâts de son attaque de frappe.</x:v>
      </x:c>
      <x:c r="K127" s="9" t="str">
        <x:v>XC-S02 — Aliens: Fireteam Elite 2 — Game Patch Notes, 17 septembre 2026
Notes officielles du développeur/éditeur
Portée : Fait cité uniquement ; identité, capacités et biologie non extrapolées au-delà de cette preuve.</x:v>
      </x:c>
      <x:c r="L127" s="22" t="str">
        <x:v>https://www.daybreakgames.com/press/afe2/article/afe2-91726-patchnotes</x:v>
      </x:c>
      <x:c r="M127" s="9" t="str">
        <x:v>Absent du catalogue source de 115 fiches. Aucun acteur dédié établi par le contrôle des registres ; les rapprochements de noms restent à vérifier.</x:v>
      </x:c>
      <x:c r="N127" s="9" t="str">
        <x:v>https://github.com/darknigthmare/Yautja-hive-warriors/blob/39871c450379225de8174711237632e6aa883f04/js/data/BattleCatalog.js#L41-L51</x:v>
      </x:c>
      <x:c r="O127" s="9" t="str">
        <x:v>Ajouter la correspondance profil → acteur → source. Relever les capacités, modèle et animations ; vérifier le spawn, les identités et la fidélité du preset.</x:v>
      </x:c>
      <x:c r="P127" s="9" t="str">
        <x:v>Proposition de conception : mini-boss expérimental d'une opération liée au média, après validation du codex.</x:v>
      </x:c>
      <x:c r="Q127" s="9" t="str">
        <x:v>Le nom ne prouve pas à lui seul sa biologie ni ses relations avec Deacon, Ingénieurs ou Pathogen. Les ajouts à un groupe remplacent des places allouées. Réserves finies ; aucun renfort créé hors budget.</x:v>
      </x:c>
      <x:c r="R127" s="9" t="str">
        <x:v>Relations et opposition à définir dans le scénario de cette œuvre. Toute rencontre X/Y/H non attestée est une adaptation originale explicitement choisie.</x:v>
      </x:c>
      <x:c r="S127" s="9" t="str">
        <x:v>Lieu et scène de Fireteam Elite 2 à documenter. Ne pas transférer automatiquement ces profils sur LV-895 du premier jeu.</x:v>
      </x:c>
      <x:c r="T127" s="9" t="str">
        <x:v>Le nom ne prouve pas à lui seul sa biologie ni ses relations avec Deacon, Ingénieurs ou Pathogen.</x:v>
      </x:c>
      <x:c r="U127" s="9" t="str">
        <x:v>P1</x:v>
      </x:c>
    </x:row>
    <x:row r="128" ht="36" hidden="0" customHeight="1">
      <x:c r="A128" s="10" t="str">
        <x:v>XEN-044</x:v>
      </x:c>
      <x:c r="B128" s="10" t="str">
        <x:v>Organismes à classer</x:v>
      </x:c>
      <x:c r="C128" s="10" t="str">
        <x:v>Spore Thrower — Fireteam Elite 2</x:v>
      </x:c>
      <x:c r="D128" s="10" t="str">
        <x:v>Ennemi nommé ; classification à documenter</x:v>
      </x:c>
      <x:c r="E128" s="10" t="str">
        <x:v>bloqué jusqu'à relevé de gameplay/codex</x:v>
      </x:c>
      <x:c r="F128" s="10" t="str">
        <x:v>Aliens: Fireteam Elite 2</x:v>
      </x:c>
      <x:c r="G128" s="10" t="str">
        <x:v>Jeu</x:v>
      </x:c>
      <x:c r="H128" s="10" t="str">
        <x:v>Aliens: Fireteam Elite 2 ; ne pas généraliser à tous les médias.</x:v>
      </x:c>
      <x:c r="I128" s="10" t="str">
        <x:v>Confirmé pour le fait cité ; autres détails à vérifier</x:v>
      </x:c>
      <x:c r="J128" s="10" t="str">
        <x:v>Spore Thrower est nommé parmi les ennemis corrigés.</x:v>
      </x:c>
      <x:c r="K128" s="10" t="str">
        <x:v>XC-S02 — Aliens: Fireteam Elite 2 — Game Patch Notes, 17 septembre 2026
Notes officielles du développeur/éditeur
Portée : Fait cité uniquement ; identité, capacités et biologie non extrapolées au-delà de cette preuve.</x:v>
      </x:c>
      <x:c r="L128" s="23" t="str">
        <x:v>https://www.daybreakgames.com/press/afe2/article/afe2-91726-patchnotes</x:v>
      </x:c>
      <x:c r="M128" s="10" t="str">
        <x:v>Absent du catalogue source de 115 fiches. Aucun acteur dédié établi par le contrôle des registres ; les rapprochements de noms restent à vérifier.</x:v>
      </x:c>
      <x:c r="N128" s="10" t="str">
        <x:v>https://github.com/darknigthmare/Yautja-hive-warriors/blob/39871c450379225de8174711237632e6aa883f04/js/data/BattleCatalog.js#L41-L51</x:v>
      </x:c>
      <x:c r="O128" s="10" t="str">
        <x:v>Ajouter la correspondance profil → acteur → source. Relever les capacités, modèle et animations ; vérifier le spawn, les identités et la fidélité du preset.</x:v>
      </x:c>
      <x:c r="P128" s="10" t="str">
        <x:v>Proposition de conception : candidat à un rôle de contrôle de zone, à confirmer dans le jeu.</x:v>
      </x:c>
      <x:c r="Q128" s="10" t="str">
        <x:v>La notice confirme l'existence ; elle ne démontre ni espèce, ni origine, ni effets précis des projectiles. Les ajouts à un groupe remplacent des places allouées. Réserves finies ; aucun renfort créé hors budget.</x:v>
      </x:c>
      <x:c r="R128" s="10" t="str">
        <x:v>Relations et opposition à définir dans le scénario de cette œuvre. Toute rencontre X/Y/H non attestée est une adaptation originale explicitement choisie.</x:v>
      </x:c>
      <x:c r="S128" s="10" t="str">
        <x:v>Lieu et scène de Fireteam Elite 2 à documenter. Ne pas transférer automatiquement ces profils sur LV-895 du premier jeu.</x:v>
      </x:c>
      <x:c r="T128" s="10" t="str">
        <x:v>La notice confirme l'existence ; elle ne démontre ni espèce, ni origine, ni effets précis des projectiles.</x:v>
      </x:c>
      <x:c r="U128" s="10" t="str">
        <x:v>P1</x:v>
      </x:c>
    </x:row>
    <x:row r="129" ht="36" hidden="0" customHeight="1">
      <x:c r="A129" s="9" t="str">
        <x:v>XEN-045</x:v>
      </x:c>
      <x:c r="B129" s="9" t="str">
        <x:v>Organismes à classer</x:v>
      </x:c>
      <x:c r="C129" s="9" t="str">
        <x:v>Gasbag — Fireteam Elite 2</x:v>
      </x:c>
      <x:c r="D129" s="9" t="str">
        <x:v>Ennemi nommé ; classification à documenter</x:v>
      </x:c>
      <x:c r="E129" s="9" t="str">
        <x:v>bloqué jusqu'à relevé de gameplay/codex</x:v>
      </x:c>
      <x:c r="F129" s="9" t="str">
        <x:v>Aliens: Fireteam Elite 2</x:v>
      </x:c>
      <x:c r="G129" s="9" t="str">
        <x:v>Jeu</x:v>
      </x:c>
      <x:c r="H129" s="9" t="str">
        <x:v>Aliens: Fireteam Elite 2 ; ne pas généraliser à tous les médias.</x:v>
      </x:c>
      <x:c r="I129" s="9" t="str">
        <x:v>Confirmé pour le fait cité ; autres détails à vérifier</x:v>
      </x:c>
      <x:c r="J129" s="9" t="str">
        <x:v>Gasbag figure dans les corrections d'effets appliqués aux ennemis.</x:v>
      </x:c>
      <x:c r="K129" s="9" t="str">
        <x:v>XC-S02 — Aliens: Fireteam Elite 2 — Game Patch Notes, 17 septembre 2026
Notes officielles du développeur/éditeur
Portée : Fait cité uniquement ; identité, capacités et biologie non extrapolées au-delà de cette preuve.</x:v>
      </x:c>
      <x:c r="L129" s="22" t="str">
        <x:v>https://www.daybreakgames.com/press/afe2/article/afe2-91726-patchnotes</x:v>
      </x:c>
      <x:c r="M129" s="9" t="str">
        <x:v>Absent du catalogue source de 115 fiches. Aucun acteur dédié établi par le contrôle des registres ; les rapprochements de noms restent à vérifier.</x:v>
      </x:c>
      <x:c r="N129" s="9" t="str">
        <x:v>https://github.com/darknigthmare/Yautja-hive-warriors/blob/39871c450379225de8174711237632e6aa883f04/js/data/BattleCatalog.js#L41-L51</x:v>
      </x:c>
      <x:c r="O129" s="9" t="str">
        <x:v>Ajouter la correspondance profil → acteur → source. Relever les capacités, modèle et animations ; vérifier le spawn, les identités et la fidélité du preset.</x:v>
      </x:c>
      <x:c r="P129" s="9" t="str">
        <x:v>Proposition de conception : candidat à un danger local ; mécanique à relever avant conception détaillée.</x:v>
      </x:c>
      <x:c r="Q129" s="9" t="str">
        <x:v>Ne pas déduire les dégâts, l'explosion ou la biologie du seul nom. Les ajouts à un groupe remplacent des places allouées. Réserves finies ; aucun renfort créé hors budget.</x:v>
      </x:c>
      <x:c r="R129" s="9" t="str">
        <x:v>Relations et opposition à définir dans le scénario de cette œuvre. Toute rencontre X/Y/H non attestée est une adaptation originale explicitement choisie.</x:v>
      </x:c>
      <x:c r="S129" s="9" t="str">
        <x:v>Lieu et scène de Fireteam Elite 2 à documenter. Ne pas transférer automatiquement ces profils sur LV-895 du premier jeu.</x:v>
      </x:c>
      <x:c r="T129" s="9" t="str">
        <x:v>Ne pas déduire les dégâts, l'explosion ou la biologie du seul nom.</x:v>
      </x:c>
      <x:c r="U129" s="9" t="str">
        <x:v>P1</x:v>
      </x:c>
    </x:row>
    <x:row r="130" ht="96" hidden="0" customHeight="1">
      <x:c r="A130" s="10" t="str">
        <x:v>XEN-046</x:v>
      </x:c>
      <x:c r="B130" s="10" t="str">
        <x:v>Xénomorphes modifiés</x:v>
      </x:c>
      <x:c r="C130" s="10" t="str">
        <x:v>Xenoborg</x:v>
      </x:c>
      <x:c r="D130" s="10" t="str">
        <x:v>Organisme xénomorphe modifié cybernétiquement ; technologie ajoutée</x:v>
      </x:c>
      <x:c r="E130" s="10" t="str">
        <x:v>rare ; contexte expérimental humain</x:v>
      </x:c>
      <x:c r="F130" s="10" t="str">
        <x:v>Aliens versus Predator / Classic 2000</x:v>
      </x:c>
      <x:c r="G130" s="10" t="str">
        <x:v>Jeu</x:v>
      </x:c>
      <x:c r="H130" s="10" t="str">
        <x:v>Aliens versus Predator / Classic 2000 ; ne pas généraliser à tous les médias.</x:v>
      </x:c>
      <x:c r="I130" s="10" t="str">
        <x:v>Confirmé pour le fait cité ; autres détails à vérifier</x:v>
      </x:c>
      <x:c r="J130" s="10" t="str">
        <x:v>Le manuel décrit un Alien capturé muni de cybernétique et d'armes expérimentales humaines.</x:v>
      </x:c>
      <x:c r="K130" s="10" t="str">
        <x:v>XC-S04 — Aliens Versus Predator Classic 2000 — manuel officiel, page PDF 8 / imprimée 17
Manuel officiel distribué sur Steam
Portée : Fait cité uniquement ; identité, capacités et biologie non extrapolées au-delà de cette preuve.</x:v>
      </x:c>
      <x:c r="L130" s="23" t="str">
        <x:v>https://shared.fastly.steamstatic.com/store_item_assets/steam/apps/3730/manuals/Aliens%20Versus%20Predator%20Classic%202000%20Manual.pdf?t=1579791217</x:v>
      </x:c>
      <x:c r="M130" s="10" t="str">
        <x:v>Absent comme fiche dédiée. Correspondance de code candidate : cyber_xeno ; identité et fidélité non certifiées.</x:v>
      </x:c>
      <x:c r="N130" s="10" t="str">
        <x:v>https://github.com/darknigthmare/Yautja-hive-warriors/blob/39871c450379225de8174711237632e6aa883f04/js/data/BattleCatalog.js#L41-L51
https://github.com/darknigthmare/Yautja-hive-warriors/blob/39871c450379225de8174711237632e6aa883f04/js/entities/XenomorphHorde.js#L2273-L2288
https://github.com/darknigthmare/Yautja-hive-warriors/blob/39871c450379225de8174711237632e6aa883f04/js/data/BossRegistry.js#L8-L27
https://github.com/darknigthmare/Yautja-hive-warriors/blob/39871c450379225de8174711237632e6aa883f04/js/entities/XenomorphHorde.js#L2248-L2279</x:v>
      </x:c>
      <x:c r="O130" s="10" t="str">
        <x:v>Ajouter la correspondance profil → acteur → source. Relever les capacités, modèle et animations ; vérifier le spawn, les identités et la fidélité du preset.</x:v>
      </x:c>
      <x:c r="P130" s="10" t="str">
        <x:v>Proposition de conception : élite de laboratoire aux armes lisibles, avec objectif de neutralisation de ses systèmes.</x:v>
      </x:c>
      <x:c r="Q130" s="10" t="str">
        <x:v>Ce n'est ni une caste naturelle ni un robot entièrement synthétique ; cyber_xeno nécessite une correspondance vérifiée. Les ajouts à un groupe remplacent des places allouées. Réserves finies ; aucun renfort créé hors budget.</x:v>
      </x:c>
      <x:c r="R130" s="10" t="str">
        <x:v>Relations et opposition à définir dans le scénario de cette œuvre. Toute rencontre X/Y/H non attestée est une adaptation originale explicitement choisie.</x:v>
      </x:c>
      <x:c r="S130" s="10" t="str">
        <x:v>Lieu de l’œuvre à sélectionner et à documenter ; aucune nouvelle carte construite n’est revendiquée.</x:v>
      </x:c>
      <x:c r="T130" s="10" t="str">
        <x:v>Ce n'est ni une caste naturelle ni un robot entièrement synthétique ; cyber_xeno nécessite une correspondance vérifiée.</x:v>
      </x:c>
      <x:c r="U130" s="10" t="str">
        <x:v>P1</x:v>
      </x:c>
    </x:row>
    <x:row r="131" ht="72" hidden="0" customHeight="1">
      <x:c r="A131" s="9" t="str">
        <x:v>XEN-047</x:v>
      </x:c>
      <x:c r="B131" s="9" t="str">
        <x:v>Xénomorphes</x:v>
      </x:c>
      <x:c r="C131" s="9" t="str">
        <x:v>Empress — AVP2</x:v>
      </x:c>
      <x:c r="D131" s="9" t="str">
        <x:v>Individu / profil royal du jeu</x:v>
      </x:c>
      <x:c r="E131" s="9" t="str">
        <x:v>unique par scénario</x:v>
      </x:c>
      <x:c r="F131" s="9" t="str">
        <x:v>Aliens versus Predator 2</x:v>
      </x:c>
      <x:c r="G131" s="9" t="str">
        <x:v>Jeu</x:v>
      </x:c>
      <x:c r="H131" s="9" t="str">
        <x:v>Aliens versus Predator 2 ; ne pas généraliser à tous les médias.</x:v>
      </x:c>
      <x:c r="I131" s="9" t="str">
        <x:v>Confirmé pour le fait cité ; autres détails à vérifier</x:v>
      </x:c>
      <x:c r="J131" s="9" t="str">
        <x:v>Le guide officiel décrit l'affrontement contre l'Empress et ses gardes Praetorians.</x:v>
      </x:c>
      <x:c r="K131" s="9" t="str">
        <x:v>XC-S05 — Aliens versus Predator 2 — Prima's Official Strategy Guide, page PDF 103 / imprimée 89
Guide officiel licencié Prima / Fox / Sierra, archive de conservation
Portée : Fait cité uniquement ; identité, capacités et biologie non extrapolées au-delà de cette preuve.</x:v>
      </x:c>
      <x:c r="L131" s="22" t="str">
        <x:v>https://oldgamesdownload.com/wp-content/uploads/manuals/aliens-versus-predator-2_strategy-guide_en_u4s.pdf</x:v>
      </x:c>
      <x:c r="M131" s="9" t="str">
        <x:v>Absent comme fiche dédiée. Correspondance de code candidate : empress_matriarch, imperial_queen ; identité et fidélité non certifiées.</x:v>
      </x:c>
      <x:c r="N131" s="9" t="str">
        <x:v>https://github.com/darknigthmare/Yautja-hive-warriors/blob/39871c450379225de8174711237632e6aa883f04/js/data/BattleCatalog.js#L41-L51
https://github.com/darknigthmare/Yautja-hive-warriors/blob/39871c450379225de8174711237632e6aa883f04/js/entities/XenomorphHorde.js#L2273-L2288
https://github.com/darknigthmare/Yautja-hive-warriors/blob/39871c450379225de8174711237632e6aa883f04/js/data/BossRegistry.js#L8-L27</x:v>
      </x:c>
      <x:c r="O131" s="9" t="str">
        <x:v>Ajouter la correspondance profil → acteur → source. Relever les capacités, modèle et animations ; vérifier le spawn, les identités et la fidélité du preset.</x:v>
      </x:c>
      <x:c r="P131" s="9" t="str">
        <x:v>Proposition de conception : boss royal terrestre dans une opération inspirée du jeu.</x:v>
      </x:c>
      <x:c r="Q131" s="9" t="str">
        <x:v>Ne pas déduire le vol, un souffle élémentaire ni une hiérarchie universelle Empress &gt; Queen Mother. Les ajouts à un groupe remplacent des places allouées. Réserves finies ; aucun renfort créé hors budget.</x:v>
      </x:c>
      <x:c r="R131" s="9" t="str">
        <x:v>Relations et opposition à définir dans le scénario de cette œuvre. Toute rencontre X/Y/H non attestée est une adaptation originale explicitement choisie.</x:v>
      </x:c>
      <x:c r="S131" s="9" t="str">
        <x:v>Lieu de l’œuvre à sélectionner et à documenter ; aucune nouvelle carte construite n’est revendiquée.</x:v>
      </x:c>
      <x:c r="T131" s="9" t="str">
        <x:v>Ne pas déduire le vol, un souffle élémentaire ni une hiérarchie universelle Empress &gt; Queen Mother.</x:v>
      </x:c>
      <x:c r="U131" s="9" t="str">
        <x:v>P1</x:v>
      </x:c>
    </x:row>
    <x:row r="132" ht="36" hidden="0" customHeight="1">
      <x:c r="A132" s="10" t="str">
        <x:v>XEN-048</x:v>
      </x:c>
      <x:c r="B132" s="10" t="str">
        <x:v>Xénomorphes</x:v>
      </x:c>
      <x:c r="C132" s="10" t="str">
        <x:v>Queen Mother — Earth War</x:v>
      </x:c>
      <x:c r="D132" s="10" t="str">
        <x:v>Individu royal de comic</x:v>
      </x:c>
      <x:c r="E132" s="10" t="str">
        <x:v>unique ; scénario du comic ou adaptation annoncée</x:v>
      </x:c>
      <x:c r="F132" s="10" t="str">
        <x:v>Aliens: Earth War</x:v>
      </x:c>
      <x:c r="G132" s="10" t="str">
        <x:v>Comic</x:v>
      </x:c>
      <x:c r="H132" s="10" t="str">
        <x:v>Aliens: Earth War ; ne pas généraliser à tous les médias.</x:v>
      </x:c>
      <x:c r="I132" s="10" t="str">
        <x:v>Confirmé pour le fait cité ; autres détails à vérifier</x:v>
      </x:c>
      <x:c r="J132" s="10" t="str">
        <x:v>La notice de réédition mentionne la capture de la Queen Mother.</x:v>
      </x:c>
      <x:c r="K132" s="10" t="str">
        <x:v>XC-S06 — Aliens Epic Collection: The Original Years Vol. 1
Notice officielle de réédition du comic
Portée : Fait cité uniquement ; identité, capacités et biologie non extrapolées au-delà de cette preuve.</x:v>
      </x:c>
      <x:c r="L132" s="23" t="str">
        <x:v>https://www.marvel.com/comics/collection/105315/aliens_epic_collection_the_original_years_vol_1_trade_paperback</x:v>
      </x:c>
      <x:c r="M132" s="10" t="str">
        <x:v>Absent du catalogue source de 115 fiches. Aucun acteur dédié établi par le contrôle des registres ; les rapprochements de noms restent à vérifier.</x:v>
      </x:c>
      <x:c r="N132" s="10" t="str">
        <x:v>https://github.com/darknigthmare/Yautja-hive-warriors/blob/39871c450379225de8174711237632e6aa883f04/js/data/BattleCatalog.js#L41-L51</x:v>
      </x:c>
      <x:c r="O132" s="10" t="str">
        <x:v>Ajouter la correspondance profil → acteur → source. Relever les capacités, modèle et animations ; vérifier le spawn, les identités et la fidélité du preset.</x:v>
      </x:c>
      <x:c r="P132" s="10" t="str">
        <x:v>Proposition de conception : centre stratégique d'une campagne de capture ou d'extraction.</x:v>
      </x:c>
      <x:c r="Q132" s="10" t="str">
        <x:v>Distinguer cette incarnation de la Red Queen Mother de Genocide ; pouvoirs et dimensions demandent les pages du récit. Les ajouts à un groupe remplacent des places allouées. Réserves finies ; aucun renfort créé hors budget.</x:v>
      </x:c>
      <x:c r="R132" s="10" t="str">
        <x:v>Relations et opposition à définir dans le scénario de cette œuvre. Toute rencontre X/Y/H non attestée est une adaptation originale explicitement choisie.</x:v>
      </x:c>
      <x:c r="S132" s="10" t="str">
        <x:v>Lieu de l’œuvre à sélectionner et à documenter ; aucune nouvelle carte construite n’est revendiquée.</x:v>
      </x:c>
      <x:c r="T132" s="10" t="str">
        <x:v>Distinguer cette incarnation de la Red Queen Mother de Genocide ; pouvoirs et dimensions demandent les pages du récit.</x:v>
      </x:c>
      <x:c r="U132" s="10" t="str">
        <x:v>P1</x:v>
      </x:c>
    </x:row>
    <x:row r="133" ht="96" hidden="0" customHeight="1">
      <x:c r="A133" s="9" t="str">
        <x:v>XEN-049</x:v>
      </x:c>
      <x:c r="B133" s="9" t="str">
        <x:v>Xénomorphes</x:v>
      </x:c>
      <x:c r="C133" s="9" t="str">
        <x:v>Queen Facehugger — Alien 3</x:v>
      </x:c>
      <x:c r="D133" s="9" t="str">
        <x:v>Variante de stade parasitaire ; version de média à préciser</x:v>
      </x:c>
      <x:c r="E133" s="9" t="str">
        <x:v>bloqué pour la reconstitution 1:1 jusqu'au contrôle du montage</x:v>
      </x:c>
      <x:c r="F133" s="9" t="str">
        <x:v>Alien 3 / gamme officielle Creature Pack</x:v>
      </x:c>
      <x:c r="G133" s="9" t="str">
        <x:v>Produit licencié lié au film ; montage à contrôler</x:v>
      </x:c>
      <x:c r="H133" s="9" t="str">
        <x:v>Alien 3 / gamme officielle Creature Pack ; ne pas généraliser à tous les médias.</x:v>
      </x:c>
      <x:c r="I133" s="9" t="str">
        <x:v>Confirmé pour le fait cité ; autres détails à vérifier</x:v>
      </x:c>
      <x:c r="J133" s="9" t="str">
        <x:v>Le Creature Pack officiel nomme Queen Facehugger.</x:v>
      </x:c>
      <x:c r="K133" s="9" t="str">
        <x:v>XC-S07 — Alien 3 Creature Pack — Shipping This Week
Présentation officielle NECA d'un produit licencié ; portée limitée au nom et au design
Portée : Fait cité uniquement ; identité, capacités et biologie non extrapolées au-delà de cette preuve.</x:v>
      </x:c>
      <x:c r="L133" s="22" t="str">
        <x:v>https://store.necaonline.com/blogs/news/shipping-this-week-alien-3-creature-pack-and-video-game-godzilla-restock</x:v>
      </x:c>
      <x:c r="M133" s="9" t="str">
        <x:v>Absent comme fiche dédiée. Correspondance de code candidate : royal_facehugger, royalFacehugger ; identité et fidélité non certifiées.</x:v>
      </x:c>
      <x:c r="N133" s="9" t="str">
        <x:v>https://github.com/darknigthmare/Yautja-hive-warriors/blob/39871c450379225de8174711237632e6aa883f04/js/data/BattleCatalog.js#L41-L51
https://github.com/darknigthmare/Yautja-hive-warriors/blob/39871c450379225de8174711237632e6aa883f04/js/entities/XenomorphHorde.js#L2273-L2288
https://github.com/darknigthmare/Yautja-hive-warriors/blob/39871c450379225de8174711237632e6aa883f04/js/data/BossRegistry.js#L8-L27
https://github.com/darknigthmare/Yautja-hive-warriors/blob/39871c450379225de8174711237632e6aa883f04/js/entities/XenomorphHorde.js#L1905-L1919</x:v>
      </x:c>
      <x:c r="O133" s="9" t="str">
        <x:v>Ajouter la correspondance profil → acteur → source. Relever les capacités, modèle et animations ; vérifier le spawn, les identités et la fidélité du preset.</x:v>
      </x:c>
      <x:c r="P133" s="9" t="str">
        <x:v>Proposition de conception : objectif parasitaire rare, lié à une reproduction royale scénarisée.</x:v>
      </x:c>
      <x:c r="Q133" s="9" t="str">
        <x:v>La licence atteste le nom/design ; vérifier le montage ou document de production avant de déclarer son statut filmique. Les ajouts à un groupe remplacent des places allouées. Réserves finies ; aucun renfort créé hors budget.</x:v>
      </x:c>
      <x:c r="R133" s="9" t="str">
        <x:v>Relations et opposition à définir dans le scénario de cette œuvre. Toute rencontre X/Y/H non attestée est une adaptation originale explicitement choisie.</x:v>
      </x:c>
      <x:c r="S133" s="9" t="str">
        <x:v>Lieu de l’œuvre à sélectionner et à documenter ; aucune nouvelle carte construite n’est revendiquée.</x:v>
      </x:c>
      <x:c r="T133" s="9" t="str">
        <x:v>La licence atteste le nom/design ; vérifier le montage ou document de production avant de déclarer son statut filmique.</x:v>
      </x:c>
      <x:c r="U133" s="9" t="str">
        <x:v>P1</x:v>
      </x:c>
    </x:row>
    <x:row r="134" ht="36" hidden="0" customHeight="1">
      <x:c r="A134" s="10" t="str">
        <x:v>XEN-050</x:v>
      </x:c>
      <x:c r="B134" s="10" t="str">
        <x:v>Xénomorphes</x:v>
      </x:c>
      <x:c r="C134" s="10" t="str">
        <x:v>Queen Burster — Alien 3</x:v>
      </x:c>
      <x:c r="D134" s="10" t="str">
        <x:v>Variante de stade juvénile royal</x:v>
      </x:c>
      <x:c r="E134" s="10" t="str">
        <x:v>événement scénarisé ; validation du montage</x:v>
      </x:c>
      <x:c r="F134" s="10" t="str">
        <x:v>Alien 3 / gamme officielle Creature Pack</x:v>
      </x:c>
      <x:c r="G134" s="10" t="str">
        <x:v>Produit licencié lié au film ; montage à contrôler</x:v>
      </x:c>
      <x:c r="H134" s="10" t="str">
        <x:v>Alien 3 / gamme officielle Creature Pack ; ne pas généraliser à tous les médias.</x:v>
      </x:c>
      <x:c r="I134" s="10" t="str">
        <x:v>Confirmé pour le fait cité ; autres détails à vérifier</x:v>
      </x:c>
      <x:c r="J134" s="10" t="str">
        <x:v>Le Creature Pack officiel nomme Queen Burster.</x:v>
      </x:c>
      <x:c r="K134" s="10" t="str">
        <x:v>XC-S07 — Alien 3 Creature Pack — Shipping This Week
Présentation officielle NECA d'un produit licencié ; portée limitée au nom et au design
Portée : Fait cité uniquement ; identité, capacités et biologie non extrapolées au-delà de cette preuve.</x:v>
      </x:c>
      <x:c r="L134" s="23" t="str">
        <x:v>https://store.necaonline.com/blogs/news/shipping-this-week-alien-3-creature-pack-and-video-game-godzilla-restock</x:v>
      </x:c>
      <x:c r="M134" s="10" t="str">
        <x:v>Absent du catalogue source de 115 fiches. Aucun acteur dédié établi par le contrôle des registres ; les rapprochements de noms restent à vérifier.</x:v>
      </x:c>
      <x:c r="N134" s="10" t="str">
        <x:v>https://github.com/darknigthmare/Yautja-hive-warriors/blob/39871c450379225de8174711237632e6aa883f04/js/data/BattleCatalog.js#L41-L51</x:v>
      </x:c>
      <x:c r="O134" s="10" t="str">
        <x:v>Ajouter la correspondance profil → acteur → source. Relever les capacités, modèle et animations ; vérifier le spawn, les identités et la fidélité du preset.</x:v>
      </x:c>
      <x:c r="P134" s="10" t="str">
        <x:v>Proposition de conception : événement narratif de développement royal, sans horde de combat.</x:v>
      </x:c>
      <x:c r="Q134" s="10" t="str">
        <x:v>Ne pas compter comme race adulte ou boss reproductible ; produit licencié ≠ preuve de chaque scène du film. Les ajouts à un groupe remplacent des places allouées. Réserves finies ; aucun renfort créé hors budget.</x:v>
      </x:c>
      <x:c r="R134" s="10" t="str">
        <x:v>Relations et opposition à définir dans le scénario de cette œuvre. Toute rencontre X/Y/H non attestée est une adaptation originale explicitement choisie.</x:v>
      </x:c>
      <x:c r="S134" s="10" t="str">
        <x:v>Lieu de l’œuvre à sélectionner et à documenter ; aucune nouvelle carte construite n’est revendiquée.</x:v>
      </x:c>
      <x:c r="T134" s="10" t="str">
        <x:v>Ne pas compter comme race adulte ou boss reproductible ; produit licencié ≠ preuve de chaque scène du film.</x:v>
      </x:c>
      <x:c r="U134" s="10" t="str">
        <x:v>P1</x:v>
      </x:c>
    </x:row>
    <x:row r="135" ht="36" hidden="0" customHeight="1">
      <x:c r="A135" s="9" t="str">
        <x:v>XEN-051</x:v>
      </x:c>
      <x:c r="B135" s="9" t="str">
        <x:v>Xénomorphes</x:v>
      </x:c>
      <x:c r="C135" s="9" t="str">
        <x:v>Bambi Burster — Alien 3</x:v>
      </x:c>
      <x:c r="D135" s="9" t="str">
        <x:v>Stade juvénile / variante de forme</x:v>
      </x:c>
      <x:c r="E135" s="9" t="str">
        <x:v>événement ; pas infanterie lourde</x:v>
      </x:c>
      <x:c r="F135" s="9" t="str">
        <x:v>Alien 3 / gamme officielle Creature Pack</x:v>
      </x:c>
      <x:c r="G135" s="9" t="str">
        <x:v>Produit licencié lié au film ; montage à contrôler</x:v>
      </x:c>
      <x:c r="H135" s="9" t="str">
        <x:v>Alien 3 / gamme officielle Creature Pack ; ne pas généraliser à tous les médias.</x:v>
      </x:c>
      <x:c r="I135" s="9" t="str">
        <x:v>Confirmé pour le fait cité ; autres détails à vérifier</x:v>
      </x:c>
      <x:c r="J135" s="9" t="str">
        <x:v>Le Creature Pack officiel nomme Bambi Burster.</x:v>
      </x:c>
      <x:c r="K135" s="9" t="str">
        <x:v>XC-S07 — Alien 3 Creature Pack — Shipping This Week
Présentation officielle NECA d'un produit licencié ; portée limitée au nom et au design
Portée : Fait cité uniquement ; identité, capacités et biologie non extrapolées au-delà de cette preuve.</x:v>
      </x:c>
      <x:c r="L135" s="22" t="str">
        <x:v>https://store.necaonline.com/blogs/news/shipping-this-week-alien-3-creature-pack-and-video-game-godzilla-restock</x:v>
      </x:c>
      <x:c r="M135" s="9" t="str">
        <x:v>Absent du catalogue source de 115 fiches. Aucun acteur dédié établi par le contrôle des registres ; les rapprochements de noms restent à vérifier.</x:v>
      </x:c>
      <x:c r="N135" s="9" t="str">
        <x:v>https://github.com/darknigthmare/Yautja-hive-warriors/blob/39871c450379225de8174711237632e6aa883f04/js/data/BattleCatalog.js#L41-L51</x:v>
      </x:c>
      <x:c r="O135" s="9" t="str">
        <x:v>Ajouter la correspondance profil → acteur → source. Relever les capacités, modèle et animations ; vérifier le spawn, les identités et la fidélité du preset.</x:v>
      </x:c>
      <x:c r="P135" s="9" t="str">
        <x:v>Proposition de conception : transition de cycle de vie et trace de présence dans une zone.</x:v>
      </x:c>
      <x:c r="Q135" s="9" t="str">
        <x:v>Ne pas créer une nouvelle caste adulte ; provenance exacte du design à relever dans le montage choisi. Les ajouts à un groupe remplacent des places allouées. Réserves finies ; aucun renfort créé hors budget.</x:v>
      </x:c>
      <x:c r="R135" s="9" t="str">
        <x:v>Relations et opposition à définir dans le scénario de cette œuvre. Toute rencontre X/Y/H non attestée est une adaptation originale explicitement choisie.</x:v>
      </x:c>
      <x:c r="S135" s="9" t="str">
        <x:v>Lieu de l’œuvre à sélectionner et à documenter ; aucune nouvelle carte construite n’est revendiquée.</x:v>
      </x:c>
      <x:c r="T135" s="9" t="str">
        <x:v>Ne pas créer une nouvelle caste adulte ; provenance exacte du design à relever dans le montage choisi.</x:v>
      </x:c>
      <x:c r="U135" s="9" t="str">
        <x:v>P1</x:v>
      </x:c>
    </x:row>
    <x:row r="136" ht="36" hidden="0" customHeight="1">
      <x:c r="A136" s="10" t="str">
        <x:v>XEN-052</x:v>
      </x:c>
      <x:c r="B136" s="10" t="str">
        <x:v>Autres organismes</x:v>
      </x:c>
      <x:c r="C136" s="10" t="str">
        <x:v>Hammerpede</x:v>
      </x:c>
      <x:c r="D136" s="10" t="str">
        <x:v>Organisme associé à Prometheus ; distinct des castes xénomorphes classiques</x:v>
      </x:c>
      <x:c r="E136" s="10" t="str">
        <x:v>danger local ; règles d'écosystème propres</x:v>
      </x:c>
      <x:c r="F136" s="10" t="str">
        <x:v>Prometheus</x:v>
      </x:c>
      <x:c r="G136" s="10" t="str">
        <x:v>Film</x:v>
      </x:c>
      <x:c r="H136" s="10" t="str">
        <x:v>Prometheus ; ne pas généraliser à tous les médias.</x:v>
      </x:c>
      <x:c r="I136" s="10" t="str">
        <x:v>Confirmé pour le fait cité ; autres détails à vérifier</x:v>
      </x:c>
      <x:c r="J136" s="10" t="str">
        <x:v>La présentation officielle NECA nomme les Hammerpedes parmi les créatures de Prometheus.</x:v>
      </x:c>
      <x:c r="K136" s="10" t="str">
        <x:v>XC-S08 — Deacon Action Figure from Prometheus Series 2 — Behind the Scenes
Présentation officielle NECA d'un produit licencié
Portée : Fait cité uniquement ; identité, capacités et biologie non extrapolées au-delà de cette preuve.</x:v>
      </x:c>
      <x:c r="L136" s="23" t="str">
        <x:v>https://store.necaonline.com/blogs/behind-the-scenes/behind-the-scenes-wednesday-deacon-action-figure-from-prometheus-series-2</x:v>
      </x:c>
      <x:c r="M136" s="10" t="str">
        <x:v>Absent du catalogue source de 115 fiches. Aucun acteur dédié établi par le contrôle des registres ; les rapprochements de noms restent à vérifier.</x:v>
      </x:c>
      <x:c r="N136" s="10" t="str">
        <x:v>https://github.com/darknigthmare/Yautja-hive-warriors/blob/39871c450379225de8174711237632e6aa883f04/js/data/BattleCatalog.js#L41-L51</x:v>
      </x:c>
      <x:c r="O136" s="10" t="str">
        <x:v>Ajouter la correspondance profil → acteur → source. Relever les capacités, modèle et animations ; vérifier le spawn, les identités et la fidélité du preset.</x:v>
      </x:c>
      <x:c r="P136" s="10" t="str">
        <x:v>Proposition de conception : danger local dans des zones de prélèvement ou d'exploration confinées.</x:v>
      </x:c>
      <x:c r="Q136" s="10" t="str">
        <x:v>Ne pas le ranger dans une ruche de Warriors par défaut ; biogenèse et aptitudes à sourcer dans l'œuvre. Les ajouts à un groupe remplacent des places allouées. Réserves finies ; aucun renfort créé hors budget.</x:v>
      </x:c>
      <x:c r="R136" s="10" t="str">
        <x:v>Relations et opposition à définir dans le scénario de cette œuvre. Toute rencontre X/Y/H non attestée est une adaptation originale explicitement choisie.</x:v>
      </x:c>
      <x:c r="S136" s="10" t="str">
        <x:v>Lieu de l’œuvre à sélectionner et à documenter ; aucune nouvelle carte construite n’est revendiquée.</x:v>
      </x:c>
      <x:c r="T136" s="10" t="str">
        <x:v>Ne pas le ranger dans une ruche de Warriors par défaut ; biogenèse et aptitudes à sourcer dans l'œuvre.</x:v>
      </x:c>
      <x:c r="U136" s="10" t="str">
        <x:v>P1</x:v>
      </x:c>
    </x:row>
    <x:row r="137" ht="36" hidden="0" customHeight="1">
      <x:c r="A137" s="9" t="str">
        <x:v>XEN-053</x:v>
      </x:c>
      <x:c r="B137" s="9" t="str">
        <x:v>Autres organismes</x:v>
      </x:c>
      <x:c r="C137" s="9" t="str">
        <x:v>Ticks / tiques — Alien: Earth</x:v>
      </x:c>
      <x:c r="D137" s="9" t="str">
        <x:v>Autre organisme extraterrestre parasitaire</x:v>
      </x:c>
      <x:c r="E137" s="9" t="str">
        <x:v>danger écologique local</x:v>
      </x:c>
      <x:c r="F137" s="9" t="str">
        <x:v>Alien: Earth</x:v>
      </x:c>
      <x:c r="G137" s="9" t="str">
        <x:v>Série</x:v>
      </x:c>
      <x:c r="H137" s="9" t="str">
        <x:v>Alien: Earth ; ne pas généraliser à tous les médias.</x:v>
      </x:c>
      <x:c r="I137" s="9" t="str">
        <x:v>Confirmé pour le fait cité ; autres détails à vérifier</x:v>
      </x:c>
      <x:c r="J137" s="9" t="str">
        <x:v>Les créateurs décrivent les Ticks, leur alimentation sanguine et un sac lié à leur reproduction.</x:v>
      </x:c>
      <x:c r="K137" s="9" t="str">
        <x:v>XC-S09 — Alien: Earth Official Podcast — Episode 4
Transcription officielle FX ; entretien avec les créateurs
Portée : Fait cité uniquement ; identité, capacités et biologie non extrapolées au-delà de cette preuve.</x:v>
      </x:c>
      <x:c r="L137" s="22" t="str">
        <x:v>https://www.fxnetworks.com/shows/alien-earth/podcast/episode-4</x:v>
      </x:c>
      <x:c r="M137" s="9" t="str">
        <x:v>Absent du catalogue source de 115 fiches. Aucun acteur dédié établi par le contrôle des registres ; les rapprochements de noms restent à vérifier.</x:v>
      </x:c>
      <x:c r="N137" s="9" t="str">
        <x:v>https://github.com/darknigthmare/Yautja-hive-warriors/blob/39871c450379225de8174711237632e6aa883f04/js/data/BattleCatalog.js#L41-L51</x:v>
      </x:c>
      <x:c r="O137" s="9" t="str">
        <x:v>Ajouter la correspondance profil → acteur → source. Relever les capacités, modèle et animations ; vérifier le spawn, les identités et la fidélité du preset.</x:v>
      </x:c>
      <x:c r="P137" s="9" t="str">
        <x:v>Proposition de conception : infestation locale avec indices et zone de confinement.</x:v>
      </x:c>
      <x:c r="Q137" s="9" t="str">
        <x:v>Organisme distinct du Xénomorphe et de l'Eye Midge ; noms latins non établis par cette preuve. Les ajouts à un groupe remplacent des places allouées. Réserves finies ; aucun renfort créé hors budget.</x:v>
      </x:c>
      <x:c r="R137" s="9" t="str">
        <x:v>Relations et opposition à définir dans le scénario de cette œuvre. Toute rencontre X/Y/H non attestée est une adaptation originale explicitement choisie.</x:v>
      </x:c>
      <x:c r="S137" s="9" t="str">
        <x:v>LD-26 Prodigy City / Maginot : organismes suivis séparément du budget xénomorphe.</x:v>
      </x:c>
      <x:c r="T137" s="9" t="str">
        <x:v>Organisme distinct du Xénomorphe et de l'Eye Midge ; noms latins non établis par cette preuve.</x:v>
      </x:c>
      <x:c r="U137" s="9" t="str">
        <x:v>P1</x:v>
      </x:c>
    </x:row>
    <x:row r="138" ht="36" hidden="0" customHeight="1">
      <x:c r="A138" s="10" t="str">
        <x:v>XEN-054</x:v>
      </x:c>
      <x:c r="B138" s="10" t="str">
        <x:v>Autres organismes</x:v>
      </x:c>
      <x:c r="C138" s="10" t="str">
        <x:v>Fly / mouche — Alien: Earth</x:v>
      </x:c>
      <x:c r="D138" s="10" t="str">
        <x:v>Autre organisme extraterrestre</x:v>
      </x:c>
      <x:c r="E138" s="10" t="str">
        <x:v>rare ; scénario de confinement</x:v>
      </x:c>
      <x:c r="F138" s="10" t="str">
        <x:v>Alien: Earth</x:v>
      </x:c>
      <x:c r="G138" s="10" t="str">
        <x:v>Série</x:v>
      </x:c>
      <x:c r="H138" s="10" t="str">
        <x:v>Alien: Earth ; ne pas généraliser à tous les médias.</x:v>
      </x:c>
      <x:c r="I138" s="10" t="str">
        <x:v>Confirmé pour le fait cité ; autres détails à vérifier</x:v>
      </x:c>
      <x:c r="J138" s="10" t="str">
        <x:v>Le podcast officiel décrit la mouche et son jet d'acide contre Isaac.</x:v>
      </x:c>
      <x:c r="K138" s="10" t="str">
        <x:v>XC-S10 — Alien: Earth Official Podcast — Episode 6
Transcription officielle FX
Portée : Fait cité uniquement ; identité, capacités et biologie non extrapolées au-delà de cette preuve.</x:v>
      </x:c>
      <x:c r="L138" s="23" t="str">
        <x:v>https://www.fxnetworks.com/shows/alien-earth/podcast/episode-6</x:v>
      </x:c>
      <x:c r="M138" s="10" t="str">
        <x:v>Absent du catalogue source de 115 fiches. Aucun acteur dédié établi par le contrôle des registres ; les rapprochements de noms restent à vérifier.</x:v>
      </x:c>
      <x:c r="N138" s="10" t="str">
        <x:v>https://github.com/darknigthmare/Yautja-hive-warriors/blob/39871c450379225de8174711237632e6aa883f04/js/data/BattleCatalog.js#L41-L51</x:v>
      </x:c>
      <x:c r="O138" s="10" t="str">
        <x:v>Ajouter la correspondance profil → acteur → source. Relever les capacités, modèle et animations ; vérifier le spawn, les identités et la fidélité du preset.</x:v>
      </x:c>
      <x:c r="P138" s="10" t="str">
        <x:v>Proposition de conception : embuscade aérienne locale dans une opération de confinement.</x:v>
      </x:c>
      <x:c r="Q138" s="10" t="str">
        <x:v>Ne pas assimiler à un Xénomorphe volant ni généraliser un essaim de guerre sans justification d'adaptation. Les ajouts à un groupe remplacent des places allouées. Réserves finies ; aucun renfort créé hors budget.</x:v>
      </x:c>
      <x:c r="R138" s="10" t="str">
        <x:v>Relations et opposition à définir dans le scénario de cette œuvre. Toute rencontre X/Y/H non attestée est une adaptation originale explicitement choisie.</x:v>
      </x:c>
      <x:c r="S138" s="10" t="str">
        <x:v>LD-26 Prodigy City / Maginot : organismes suivis séparément du budget xénomorphe.</x:v>
      </x:c>
      <x:c r="T138" s="10" t="str">
        <x:v>Ne pas assimiler à un Xénomorphe volant ni généraliser un essaim de guerre sans justification d'adaptation.</x:v>
      </x:c>
      <x:c r="U138" s="10" t="str">
        <x:v>P1</x:v>
      </x:c>
    </x:row>
    <x:row r="139" ht="36" hidden="0" customHeight="1">
      <x:c r="A139" s="9" t="str">
        <x:v>XEN-055</x:v>
      </x:c>
      <x:c r="B139" s="9" t="str">
        <x:v>Autres organismes</x:v>
      </x:c>
      <x:c r="C139" s="9" t="str">
        <x:v>Orchid / organisme en forme d'orchidée — Alien: Earth</x:v>
      </x:c>
      <x:c r="D139" s="9" t="str">
        <x:v>Autre organisme extraterrestre ; nature biologique précise à documenter</x:v>
      </x:c>
      <x:c r="E139" s="9" t="str">
        <x:v>décor/objectif ; combat bloqué</x:v>
      </x:c>
      <x:c r="F139" s="9" t="str">
        <x:v>Alien: Earth</x:v>
      </x:c>
      <x:c r="G139" s="9" t="str">
        <x:v>Série</x:v>
      </x:c>
      <x:c r="H139" s="9" t="str">
        <x:v>Alien: Earth ; ne pas généraliser à tous les médias.</x:v>
      </x:c>
      <x:c r="I139" s="9" t="str">
        <x:v>Confirmé pour le fait cité ; autres détails à vérifier</x:v>
      </x:c>
      <x:c r="J139" s="9" t="str">
        <x:v>L'orchidée est nommée par les créateurs parmi les organismes conçus pour la série.</x:v>
      </x:c>
      <x:c r="K139" s="9" t="str">
        <x:v>XC-S09 — Alien: Earth Official Podcast — Episode 4
Transcription officielle FX ; entretien avec les créateurs
Portée : Fait cité uniquement ; identité, capacités et biologie non extrapolées au-delà de cette preuve.</x:v>
      </x:c>
      <x:c r="L139" s="22" t="str">
        <x:v>https://www.fxnetworks.com/shows/alien-earth/podcast/episode-4</x:v>
      </x:c>
      <x:c r="M139" s="9" t="str">
        <x:v>Absent du catalogue source de 115 fiches. Aucun acteur dédié établi par le contrôle des registres ; les rapprochements de noms restent à vérifier.</x:v>
      </x:c>
      <x:c r="N139" s="9" t="str">
        <x:v>https://github.com/darknigthmare/Yautja-hive-warriors/blob/39871c450379225de8174711237632e6aa883f04/js/data/BattleCatalog.js#L41-L51</x:v>
      </x:c>
      <x:c r="O139" s="9" t="str">
        <x:v>Ajouter la correspondance profil → acteur → source. Relever les capacités, modèle et animations ; vérifier le spawn, les identités et la fidélité du preset.</x:v>
      </x:c>
      <x:c r="P139" s="9" t="str">
        <x:v>Proposition de conception : élément d'écosystème ou objectif de prélèvement en attendant ses comportements documentés.</x:v>
      </x:c>
      <x:c r="Q139" s="9" t="str">
        <x:v>Ne pas déclarer un monstre combattant, une plante terrestre ou un Xénomorphe sur la seule forme et le nom. Les ajouts à un groupe remplacent des places allouées. Réserves finies ; aucun renfort créé hors budget.</x:v>
      </x:c>
      <x:c r="R139" s="9" t="str">
        <x:v>Relations et opposition à définir dans le scénario de cette œuvre. Toute rencontre X/Y/H non attestée est une adaptation originale explicitement choisie.</x:v>
      </x:c>
      <x:c r="S139" s="9" t="str">
        <x:v>LD-26 Prodigy City / Maginot : organismes suivis séparément du budget xénomorphe.</x:v>
      </x:c>
      <x:c r="T139" s="9" t="str">
        <x:v>Ne pas déclarer un monstre combattant, une plante terrestre ou un Xénomorphe sur la seule forme et le nom.</x:v>
      </x:c>
      <x:c r="U139" s="9" t="str">
        <x:v>P1</x:v>
      </x:c>
    </x:row>
    <x:row r="140" ht="36" hidden="0" customHeight="1">
      <x:c r="A140" s="10" t="str">
        <x:v>XEN-056</x:v>
      </x:c>
      <x:c r="B140" s="10" t="str">
        <x:v>Xénomorphes</x:v>
      </x:c>
      <x:c r="C140" s="10" t="str">
        <x:v>Lurker — Colonial Marines</x:v>
      </x:c>
      <x:c r="D140" s="10" t="str">
        <x:v>Profil de combat local</x:v>
      </x:c>
      <x:c r="E140" s="10" t="str">
        <x:v>À spécifier et vérifier dans le projet.</x:v>
      </x:c>
      <x:c r="F140" s="10" t="str">
        <x:v>Aliens: Colonial Marines</x:v>
      </x:c>
      <x:c r="G140" s="10" t="str">
        <x:v>Jeu</x:v>
      </x:c>
      <x:c r="H140" s="10" t="str">
        <x:v>Aliens: Colonial Marines ; ne pas généraliser à tous les médias.</x:v>
      </x:c>
      <x:c r="I140" s="10" t="str">
        <x:v>Confirmé pour le fait cité ; autres détails à vérifier</x:v>
      </x:c>
      <x:c r="J140" s="10" t="str">
        <x:v>Un succès officiel demande de frapper un Lurker pendant son bond.</x:v>
      </x:c>
      <x:c r="K140" s="10" t="str">
        <x:v>XC-S11 — Aliens: Colonial Marines — succès officiels
Textes de succès fournis par le développeur sur Steam
Portée : Fait cité uniquement ; identité, capacités et biologie non extrapolées au-delà de cette preuve.</x:v>
      </x:c>
      <x:c r="L140" s="23" t="str">
        <x:v>https://steamcommunity.com/stats/AliensColonialMarines/achievements/</x:v>
      </x:c>
      <x:c r="M140" s="10" t="str">
        <x:v>Absent du catalogue source de 115 fiches. Aucun acteur dédié établi par le contrôle des registres ; les rapprochements de noms restent à vérifier.</x:v>
      </x:c>
      <x:c r="N140" s="10" t="str">
        <x:v>https://github.com/darknigthmare/Yautja-hive-warriors/blob/39871c450379225de8174711237632e6aa883f04/js/data/BattleCatalog.js#L41-L51</x:v>
      </x:c>
      <x:c r="O140" s="10" t="str">
        <x:v>Ajouter la correspondance profil → acteur → source. Relever les capacités, modèle et animations ; vérifier le spawn, les identités et la fidélité du preset.</x:v>
      </x:c>
      <x:c r="P140" s="10" t="str">
        <x:v>Proposition de conception : assaillant d'embuscade utilisant les passages latéraux.</x:v>
      </x:c>
      <x:c r="Q140" s="10" t="str">
        <x:v>Distinguer son incarnation de Prowler et de l'alias chameleon_stalker ; aucun camouflage optique déduit. Les ajouts à un groupe remplacent des places allouées. Réserves finies ; aucun renfort créé hors budget.</x:v>
      </x:c>
      <x:c r="R140" s="10" t="str">
        <x:v>Relations et opposition à définir dans le scénario de cette œuvre. Toute rencontre X/Y/H non attestée est une adaptation originale explicitement choisie.</x:v>
      </x:c>
      <x:c r="S140" s="10" t="str">
        <x:v>Lieu de l’œuvre à sélectionner et à documenter ; aucune nouvelle carte construite n’est revendiquée.</x:v>
      </x:c>
      <x:c r="T140" s="10" t="str">
        <x:v>Distinguer son incarnation de Prowler et de l'alias chameleon_stalker ; aucun camouflage optique déduit.</x:v>
      </x:c>
      <x:c r="U140" s="10" t="str">
        <x:v>P1</x:v>
      </x:c>
    </x:row>
    <x:row r="141" ht="36" hidden="0" customHeight="1">
      <x:c r="A141" s="9" t="str">
        <x:v>XEN-057</x:v>
      </x:c>
      <x:c r="B141" s="9" t="str">
        <x:v>Xénomorphes</x:v>
      </x:c>
      <x:c r="C141" s="9" t="str">
        <x:v>Spitter — Colonial Marines</x:v>
      </x:c>
      <x:c r="D141" s="9" t="str">
        <x:v>Profil de combat local ; homonyme d'un autre jeu</x:v>
      </x:c>
      <x:c r="E141" s="9" t="str">
        <x:v>À spécifier et vérifier dans le projet.</x:v>
      </x:c>
      <x:c r="F141" s="9" t="str">
        <x:v>Aliens: Colonial Marines</x:v>
      </x:c>
      <x:c r="G141" s="9" t="str">
        <x:v>Jeu</x:v>
      </x:c>
      <x:c r="H141" s="9" t="str">
        <x:v>Aliens: Colonial Marines ; ne pas généraliser à tous les médias.</x:v>
      </x:c>
      <x:c r="I141" s="9" t="str">
        <x:v>Confirmé pour le fait cité ; autres détails à vérifier</x:v>
      </x:c>
      <x:c r="J141" s="9" t="str">
        <x:v>Un succès officiel associe les Spitters aux dégâts acides.</x:v>
      </x:c>
      <x:c r="K141" s="9" t="str">
        <x:v>XC-S11 — Aliens: Colonial Marines — succès officiels
Textes de succès fournis par le développeur sur Steam
Portée : Fait cité uniquement ; identité, capacités et biologie non extrapolées au-delà de cette preuve.</x:v>
      </x:c>
      <x:c r="L141" s="22" t="str">
        <x:v>https://steamcommunity.com/stats/AliensColonialMarines/achievements/</x:v>
      </x:c>
      <x:c r="M141" s="9" t="str">
        <x:v>Absent du catalogue source de 115 fiches. Aucun acteur dédié établi par le contrôle des registres ; les rapprochements de noms restent à vérifier.</x:v>
      </x:c>
      <x:c r="N141" s="9" t="str">
        <x:v>https://github.com/darknigthmare/Yautja-hive-warriors/blob/39871c450379225de8174711237632e6aa883f04/js/data/BattleCatalog.js#L41-L51</x:v>
      </x:c>
      <x:c r="O141" s="9" t="str">
        <x:v>Ajouter la correspondance profil → acteur → source. Relever les capacités, modèle et animations ; vérifier le spawn, les identités et la fidélité du preset.</x:v>
      </x:c>
      <x:c r="P141" s="9" t="str">
        <x:v>Proposition de conception : tireur de zone protégeant un accès ou gênant une capture.</x:v>
      </x:c>
      <x:c r="Q141" s="9" t="str">
        <x:v>Ne pas dédupliquer automatiquement avec le Spitter de Fireteam Elite ; conserver deux profils d'œuvre. Les ajouts à un groupe remplacent des places allouées. Réserves finies ; aucun renfort créé hors budget.</x:v>
      </x:c>
      <x:c r="R141" s="9" t="str">
        <x:v>Relations et opposition à définir dans le scénario de cette œuvre. Toute rencontre X/Y/H non attestée est une adaptation originale explicitement choisie.</x:v>
      </x:c>
      <x:c r="S141" s="9" t="str">
        <x:v>Lieu de l’œuvre à sélectionner et à documenter ; aucune nouvelle carte construite n’est revendiquée.</x:v>
      </x:c>
      <x:c r="T141" s="9" t="str">
        <x:v>Ne pas dédupliquer automatiquement avec le Spitter de Fireteam Elite ; conserver deux profils d'œuvre.</x:v>
      </x:c>
      <x:c r="U141" s="9" t="str">
        <x:v>P1</x:v>
      </x:c>
    </x:row>
    <x:row r="142" ht="96" hidden="0" customHeight="1">
      <x:c r="A142" s="10" t="str">
        <x:v>XEN-058</x:v>
      </x:c>
      <x:c r="B142" s="10" t="str">
        <x:v>Xénomorphes</x:v>
      </x:c>
      <x:c r="C142" s="10" t="str">
        <x:v>Raven — Colonial Marines</x:v>
      </x:c>
      <x:c r="D142" s="10" t="str">
        <x:v>Adversaire nommé / rencontre particulière</x:v>
      </x:c>
      <x:c r="E142" s="10" t="str">
        <x:v>unique ; modèle et mécaniques à contrôler</x:v>
      </x:c>
      <x:c r="F142" s="10" t="str">
        <x:v>Aliens: Colonial Marines</x:v>
      </x:c>
      <x:c r="G142" s="10" t="str">
        <x:v>Jeu</x:v>
      </x:c>
      <x:c r="H142" s="10" t="str">
        <x:v>Aliens: Colonial Marines ; ne pas généraliser à tous les médias.</x:v>
      </x:c>
      <x:c r="I142" s="10" t="str">
        <x:v>Confirmé pour le fait cité ; autres détails à vérifier</x:v>
      </x:c>
      <x:c r="J142" s="10" t="str">
        <x:v>Le succès Heavy Lifting confirme un affrontement contre le Raven.</x:v>
      </x:c>
      <x:c r="K142" s="10" t="str">
        <x:v>XC-S11 — Aliens: Colonial Marines — succès officiels
Textes de succès fournis par le développeur sur Steam
Portée : Fait cité uniquement ; identité, capacités et biologie non extrapolées au-delà de cette preuve.</x:v>
      </x:c>
      <x:c r="L142" s="23" t="str">
        <x:v>https://steamcommunity.com/stats/AliensColonialMarines/achievements/</x:v>
      </x:c>
      <x:c r="M142" s="10" t="str">
        <x:v>Absent comme fiche dédiée. Correspondance de code candidate : xeno_raven ; identité et fidélité non certifiées.</x:v>
      </x:c>
      <x:c r="N142" s="10" t="str">
        <x:v>https://github.com/darknigthmare/Yautja-hive-warriors/blob/39871c450379225de8174711237632e6aa883f04/js/data/BattleCatalog.js#L41-L51
https://github.com/darknigthmare/Yautja-hive-warriors/blob/39871c450379225de8174711237632e6aa883f04/js/entities/XenomorphHorde.js#L2273-L2288
https://github.com/darknigthmare/Yautja-hive-warriors/blob/39871c450379225de8174711237632e6aa883f04/js/data/BossRegistry.js#L8-L27
https://github.com/darknigthmare/Yautja-hive-warriors/blob/39871c450379225de8174711237632e6aa883f04/js/entities/XenomorphHorde.js#L1305-L1375</x:v>
      </x:c>
      <x:c r="O142" s="10" t="str">
        <x:v>Ajouter la correspondance profil → acteur → source. Relever les capacités, modèle et animations ; vérifier le spawn, les identités et la fidélité du preset.</x:v>
      </x:c>
      <x:c r="P142" s="10" t="str">
        <x:v>Proposition de conception : rencontre unique à documenter, distincte de l'infanterie ordinaire.</x:v>
      </x:c>
      <x:c r="Q142" s="10" t="str">
        <x:v>Le succès prouve le nom et l'affrontement ; aucun vol, plume, bec ou alias Praetorian Raven n'en découle. Les ajouts à un groupe remplacent des places allouées. Réserves finies ; aucun renfort créé hors budget.</x:v>
      </x:c>
      <x:c r="R142" s="10" t="str">
        <x:v>Relations et opposition à définir dans le scénario de cette œuvre. Toute rencontre X/Y/H non attestée est une adaptation originale explicitement choisie.</x:v>
      </x:c>
      <x:c r="S142" s="10" t="str">
        <x:v>Lieu de l’œuvre à sélectionner et à documenter ; aucune nouvelle carte construite n’est revendiquée.</x:v>
      </x:c>
      <x:c r="T142" s="10" t="str">
        <x:v>Le succès prouve le nom et l'affrontement ; aucun vol, plume, bec ou alias Praetorian Raven n'en découle.</x:v>
      </x:c>
      <x:c r="U142" s="10" t="str">
        <x:v>P1</x:v>
      </x:c>
    </x:row>
    <x:row r="143" ht="36" hidden="0" customHeight="1">
      <x:c r="A143" s="9" t="str">
        <x:v>XEN-059</x:v>
      </x:c>
      <x:c r="B143" s="9" t="str">
        <x:v>Xénomorphes</x:v>
      </x:c>
      <x:c r="C143" s="9" t="str">
        <x:v>Razor Claws — AVP arcade</x:v>
      </x:c>
      <x:c r="D143" s="9" t="str">
        <x:v>Profil d'adversaire du jeu arcade</x:v>
      </x:c>
      <x:c r="E143" s="9" t="str">
        <x:v>À spécifier et vérifier dans le projet.</x:v>
      </x:c>
      <x:c r="F143" s="9" t="str">
        <x:v>Alien vs. Predator (Capcom, 1994)</x:v>
      </x:c>
      <x:c r="G143" s="9" t="str">
        <x:v>Jeu</x:v>
      </x:c>
      <x:c r="H143" s="9" t="str">
        <x:v>Alien vs. Predator (Capcom, 1994) ; ne pas généraliser à tous les médias.</x:v>
      </x:c>
      <x:c r="I143" s="9" t="str">
        <x:v>Confirmé pour le fait cité ; autres détails à vérifier</x:v>
      </x:c>
      <x:c r="J143" s="9" t="str">
        <x:v>La présentation licenciée nomme Razor Claws parmi les adversaires du jeu arcade.</x:v>
      </x:c>
      <x:c r="K143" s="9" t="str">
        <x:v>XC-S12 — Alien vs Predator Arcade Aliens Assortment — Shipping This Week
Présentation officielle NECA de personnages licenciés du jeu de 1994
Portée : Fait cité uniquement ; identité, capacités et biologie non extrapolées au-delà de cette preuve.</x:v>
      </x:c>
      <x:c r="L143" s="22" t="str">
        <x:v>https://store.necaonline.com/blogs/news/shipping-this-week-it-accessory-set-and-alien-vs-predator-arcade-aliens-assortment-1</x:v>
      </x:c>
      <x:c r="M143" s="9" t="str">
        <x:v>Absent du catalogue source de 115 fiches. Aucun acteur dédié établi par le contrôle des registres ; les rapprochements de noms restent à vérifier.</x:v>
      </x:c>
      <x:c r="N143" s="9" t="str">
        <x:v>https://github.com/darknigthmare/Yautja-hive-warriors/blob/39871c450379225de8174711237632e6aa883f04/js/data/BattleCatalog.js#L41-L51</x:v>
      </x:c>
      <x:c r="O143" s="9" t="str">
        <x:v>Ajouter la correspondance profil → acteur → source. Relever les capacités, modèle et animations ; vérifier le spawn, les identités et la fidélité du preset.</x:v>
      </x:c>
      <x:c r="P143" s="9" t="str">
        <x:v>Proposition de conception : élite de mêlée propre à une opération inspirée du jeu arcade</x:v>
      </x:c>
      <x:c r="Q143" s="9" t="str">
        <x:v>Valider les attaques dans le jeu ; la variante de figurine Movie Deco n'est pas une apparition au cinéma. Les ajouts à un groupe remplacent des places allouées. Réserves finies ; aucun renfort créé hors budget.</x:v>
      </x:c>
      <x:c r="R143" s="9" t="str">
        <x:v>Relations et opposition à définir dans le scénario de cette œuvre. Toute rencontre X/Y/H non attestée est une adaptation originale explicitement choisie.</x:v>
      </x:c>
      <x:c r="S143" s="9" t="str">
        <x:v>Lieu de l’œuvre à sélectionner et à documenter ; aucune nouvelle carte construite n’est revendiquée.</x:v>
      </x:c>
      <x:c r="T143" s="9" t="str">
        <x:v>Valider les attaques dans le jeu ; la variante de figurine Movie Deco n'est pas une apparition au cinéma.</x:v>
      </x:c>
      <x:c r="U143" s="9" t="str">
        <x:v>P1</x:v>
      </x:c>
    </x:row>
    <x:row r="144" ht="36" hidden="0" customHeight="1">
      <x:c r="A144" s="10" t="str">
        <x:v>XEN-060</x:v>
      </x:c>
      <x:c r="B144" s="10" t="str">
        <x:v>Xénomorphes</x:v>
      </x:c>
      <x:c r="C144" s="10" t="str">
        <x:v>Chrysalis — AVP arcade</x:v>
      </x:c>
      <x:c r="D144" s="10" t="str">
        <x:v>Profil d'adversaire du jeu arcade</x:v>
      </x:c>
      <x:c r="E144" s="10" t="str">
        <x:v>À spécifier et vérifier dans le projet.</x:v>
      </x:c>
      <x:c r="F144" s="10" t="str">
        <x:v>Alien vs. Predator (Capcom, 1994)</x:v>
      </x:c>
      <x:c r="G144" s="10" t="str">
        <x:v>Jeu</x:v>
      </x:c>
      <x:c r="H144" s="10" t="str">
        <x:v>Alien vs. Predator (Capcom, 1994) ; ne pas généraliser à tous les médias.</x:v>
      </x:c>
      <x:c r="I144" s="10" t="str">
        <x:v>Confirmé pour le fait cité ; autres détails à vérifier</x:v>
      </x:c>
      <x:c r="J144" s="10" t="str">
        <x:v>La présentation licenciée nomme Chrysalis parmi les adversaires du jeu arcade.</x:v>
      </x:c>
      <x:c r="K144" s="10" t="str">
        <x:v>XC-S12 — Alien vs Predator Arcade Aliens Assortment — Shipping This Week
Présentation officielle NECA de personnages licenciés du jeu de 1994
Portée : Fait cité uniquement ; identité, capacités et biologie non extrapolées au-delà de cette preuve.</x:v>
      </x:c>
      <x:c r="L144" s="23" t="str">
        <x:v>https://store.necaonline.com/blogs/news/shipping-this-week-it-accessory-set-and-alien-vs-predator-arcade-aliens-assortment-1</x:v>
      </x:c>
      <x:c r="M144" s="10" t="str">
        <x:v>Absent du catalogue source de 115 fiches. Aucun acteur dédié établi par le contrôle des registres ; les rapprochements de noms restent à vérifier.</x:v>
      </x:c>
      <x:c r="N144" s="10" t="str">
        <x:v>https://github.com/darknigthmare/Yautja-hive-warriors/blob/39871c450379225de8174711237632e6aa883f04/js/data/BattleCatalog.js#L41-L51</x:v>
      </x:c>
      <x:c r="O144" s="10" t="str">
        <x:v>Ajouter la correspondance profil → acteur → source. Relever les capacités, modèle et animations ; vérifier le spawn, les identités et la fidélité du preset.</x:v>
      </x:c>
      <x:c r="P144" s="10" t="str">
        <x:v>Proposition de conception : adversaire spécial à documenter avant de fixer mobilité, armure et attaques</x:v>
      </x:c>
      <x:c r="Q144" s="10" t="str">
        <x:v>Valider les attaques dans le jeu ; la variante de figurine Movie Deco n'est pas une apparition au cinéma. Les ajouts à un groupe remplacent des places allouées. Réserves finies ; aucun renfort créé hors budget.</x:v>
      </x:c>
      <x:c r="R144" s="10" t="str">
        <x:v>Relations et opposition à définir dans le scénario de cette œuvre. Toute rencontre X/Y/H non attestée est une adaptation originale explicitement choisie.</x:v>
      </x:c>
      <x:c r="S144" s="10" t="str">
        <x:v>Lieu de l’œuvre à sélectionner et à documenter ; aucune nouvelle carte construite n’est revendiquée.</x:v>
      </x:c>
      <x:c r="T144" s="10" t="str">
        <x:v>Valider les attaques dans le jeu ; la variante de figurine Movie Deco n'est pas une apparition au cinéma.</x:v>
      </x:c>
      <x:c r="U144" s="10" t="str">
        <x:v>P1</x:v>
      </x:c>
    </x:row>
    <x:row r="145" ht="36" hidden="0" customHeight="1">
      <x:c r="A145" s="9" t="str">
        <x:v>XEN-061</x:v>
      </x:c>
      <x:c r="B145" s="9" t="str">
        <x:v>Xénomorphes</x:v>
      </x:c>
      <x:c r="C145" s="9" t="str">
        <x:v>Arachnoid — AVP arcade</x:v>
      </x:c>
      <x:c r="D145" s="9" t="str">
        <x:v>Profil d'adversaire du jeu arcade</x:v>
      </x:c>
      <x:c r="E145" s="9" t="str">
        <x:v>À spécifier et vérifier dans le projet.</x:v>
      </x:c>
      <x:c r="F145" s="9" t="str">
        <x:v>Alien vs. Predator (Capcom, 1994)</x:v>
      </x:c>
      <x:c r="G145" s="9" t="str">
        <x:v>Jeu</x:v>
      </x:c>
      <x:c r="H145" s="9" t="str">
        <x:v>Alien vs. Predator (Capcom, 1994) ; ne pas généraliser à tous les médias.</x:v>
      </x:c>
      <x:c r="I145" s="9" t="str">
        <x:v>Confirmé pour le fait cité ; autres détails à vérifier</x:v>
      </x:c>
      <x:c r="J145" s="9" t="str">
        <x:v>La présentation licenciée nomme Arachnoid parmi les adversaires du jeu arcade.</x:v>
      </x:c>
      <x:c r="K145" s="9" t="str">
        <x:v>XC-S12 — Alien vs Predator Arcade Aliens Assortment — Shipping This Week
Présentation officielle NECA de personnages licenciés du jeu de 1994
Portée : Fait cité uniquement ; identité, capacités et biologie non extrapolées au-delà de cette preuve.</x:v>
      </x:c>
      <x:c r="L145" s="22" t="str">
        <x:v>https://store.necaonline.com/blogs/news/shipping-this-week-it-accessory-set-and-alien-vs-predator-arcade-aliens-assortment-1</x:v>
      </x:c>
      <x:c r="M145" s="9" t="str">
        <x:v>Absent du catalogue source de 115 fiches. Aucun acteur dédié établi par le contrôle des registres ; les rapprochements de noms restent à vérifier.</x:v>
      </x:c>
      <x:c r="N145" s="9" t="str">
        <x:v>https://github.com/darknigthmare/Yautja-hive-warriors/blob/39871c450379225de8174711237632e6aa883f04/js/data/BattleCatalog.js#L41-L51</x:v>
      </x:c>
      <x:c r="O145" s="9" t="str">
        <x:v>Ajouter la correspondance profil → acteur → source. Relever les capacités, modèle et animations ; vérifier le spawn, les identités et la fidélité du preset.</x:v>
      </x:c>
      <x:c r="P145" s="9" t="str">
        <x:v>Proposition de conception : adversaire spécial à documenter avant de fixer habitat et locomotion</x:v>
      </x:c>
      <x:c r="Q145" s="9" t="str">
        <x:v>Valider les attaques dans le jeu ; la variante de figurine Movie Deco n'est pas une apparition au cinéma. Les ajouts à un groupe remplacent des places allouées. Réserves finies ; aucun renfort créé hors budget.</x:v>
      </x:c>
      <x:c r="R145" s="9" t="str">
        <x:v>Relations et opposition à définir dans le scénario de cette œuvre. Toute rencontre X/Y/H non attestée est une adaptation originale explicitement choisie.</x:v>
      </x:c>
      <x:c r="S145" s="9" t="str">
        <x:v>Lieu de l’œuvre à sélectionner et à documenter ; aucune nouvelle carte construite n’est revendiquée.</x:v>
      </x:c>
      <x:c r="T145" s="9" t="str">
        <x:v>Valider les attaques dans le jeu ; la variante de figurine Movie Deco n'est pas une apparition au cinéma.</x:v>
      </x:c>
      <x:c r="U145" s="9" t="str">
        <x:v>P1</x:v>
      </x:c>
    </x:row>
    <x:row r="146" ht="36" hidden="0" customHeight="1">
      <x:c r="A146" s="10" t="str">
        <x:v>XEN-062</x:v>
      </x:c>
      <x:c r="B146" s="10" t="str">
        <x:v>Organismes à classer</x:v>
      </x:c>
      <x:c r="C146" s="10" t="str">
        <x:v>Titan — Dark Descent</x:v>
      </x:c>
      <x:c r="D146" s="10" t="str">
        <x:v>Profil de menace nommé dans le jeu ; taxonomie à préciser</x:v>
      </x:c>
      <x:c r="E146" s="10" t="str">
        <x:v>bloqué jusqu’à identification du Titan du codex et de son modèle final</x:v>
      </x:c>
      <x:c r="F146" s="10" t="str">
        <x:v>Aliens: Dark Descent</x:v>
      </x:c>
      <x:c r="G146" s="10" t="str">
        <x:v>Jeu</x:v>
      </x:c>
      <x:c r="H146" s="10" t="str">
        <x:v>Aliens: Dark Descent ; ne pas généraliser à tous les médias.</x:v>
      </x:c>
      <x:c r="I146" s="10" t="str">
        <x:v>Confirmé pour le fait cité ; autres détails à vérifier</x:v>
      </x:c>
      <x:c r="J146" s="10" t="str">
        <x:v>Le correctif ajoute au codex du Titan l'information sur l'étourdissement au fusil à pompe.</x:v>
      </x:c>
      <x:c r="K146" s="10" t="str">
        <x:v>XC-S13 — Aliens: Dark Descent — actualités et notes de mise à jour officielles
Publications du développeur/éditeur sur Steam
Portée : Fait cité uniquement ; identité, capacités et biologie non extrapolées au-delà de cette preuve.</x:v>
      </x:c>
      <x:c r="L146" s="23" t="str">
        <x:v>https://steamcommunity.com/app/1150440/allnews/</x:v>
      </x:c>
      <x:c r="M146" s="10" t="str">
        <x:v>Absent du catalogue source de 115 fiches. Aucun acteur dédié établi par le contrôle des registres ; les rapprochements de noms restent à vérifier.</x:v>
      </x:c>
      <x:c r="N146" s="10" t="str">
        <x:v>https://github.com/darknigthmare/Yautja-hive-warriors/blob/39871c450379225de8174711237632e6aa883f04/js/data/BattleCatalog.js#L41-L51</x:v>
      </x:c>
      <x:c r="O146" s="10" t="str">
        <x:v>Ajouter la correspondance profil → acteur → source. Relever les capacités, modèle et animations ; vérifier le spawn, les identités et la fidélité du preset.</x:v>
      </x:c>
      <x:c r="P146" s="10" t="str">
        <x:v>Proposition de conception : menace scénarisée dont le contre-jeu reprend seulement des comportements vérifiés.</x:v>
      </x:c>
      <x:c r="Q146" s="10" t="str">
        <x:v>Ne pas confondre avec deacon_titan, rogue_king ni une caste Titan universelle ; design final à comparer au jeu. Les ajouts à un groupe remplacent des places allouées. Réserves finies ; aucun renfort créé hors budget.</x:v>
      </x:c>
      <x:c r="R146" s="10" t="str">
        <x:v>Relations et opposition à définir dans le scénario de cette œuvre. Toute rencontre X/Y/H non attestée est une adaptation originale explicitement choisie.</x:v>
      </x:c>
      <x:c r="S146" s="10" t="str">
        <x:v>Lethe : rencontre à identifier, sans ajout automatique.</x:v>
      </x:c>
      <x:c r="T146" s="10" t="str">
        <x:v>Ne pas confondre avec deacon_titan, rogue_king ni une caste Titan universelle ; design final à comparer au jeu. Ni deacon_titan ni predalien_matriarch_titan ne prouvent cette incarnation.</x:v>
      </x:c>
      <x:c r="U146" s="10" t="str">
        <x:v>P1</x:v>
      </x:c>
    </x:row>
    <x:row r="147" ht="36" hidden="0" customHeight="1">
      <x:c r="A147" s="9" t="str">
        <x:v>XEN-063</x:v>
      </x:c>
      <x:c r="B147" s="9" t="str">
        <x:v>Xénomorphes</x:v>
      </x:c>
      <x:c r="C147" s="9" t="str">
        <x:v>Hybrid — Alien (2022) #5</x:v>
      </x:c>
      <x:c r="D147" s="9" t="str">
        <x:v>Organisme nommé / individu de comic ; filiation à documenter</x:v>
      </x:c>
      <x:c r="E147" s="9" t="str">
        <x:v>unique ; scénario du comic</x:v>
      </x:c>
      <x:c r="F147" s="9" t="str">
        <x:v>Alien (2022) #5</x:v>
      </x:c>
      <x:c r="G147" s="9" t="str">
        <x:v>Comic</x:v>
      </x:c>
      <x:c r="H147" s="9" t="str">
        <x:v>Alien (2022) #5 ; ne pas généraliser à tous les médias.</x:v>
      </x:c>
      <x:c r="I147" s="9" t="str">
        <x:v>Confirmé pour le fait cité ; autres détails à vérifier</x:v>
      </x:c>
      <x:c r="J147" s="9" t="str">
        <x:v>L'éditeur mentionne un essaim de Xénomorphes mené par un monstrueux Hybrid.</x:v>
      </x:c>
      <x:c r="K147" s="9" t="str">
        <x:v>XC-S14 — Alien (2022) #5
Notice officielle de l'éditeur
Portée : Fait cité uniquement ; identité, capacités et biologie non extrapolées au-delà de cette preuve.</x:v>
      </x:c>
      <x:c r="L147" s="22" t="str">
        <x:v>https://www.marvel.com/comics/issue/103782/alien_2022_5</x:v>
      </x:c>
      <x:c r="M147" s="9" t="str">
        <x:v>Absent du catalogue source de 115 fiches. Aucun acteur dédié établi par le contrôle des registres ; les rapprochements de noms restent à vérifier.</x:v>
      </x:c>
      <x:c r="N147" s="9" t="str">
        <x:v>https://github.com/darknigthmare/Yautja-hive-warriors/blob/39871c450379225de8174711237632e6aa883f04/js/data/BattleCatalog.js#L41-L51</x:v>
      </x:c>
      <x:c r="O147" s="9" t="str">
        <x:v>Ajouter la correspondance profil → acteur → source. Relever les capacités, modèle et animations ; vérifier le spawn, les identités et la fidélité du preset.</x:v>
      </x:c>
      <x:c r="P147" s="9" t="str">
        <x:v>Proposition de conception : rencontre de commandement propre à ce récit.</x:v>
      </x:c>
      <x:c r="Q147" s="9" t="str">
        <x:v>Le nom Hybrid ne prouve ni composition génétique précise ni nouvelle caste reproductible. Les ajouts à un groupe remplacent des places allouées. Réserves finies ; aucun renfort créé hors budget.</x:v>
      </x:c>
      <x:c r="R147" s="9" t="str">
        <x:v>Relations et opposition à définir dans le scénario de cette œuvre. Toute rencontre X/Y/H non attestée est une adaptation originale explicitement choisie.</x:v>
      </x:c>
      <x:c r="S147" s="9" t="str">
        <x:v>Lieu de l’œuvre à sélectionner et à documenter ; aucune nouvelle carte construite n’est revendiquée.</x:v>
      </x:c>
      <x:c r="T147" s="9" t="str">
        <x:v>Le nom Hybrid ne prouve ni composition génétique précise ni nouvelle caste reproductible.</x:v>
      </x:c>
      <x:c r="U147" s="9" t="str">
        <x:v>P1</x:v>
      </x:c>
    </x:row>
    <x:row r="148" ht="96" hidden="0" customHeight="1">
      <x:c r="A148" s="10" t="str">
        <x:v>YAU-038</x:v>
      </x:c>
      <x:c r="B148" s="10" t="str">
        <x:v>Yautja</x:v>
      </x:c>
      <x:c r="C148" s="10" t="str">
        <x:v>Valkyrie — PHG</x:v>
      </x:c>
      <x:c r="D148" s="10" t="str">
        <x:v>Classe DLC ; incarnation nommée</x:v>
      </x:c>
      <x:c r="E148" s="10" t="str">
        <x:v>unique ; aucune réserve de clones</x:v>
      </x:c>
      <x:c r="F148" s="10" t="str">
        <x:v>Predator: Hunting Grounds</x:v>
      </x:c>
      <x:c r="G148" s="10" t="str">
        <x:v>Jeu</x:v>
      </x:c>
      <x:c r="H148" s="10" t="str">
        <x:v>Predator: Hunting Grounds</x:v>
      </x:c>
      <x:c r="I148" s="10" t="str">
        <x:v>Confirmé pour le fait cité ; autres détails à vérifier</x:v>
      </x:c>
      <x:c r="J148" s="10" t="str">
        <x:v>Valkyrie est une classe premium associée au Norse Hammer.</x:v>
      </x:c>
      <x:c r="K148" s="10" t="str">
        <x:v>YC-S01 — Predator: Hunting Grounds — Yautja Edition
Source primaire officielle
Portée : Liste de classes publiée par IllFonic ; n’établit pas une hiérarchie de rangs.
YC-S02 — Hunting Grounds — catalogue officiel des DLC
Source primaire officielle
Portée : Description des classes et de leur équipement ; continuité du jeu seulement.</x:v>
      </x:c>
      <x:c r="L148" s="23" t="str">
        <x:v>https://store.playstation.com/en-us/product/UP3095-PPSA24179_00-PHGYAUTJA0000001/
https://predator.illfonic.com/</x:v>
      </x:c>
      <x:c r="M148" s="10" t="str">
        <x:v>Absent du catalogue source de 115 fiches. Aucun profil jouable dédié dans charactersData ; aucun profil NPC dédié dans YautjaAllies/BossRegistry inspectés au SHA courant.</x:v>
      </x:c>
      <x:c r="N148"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48" s="10" t="str">
        <x:v>Ajouter la correspondance profil → acteur → source. Relever les capacités, modèle et animations ; vérifier le spawn, les identités et la fidélité du preset.</x:v>
      </x:c>
      <x:c r="P148" s="10" t="str">
        <x:v>Proposition : duelliste mobile au marteau avec attaques télégraphiées.</x:v>
      </x:c>
      <x:c r="Q148" s="10" t="str">
        <x:v>Un individu nommé au maximum par opération ; joueur compté séparément ; aucun clone dans les réserves. Classe PHG, pas race biologique. Les ajouts à un groupe remplacent des places allouées. Réserves finies ; aucun renfort créé hors budget.</x:v>
      </x:c>
      <x:c r="R148" s="10" t="str">
        <x:v>Relations et opposition à définir dans le scénario de cette œuvre. Toute rencontre X/Y/H non attestée est une adaptation originale explicitement choisie.</x:v>
      </x:c>
      <x:c r="S148" s="10" t="str">
        <x:v>Lieu de l’œuvre à sélectionner et à documenter ; aucune nouvelle carte construite n’est revendiquée.</x:v>
      </x:c>
      <x:c r="T148" s="10" t="str">
        <x:v>Un individu nommé au maximum par opération ; joueur compté séparément ; aucun clone dans les réserves. Classe PHG, pas race biologique.</x:v>
      </x:c>
      <x:c r="U148" s="10" t="str">
        <x:v>P1</x:v>
      </x:c>
    </x:row>
    <x:row r="149" ht="96" hidden="0" customHeight="1">
      <x:c r="A149" s="9" t="str">
        <x:v>YAU-039</x:v>
      </x:c>
      <x:c r="B149" s="9" t="str">
        <x:v>Yautja</x:v>
      </x:c>
      <x:c r="C149" s="9" t="str">
        <x:v>Cleopatra — PHG</x:v>
      </x:c>
      <x:c r="D149" s="9" t="str">
        <x:v>Classe DLC ; incarnation nommée</x:v>
      </x:c>
      <x:c r="E149" s="9" t="str">
        <x:v>unique ; aucune réserve de clones</x:v>
      </x:c>
      <x:c r="F149" s="9" t="str">
        <x:v>Predator: Hunting Grounds</x:v>
      </x:c>
      <x:c r="G149" s="9" t="str">
        <x:v>Jeu</x:v>
      </x:c>
      <x:c r="H149" s="9" t="str">
        <x:v>Predator: Hunting Grounds</x:v>
      </x:c>
      <x:c r="I149" s="9" t="str">
        <x:v>Confirmé pour le fait cité ; autres détails à vérifier</x:v>
      </x:c>
      <x:c r="J149" s="9" t="str">
        <x:v>Cleopatra est une classe premium associée à une variante de Smart Disc.</x:v>
      </x:c>
      <x:c r="K149" s="9" t="str">
        <x:v>YC-S01 — Predator: Hunting Grounds — Yautja Edition
Source primaire officielle
Portée : Liste de classes publiée par IllFonic ; n’établit pas une hiérarchie de rangs.
YC-S02 — Hunting Grounds — catalogue officiel des DLC
Source primaire officielle
Portée : Description des classes et de leur équipement ; continuité du jeu seulement.</x:v>
      </x:c>
      <x:c r="L149" s="22" t="str">
        <x:v>https://store.playstation.com/en-us/product/UP3095-PPSA24179_00-PHGYAUTJA0000001/
https://predator.illfonic.com/</x:v>
      </x:c>
      <x:c r="M149" s="9" t="str">
        <x:v>Absent du catalogue source de 115 fiches. Aucun profil jouable dédié dans charactersData ; aucun profil NPC dédié dans YautjaAllies/BossRegistry inspectés au SHA courant.</x:v>
      </x:c>
      <x:c r="N149"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49" s="9" t="str">
        <x:v>Ajouter la correspondance profil → acteur → source. Relever les capacités, modèle et animations ; vérifier le spawn, les identités et la fidélité du preset.</x:v>
      </x:c>
      <x:c r="P149" s="9" t="str">
        <x:v>Proposition : élite de contrôle de trajectoires et contre-attaque.</x:v>
      </x:c>
      <x:c r="Q149" s="9" t="str">
        <x:v>Un individu nommé au maximum par opération ; joueur compté séparément ; aucun clone dans les réserves. Classe PHG, pas race biologique. Les ajouts à un groupe remplacent des places allouées. Réserves finies ; aucun renfort créé hors budget.</x:v>
      </x:c>
      <x:c r="R149" s="9" t="str">
        <x:v>Relations et opposition à définir dans le scénario de cette œuvre. Toute rencontre X/Y/H non attestée est une adaptation originale explicitement choisie.</x:v>
      </x:c>
      <x:c r="S149" s="9" t="str">
        <x:v>Lieu de l’œuvre à sélectionner et à documenter ; aucune nouvelle carte construite n’est revendiquée.</x:v>
      </x:c>
      <x:c r="T149" s="9" t="str">
        <x:v>Un individu nommé au maximum par opération ; joueur compté séparément ; aucun clone dans les réserves. Classe PHG, pas race biologique.</x:v>
      </x:c>
      <x:c r="U149" s="9" t="str">
        <x:v>P1</x:v>
      </x:c>
    </x:row>
    <x:row r="150" ht="96" hidden="0" customHeight="1">
      <x:c r="A150" s="10" t="str">
        <x:v>YAU-040</x:v>
      </x:c>
      <x:c r="B150" s="10" t="str">
        <x:v>Yautja</x:v>
      </x:c>
      <x:c r="C150" s="10" t="str">
        <x:v>Exiled — PHG</x:v>
      </x:c>
      <x:c r="D150" s="10" t="str">
        <x:v>Classe DLC ; individu banni</x:v>
      </x:c>
      <x:c r="E150" s="10" t="str">
        <x:v>unique ; aucune réserve de clones</x:v>
      </x:c>
      <x:c r="F150" s="10" t="str">
        <x:v>Predator: Hunting Grounds</x:v>
      </x:c>
      <x:c r="G150" s="10" t="str">
        <x:v>Jeu</x:v>
      </x:c>
      <x:c r="H150" s="10" t="str">
        <x:v>Predator: Hunting Grounds</x:v>
      </x:c>
      <x:c r="I150" s="10" t="str">
        <x:v>Confirmé pour le fait cité ; autres détails à vérifier</x:v>
      </x:c>
      <x:c r="J150" s="10" t="str">
        <x:v>Exiled est une classe premium associée à l’arme Hook.</x:v>
      </x:c>
      <x:c r="K150" s="10" t="str">
        <x:v>YC-S01 — Predator: Hunting Grounds — Yautja Edition
Source primaire officielle
Portée : Liste de classes publiée par IllFonic ; n’établit pas une hiérarchie de rangs.
YC-S02 — Hunting Grounds — catalogue officiel des DLC
Source primaire officielle
Portée : Description des classes et de leur équipement ; continuité du jeu seulement.</x:v>
      </x:c>
      <x:c r="L150" s="23" t="str">
        <x:v>https://store.playstation.com/en-us/product/UP3095-PPSA24179_00-PHGYAUTJA0000001/
https://predator.illfonic.com/</x:v>
      </x:c>
      <x:c r="M150" s="10" t="str">
        <x:v>Absent du catalogue source de 115 fiches. Aucun profil jouable dédié dans charactersData ; aucun profil NPC dédié dans YautjaAllies/BossRegistry inspectés au SHA courant.</x:v>
      </x:c>
      <x:c r="N150"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0" s="10" t="str">
        <x:v>Ajouter la correspondance profil → acteur → source. Relever les capacités, modèle et animations ; vérifier le spawn, les identités et la fidélité du preset.</x:v>
      </x:c>
      <x:c r="P150" s="10" t="str">
        <x:v>Proposition : traque furtive avec outil de portée distinct.</x:v>
      </x:c>
      <x:c r="Q150" s="10" t="str">
        <x:v>Un individu nommé au maximum par opération ; joueur compté séparément ; aucun clone dans les réserves. Classe PHG, pas race biologique. Exil ne signifie pas automatiquement Bad Blood. Les ajouts à un groupe remplacent des places allouées. Réserves finies ; aucun renfort créé hors budget.</x:v>
      </x:c>
      <x:c r="R150" s="10" t="str">
        <x:v>Relations et opposition à définir dans le scénario de cette œuvre. Toute rencontre X/Y/H non attestée est une adaptation originale explicitement choisie.</x:v>
      </x:c>
      <x:c r="S150" s="10" t="str">
        <x:v>Lieu de l’œuvre à sélectionner et à documenter ; aucune nouvelle carte construite n’est revendiquée.</x:v>
      </x:c>
      <x:c r="T150" s="10" t="str">
        <x:v>Un individu nommé au maximum par opération ; joueur compté séparément ; aucun clone dans les réserves. Classe PHG, pas race biologique. Exil ne signifie pas automatiquement Bad Blood.</x:v>
      </x:c>
      <x:c r="U150" s="10" t="str">
        <x:v>P1</x:v>
      </x:c>
    </x:row>
    <x:row r="151" ht="96" hidden="0" customHeight="1">
      <x:c r="A151" s="9" t="str">
        <x:v>YAU-041</x:v>
      </x:c>
      <x:c r="B151" s="9" t="str">
        <x:v>Yautja</x:v>
      </x:c>
      <x:c r="C151" s="9" t="str">
        <x:v>Captured — PHG / Predators</x:v>
      </x:c>
      <x:c r="D151" s="9" t="str">
        <x:v>Classe DLC ; individu prisonnier</x:v>
      </x:c>
      <x:c r="E151" s="9" t="str">
        <x:v>unique ; aucune réserve de clones</x:v>
      </x:c>
      <x:c r="F151" s="9" t="str">
        <x:v>Predator: Hunting Grounds / Predators (2010)</x:v>
      </x:c>
      <x:c r="G151" s="9" t="str">
        <x:v>Jeu</x:v>
      </x:c>
      <x:c r="H151" s="9" t="str">
        <x:v>Predator: Hunting Grounds / Predators (2010)</x:v>
      </x:c>
      <x:c r="I151" s="9" t="str">
        <x:v>Confirmé pour le fait cité ; autres détails à vérifier</x:v>
      </x:c>
      <x:c r="J151" s="9" t="str">
        <x:v>Captured est un prisonnier du conflit opposant les chasseurs de la réserve.</x:v>
      </x:c>
      <x:c r="K151" s="9" t="str">
        <x:v>YC-S03 — Hunting Grounds introduces the Hunting Party
Source primaire officielle
Portée : Texte du CEO d’IllFonic : Captured, Mr. Black, Falconer et conflit décrit comme entre sous-espèces. Le clan de Captured est présenté comme une rumeur.</x:v>
      </x:c>
      <x:c r="L151" s="22" t="str">
        <x:v>https://blog.playstation.com/2021/12/15/predator-hunting-grounds-introduces-the-hunting-party/</x:v>
      </x:c>
      <x:c r="M151" s="9" t="str">
        <x:v>Absent du catalogue source de 115 fiches. Aucun profil jouable dédié dans charactersData ; aucun profil NPC dédié dans YautjaAllies/BossRegistry inspectés au SHA courant.</x:v>
      </x:c>
      <x:c r="N151"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1" s="9" t="str">
        <x:v>Ajouter la correspondance profil → acteur → source. Relever les capacités, modèle et animations ; vérifier le spawn, les identités et la fidélité du preset.</x:v>
      </x:c>
      <x:c r="P151" s="9" t="str">
        <x:v>Proposition : allié à libérer puis chasseur autonome.</x:v>
      </x:c>
      <x:c r="Q151" s="9" t="str">
        <x:v>Un individu nommé au maximum par opération ; joueur compté séparément ; aucun clone dans les réserves. Classe PHG, pas race biologique. Le lien au clan de Jungle Hunter est une rumeur explicite de la source. Les ajouts à un groupe remplacent des places allouées. Réserves finies ; aucun renfort créé hors budget.</x:v>
      </x:c>
      <x:c r="R151" s="9" t="str">
        <x:v>Relations et opposition à définir dans le scénario de cette œuvre. Toute rencontre X/Y/H non attestée est une adaptation originale explicitement choisie.</x:v>
      </x:c>
      <x:c r="S151" s="9" t="str">
        <x:v>Planète réserve de chasse du film ; carte existante du catalogue à adapter selon la scène.</x:v>
      </x:c>
      <x:c r="T151" s="9" t="str">
        <x:v>Un individu nommé au maximum par opération ; joueur compté séparément ; aucun clone dans les réserves. Classe PHG, pas race biologique. Le lien au clan de Jungle Hunter est une rumeur explicite de la source.</x:v>
      </x:c>
      <x:c r="U151" s="9" t="str">
        <x:v>P1</x:v>
      </x:c>
    </x:row>
    <x:row r="152" ht="96" hidden="0" customHeight="1">
      <x:c r="A152" s="10" t="str">
        <x:v>YAU-042</x:v>
      </x:c>
      <x:c r="B152" s="10" t="str">
        <x:v>Yautja</x:v>
      </x:c>
      <x:c r="C152" s="10" t="str">
        <x:v>Emissary — PHG</x:v>
      </x:c>
      <x:c r="D152" s="10" t="str">
        <x:v>Classe DLC ; imitation d’équipement humain</x:v>
      </x:c>
      <x:c r="E152" s="10" t="str">
        <x:v>preset de l’œuvre ; acteur dédié à implémenter</x:v>
      </x:c>
      <x:c r="F152" s="10" t="str">
        <x:v>Predator: Hunting Grounds</x:v>
      </x:c>
      <x:c r="G152" s="10" t="str">
        <x:v>Jeu</x:v>
      </x:c>
      <x:c r="H152" s="10" t="str">
        <x:v>Predator: Hunting Grounds</x:v>
      </x:c>
      <x:c r="I152" s="10" t="str">
        <x:v>Confirmé pour le fait cité ; autres détails à vérifier</x:v>
      </x:c>
      <x:c r="J152" s="10" t="str">
        <x:v>Emissary adapte son équipement après avoir observé les militaires humains.</x:v>
      </x:c>
      <x:c r="K152" s="10" t="str">
        <x:v>YC-S01 — Predator: Hunting Grounds — Yautja Edition
Source primaire officielle
Portée : Liste de classes publiée par IllFonic ; n’établit pas une hiérarchie de rangs.
YC-S02 — Hunting Grounds — catalogue officiel des DLC
Source primaire officielle
Portée : Description des classes et de leur équipement ; continuité du jeu seulement.</x:v>
      </x:c>
      <x:c r="L152" s="23" t="str">
        <x:v>https://store.playstation.com/en-us/product/UP3095-PPSA24179_00-PHGYAUTJA0000001/
https://predator.illfonic.com/</x:v>
      </x:c>
      <x:c r="M152" s="10" t="str">
        <x:v>Absent du catalogue source de 115 fiches. Aucun profil jouable dédié dans charactersData ; aucun profil NPC dédié dans YautjaAllies/BossRegistry inspectés au SHA courant.</x:v>
      </x:c>
      <x:c r="N152"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2" s="10" t="str">
        <x:v>Ajouter la correspondance profil → acteur → source. Relever les capacités, modèle et animations ; vérifier le spawn, les identités et la fidélité du preset.</x:v>
      </x:c>
      <x:c r="P152" s="10" t="str">
        <x:v>Proposition : infiltration et reconnaissance des postes humains.</x:v>
      </x:c>
      <x:c r="Q152" s="10" t="str">
        <x:v>Un individu nommé au maximum par opération ; joueur compté séparément ; aucun clone dans les réserves. Classe PHG, pas race biologique. Ne pas importer les personnages coupés de The Predator comme scènes canoniques sorties. Les ajouts à un groupe remplacent des places allouées. Réserves finies ; aucun renfort créé hors budget.</x:v>
      </x:c>
      <x:c r="R152" s="10" t="str">
        <x:v>Relations et opposition à définir dans le scénario de cette œuvre. Toute rencontre X/Y/H non attestée est une adaptation originale explicitement choisie.</x:v>
      </x:c>
      <x:c r="S152" s="10" t="str">
        <x:v>Lieu de l’œuvre à sélectionner et à documenter ; aucune nouvelle carte construite n’est revendiquée.</x:v>
      </x:c>
      <x:c r="T152" s="10" t="str">
        <x:v>Un individu nommé au maximum par opération ; joueur compté séparément ; aucun clone dans les réserves. Classe PHG, pas race biologique. Ne pas importer les personnages coupés de The Predator comme scènes canoniques sorties.</x:v>
      </x:c>
      <x:c r="U152" s="10" t="str">
        <x:v>P1</x:v>
      </x:c>
    </x:row>
    <x:row r="153" ht="84" hidden="0" customHeight="1">
      <x:c r="A153" s="9" t="str">
        <x:v>YAU-043</x:v>
      </x:c>
      <x:c r="B153" s="9" t="str">
        <x:v>Yautja</x:v>
      </x:c>
      <x:c r="C153" s="9" t="str">
        <x:v>Bionic — PHG</x:v>
      </x:c>
      <x:c r="D153" s="9" t="str">
        <x:v>Classe DLC ; prosthèses cybernétiques</x:v>
      </x:c>
      <x:c r="E153" s="9" t="str">
        <x:v>preset de l’œuvre ; acteur dédié à implémenter</x:v>
      </x:c>
      <x:c r="F153" s="9" t="str">
        <x:v>Predator: Hunting Grounds</x:v>
      </x:c>
      <x:c r="G153" s="9" t="str">
        <x:v>Jeu</x:v>
      </x:c>
      <x:c r="H153" s="9" t="str">
        <x:v>Predator: Hunting Grounds</x:v>
      </x:c>
      <x:c r="I153" s="9" t="str">
        <x:v>Confirmé pour le fait cité ; autres détails à vérifier</x:v>
      </x:c>
      <x:c r="J153" s="9" t="str">
        <x:v>La présentation Bionic décrit des prothèses cybernétiques après de graves blessures.</x:v>
      </x:c>
      <x:c r="K153" s="9" t="str">
        <x:v>YC-S01 — Predator: Hunting Grounds — Yautja Edition
Source primaire officielle
Portée : Liste de classes publiée par IllFonic ; n’établit pas une hiérarchie de rangs.
YC-S02 — Hunting Grounds — catalogue officiel des DLC
Source primaire officielle
Portée : Description des classes et de leur équipement ; continuité du jeu seulement.</x:v>
      </x:c>
      <x:c r="L153" s="22" t="str">
        <x:v>https://store.playstation.com/en-us/product/UP3095-PPSA24179_00-PHGYAUTJA0000001/
https://predator.illfonic.com/</x:v>
      </x:c>
      <x:c r="M153" s="9" t="str">
        <x:v>Absent du catalogue source de 115 fiches. Effet générique Cyber-Hunt Bionic Exosuit présent dans Player.js ; ne constitue pas le personnage/classe Bionic de PHG.</x:v>
      </x:c>
      <x:c r="N153" s="9" t="str">
        <x:v>https://github.com/darknigthmare/Yautja-hive-warriors/blob/39871c450379225de8174711237632e6aa883f04/js/data/BattleCatalog.js#L41-L51
https://github.com/darknigthmare/Yautja-hive-warriors/blob/39871c450379225de8174711237632e6aa883f04/js/entities/Player.js#L3107
https://github.com/darknigthmare/Yautja-hive-warriors/blob/39871c450379225de8174711237632e6aa883f04/js/data/charactersData.js#L49-L162</x:v>
      </x:c>
      <x:c r="O153" s="9" t="str">
        <x:v>Ajouter la correspondance profil → acteur → source. Relever les capacités, modèle et animations ; vérifier le spawn, les identités et la fidélité du preset.</x:v>
      </x:c>
      <x:c r="P153" s="9" t="str">
        <x:v>Proposition : combattant augmenté avec systèmes vulnérables identifiables.</x:v>
      </x:c>
      <x:c r="Q153" s="9" t="str">
        <x:v>Un individu nommé au maximum par opération ; joueur compté séparément ; aucun clone dans les réserves. Classe PHG, pas race biologique. Distinct de Stone Heart et de l’Assassin génétiquement modifié. Les ajouts à un groupe remplacent des places allouées. Réserves finies ; aucun renfort créé hors budget.</x:v>
      </x:c>
      <x:c r="R153" s="9" t="str">
        <x:v>Relations et opposition à définir dans le scénario de cette œuvre. Toute rencontre X/Y/H non attestée est une adaptation originale explicitement choisie.</x:v>
      </x:c>
      <x:c r="S153" s="9" t="str">
        <x:v>Lieu de l’œuvre à sélectionner et à documenter ; aucune nouvelle carte construite n’est revendiquée.</x:v>
      </x:c>
      <x:c r="T153" s="9" t="str">
        <x:v>Un individu nommé au maximum par opération ; joueur compté séparément ; aucun clone dans les réserves. Classe PHG, pas race biologique. Distinct de Stone Heart et de l’Assassin génétiquement modifié.</x:v>
      </x:c>
      <x:c r="U153" s="9" t="str">
        <x:v>P1</x:v>
      </x:c>
    </x:row>
    <x:row r="154" ht="96" hidden="0" customHeight="1">
      <x:c r="A154" s="10" t="str">
        <x:v>YAU-044</x:v>
      </x:c>
      <x:c r="B154" s="10" t="str">
        <x:v>Yautja</x:v>
      </x:c>
      <x:c r="C154" s="10" t="str">
        <x:v>Amazon — PHG</x:v>
      </x:c>
      <x:c r="D154" s="10" t="str">
        <x:v>Classe DLC ; incarnation nommée</x:v>
      </x:c>
      <x:c r="E154" s="10" t="str">
        <x:v>unique ; aucune réserve de clones</x:v>
      </x:c>
      <x:c r="F154" s="10" t="str">
        <x:v>Predator: Hunting Grounds</x:v>
      </x:c>
      <x:c r="G154" s="10" t="str">
        <x:v>Jeu</x:v>
      </x:c>
      <x:c r="H154" s="10" t="str">
        <x:v>Predator: Hunting Grounds</x:v>
      </x:c>
      <x:c r="I154" s="10" t="str">
        <x:v>Confirmé pour le fait cité ; autres détails à vérifier</x:v>
      </x:c>
      <x:c r="J154" s="10" t="str">
        <x:v>Amazon est présentée comme une chasseuse opérant dans les jungles brésiliennes.</x:v>
      </x:c>
      <x:c r="K154" s="10" t="str">
        <x:v>YC-S04 — Hunting Party DLC Pack 2
Source primaire officielle
Portée : Seul le premier message de l’équipe officielle est utilisé : Amazon et Pirate. Les commentaires des joueurs ne font pas preuve.</x:v>
      </x:c>
      <x:c r="L154" s="23" t="str">
        <x:v>https://forum.predator.illfonic.com/t/hunting-party-dlc-pack-2/29712</x:v>
      </x:c>
      <x:c r="M154" s="10" t="str">
        <x:v>Absent du catalogue source de 115 fiches. Aucun profil jouable dédié dans charactersData ; aucun profil NPC dédié dans YautjaAllies/BossRegistry inspectés au SHA courant.</x:v>
      </x:c>
      <x:c r="N154"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4" s="10" t="str">
        <x:v>Ajouter la correspondance profil → acteur → source. Relever les capacités, modèle et animations ; vérifier le spawn, les identités et la fidélité du preset.</x:v>
      </x:c>
      <x:c r="P154" s="10" t="str">
        <x:v>Proposition : embuscade en canopée et parcours vertical.</x:v>
      </x:c>
      <x:c r="Q154" s="10" t="str">
        <x:v>Un individu nommé au maximum par opération ; joueur compté séparément ; aucun clone dans les réserves. Classe PHG, pas race biologique. Les ajouts à un groupe remplacent des places allouées. Réserves finies ; aucun renfort créé hors budget.</x:v>
      </x:c>
      <x:c r="R154" s="10" t="str">
        <x:v>Relations et opposition à définir dans le scénario de cette œuvre. Toute rencontre X/Y/H non attestée est une adaptation originale explicitement choisie.</x:v>
      </x:c>
      <x:c r="S154" s="10" t="str">
        <x:v>Lieu de l’œuvre à sélectionner et à documenter ; aucune nouvelle carte construite n’est revendiquée.</x:v>
      </x:c>
      <x:c r="T154" s="10" t="str">
        <x:v>Un individu nommé au maximum par opération ; joueur compté séparément ; aucun clone dans les réserves. Classe PHG, pas race biologique.</x:v>
      </x:c>
      <x:c r="U154" s="10" t="str">
        <x:v>P1</x:v>
      </x:c>
    </x:row>
    <x:row r="155" ht="96" hidden="0" customHeight="1">
      <x:c r="A155" s="9" t="str">
        <x:v>YAU-045</x:v>
      </x:c>
      <x:c r="B155" s="9" t="str">
        <x:v>Yautja</x:v>
      </x:c>
      <x:c r="C155" s="9" t="str">
        <x:v>Pirate — PHG</x:v>
      </x:c>
      <x:c r="D155" s="9" t="str">
        <x:v>Classe DLC ; incarnation nommée</x:v>
      </x:c>
      <x:c r="E155" s="9" t="str">
        <x:v>unique ; aucune réserve de clones</x:v>
      </x:c>
      <x:c r="F155" s="9" t="str">
        <x:v>Predator: Hunting Grounds</x:v>
      </x:c>
      <x:c r="G155" s="9" t="str">
        <x:v>Jeu</x:v>
      </x:c>
      <x:c r="H155" s="9" t="str">
        <x:v>Predator: Hunting Grounds</x:v>
      </x:c>
      <x:c r="I155" s="9" t="str">
        <x:v>Confirmé pour le fait cité ; autres détails à vérifier</x:v>
      </x:c>
      <x:c r="J155" s="9" t="str">
        <x:v>Pirate est présentée comme une chasseuse s’attaquant aux proies de haute mer.</x:v>
      </x:c>
      <x:c r="K155" s="9" t="str">
        <x:v>YC-S04 — Hunting Party DLC Pack 2
Source primaire officielle
Portée : Seul le premier message de l’équipe officielle est utilisé : Amazon et Pirate. Les commentaires des joueurs ne font pas preuve.</x:v>
      </x:c>
      <x:c r="L155" s="22" t="str">
        <x:v>https://forum.predator.illfonic.com/t/hunting-party-dlc-pack-2/29712</x:v>
      </x:c>
      <x:c r="M155" s="9" t="str">
        <x:v>Absent du catalogue source de 115 fiches. Aucun profil jouable dédié dans charactersData ; aucun profil NPC dédié dans YautjaAllies/BossRegistry inspectés au SHA courant.</x:v>
      </x:c>
      <x:c r="N155"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5" s="9" t="str">
        <x:v>Ajouter la correspondance profil → acteur → source. Relever les capacités, modèle et animations ; vérifier le spawn, les identités et la fidélité du preset.</x:v>
      </x:c>
      <x:c r="P155" s="9" t="str">
        <x:v>Proposition : abordage et duel sur plateformes étroites.</x:v>
      </x:c>
      <x:c r="Q155" s="9" t="str">
        <x:v>Un individu nommé au maximum par opération ; joueur compté séparément ; aucun clone dans les réserves. Classe PHG, pas race biologique. Les ajouts à un groupe remplacent des places allouées. Réserves finies ; aucun renfort créé hors budget.</x:v>
      </x:c>
      <x:c r="R155" s="9" t="str">
        <x:v>Relations et opposition à définir dans le scénario de cette œuvre. Toute rencontre X/Y/H non attestée est une adaptation originale explicitement choisie.</x:v>
      </x:c>
      <x:c r="S155" s="9" t="str">
        <x:v>Lieu de l’œuvre à sélectionner et à documenter ; aucune nouvelle carte construite n’est revendiquée.</x:v>
      </x:c>
      <x:c r="T155" s="9" t="str">
        <x:v>Un individu nommé au maximum par opération ; joueur compté séparément ; aucun clone dans les réserves. Classe PHG, pas race biologique.</x:v>
      </x:c>
      <x:c r="U155" s="9" t="str">
        <x:v>P1</x:v>
      </x:c>
    </x:row>
    <x:row r="156" ht="72" hidden="0" customHeight="1">
      <x:c r="A156" s="10" t="str">
        <x:v>YAU-046</x:v>
      </x:c>
      <x:c r="B156" s="10" t="str">
        <x:v>Yautja</x:v>
      </x:c>
      <x:c r="C156" s="10" t="str">
        <x:v>Gladiator — PHG</x:v>
      </x:c>
      <x:c r="D156" s="10" t="str">
        <x:v>Classe DLC ; incarnation nommée</x:v>
      </x:c>
      <x:c r="E156" s="10" t="str">
        <x:v>unique ; aucune réserve de clones</x:v>
      </x:c>
      <x:c r="F156" s="10" t="str">
        <x:v>Predator: Hunting Grounds</x:v>
      </x:c>
      <x:c r="G156" s="10" t="str">
        <x:v>Jeu</x:v>
      </x:c>
      <x:c r="H156" s="10" t="str">
        <x:v>Predator: Hunting Grounds</x:v>
      </x:c>
      <x:c r="I156" s="10" t="str">
        <x:v>Confirmé pour le fait cité ; autres détails à vérifier</x:v>
      </x:c>
      <x:c r="J156" s="10" t="str">
        <x:v>Le DLC Gladiator comprend la classe et un Trident.</x:v>
      </x:c>
      <x:c r="K156" s="10" t="str">
        <x:v>YC-S05 — Gladiator Predator is here!
Source primaire officielle
Portée : Annonce officielle du 10 décembre 2024 ; classe Gladiator et Trident.</x:v>
      </x:c>
      <x:c r="L156" s="23" t="str">
        <x:v>https://forum.predator.illfonic.com/t/gladiator-predator-is-here/34743</x:v>
      </x:c>
      <x:c r="M156" s="10" t="str">
        <x:v>Absent du catalogue source de 115 fiches. Le boss apex_gladiator_predator est une adaptation Killer of Killers ; il ne couvre pas le DLC PHG Gladiator.</x:v>
      </x:c>
      <x:c r="N156" s="10" t="str">
        <x:v>https://github.com/darknigthmare/Yautja-hive-warriors/blob/39871c450379225de8174711237632e6aa883f04/js/data/BattleCatalog.js#L41-L51
https://github.com/darknigthmare/Yautja-hive-warriors/blob/39871c450379225de8174711237632e6aa883f04/js/data/BossRegistry.js#L24
https://github.com/darknigthmare/Yautja-hive-warriors/blob/39871c450379225de8174711237632e6aa883f04/js/data/charactersData.js#L49-L162</x:v>
      </x:c>
      <x:c r="O156" s="10" t="str">
        <x:v>Ajouter la correspondance profil → acteur → source. Relever les capacités, modèle et animations ; vérifier le spawn, les identités et la fidélité du preset.</x:v>
      </x:c>
      <x:c r="P156" s="10" t="str">
        <x:v>Proposition : contrôleur d’arène avec trois distances de menace.</x:v>
      </x:c>
      <x:c r="Q156" s="10" t="str">
        <x:v>Un individu nommé au maximum par opération ; joueur compté séparément ; aucun clone dans les réserves. Classe PHG, pas race biologique. Ne pas le fusionner avec apex_gladiator_predator de Killer of Killers. Les ajouts à un groupe remplacent des places allouées. Réserves finies ; aucun renfort créé hors budget.</x:v>
      </x:c>
      <x:c r="R156" s="10" t="str">
        <x:v>Relations et opposition à définir dans le scénario de cette œuvre. Toute rencontre X/Y/H non attestée est une adaptation originale explicitement choisie.</x:v>
      </x:c>
      <x:c r="S156" s="10" t="str">
        <x:v>Lieu de l’œuvre à sélectionner et à documenter ; aucune nouvelle carte construite n’est revendiquée.</x:v>
      </x:c>
      <x:c r="T156" s="10" t="str">
        <x:v>Un individu nommé au maximum par opération ; joueur compté séparément ; aucun clone dans les réserves. Classe PHG, pas race biologique. Ne pas le fusionner avec apex_gladiator_predator de Killer of Killers.</x:v>
      </x:c>
      <x:c r="U156" s="10" t="str">
        <x:v>P1</x:v>
      </x:c>
    </x:row>
    <x:row r="157" ht="96" hidden="0" customHeight="1">
      <x:c r="A157" s="9" t="str">
        <x:v>YAU-047</x:v>
      </x:c>
      <x:c r="B157" s="9" t="str">
        <x:v>Yautja</x:v>
      </x:c>
      <x:c r="C157" s="9" t="str">
        <x:v>Anubis — PHG</x:v>
      </x:c>
      <x:c r="D157" s="9" t="str">
        <x:v>Classe DLC ; incarnation nommée</x:v>
      </x:c>
      <x:c r="E157" s="9" t="str">
        <x:v>unique ; aucune réserve de clones</x:v>
      </x:c>
      <x:c r="F157" s="9" t="str">
        <x:v>Predator: Hunting Grounds</x:v>
      </x:c>
      <x:c r="G157" s="9" t="str">
        <x:v>Jeu</x:v>
      </x:c>
      <x:c r="H157" s="9" t="str">
        <x:v>Predator: Hunting Grounds</x:v>
      </x:c>
      <x:c r="I157" s="9" t="str">
        <x:v>Confirmé pour le fait cité ; autres détails à vérifier</x:v>
      </x:c>
      <x:c r="J157" s="9" t="str">
        <x:v>Anubis arrive avec l’Eye of Ra, une variante du canon plasma portatif.</x:v>
      </x:c>
      <x:c r="K157" s="9" t="str">
        <x:v>YC-S06 — Patch Notes 3.2.0 — Anubis
Source primaire officielle
Portée : Annonce officielle du 13 février 2025 ; classe Anubis et Eye of Ra. Les superlatifs promotionnels ne deviennent pas des capacités surnaturelles.</x:v>
      </x:c>
      <x:c r="L157" s="22" t="str">
        <x:v>https://forum.predator.illfonic.com/t/patch-notes-3-2-0/36078</x:v>
      </x:c>
      <x:c r="M157" s="9" t="str">
        <x:v>Absent du catalogue source de 115 fiches. Aucun profil jouable dédié dans charactersData ; aucun profil NPC dédié dans YautjaAllies/BossRegistry inspectés au SHA courant.</x:v>
      </x:c>
      <x:c r="N157"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7" s="9" t="str">
        <x:v>Ajouter la correspondance profil → acteur → source. Relever les capacités, modèle et animations ; vérifier le spawn, les identités et la fidélité du preset.</x:v>
      </x:c>
      <x:c r="P157" s="9" t="str">
        <x:v>Proposition : élite de tir à cadence limitée.</x:v>
      </x:c>
      <x:c r="Q157" s="9" t="str">
        <x:v>Un individu nommé au maximum par opération ; joueur compté séparément ; aucun clone dans les réserves. Classe PHG, pas race biologique. Le vocabulaire divin promotionnel ne prouve aucun pouvoir surnaturel. Les ajouts à un groupe remplacent des places allouées. Réserves finies ; aucun renfort créé hors budget.</x:v>
      </x:c>
      <x:c r="R157" s="9" t="str">
        <x:v>Relations et opposition à définir dans le scénario de cette œuvre. Toute rencontre X/Y/H non attestée est une adaptation originale explicitement choisie.</x:v>
      </x:c>
      <x:c r="S157" s="9" t="str">
        <x:v>Lieu de l’œuvre à sélectionner et à documenter ; aucune nouvelle carte construite n’est revendiquée.</x:v>
      </x:c>
      <x:c r="T157" s="9" t="str">
        <x:v>Un individu nommé au maximum par opération ; joueur compté séparément ; aucun clone dans les réserves. Classe PHG, pas race biologique. Le vocabulaire divin promotionnel ne prouve aucun pouvoir surnaturel.</x:v>
      </x:c>
      <x:c r="U157" s="9" t="str">
        <x:v>P1</x:v>
      </x:c>
    </x:row>
    <x:row r="158" ht="96" hidden="0" customHeight="1">
      <x:c r="A158" s="10" t="str">
        <x:v>YAU-048</x:v>
      </x:c>
      <x:c r="B158" s="10" t="str">
        <x:v>Yautja</x:v>
      </x:c>
      <x:c r="C158" s="10" t="str">
        <x:v>Exalted — PHG</x:v>
      </x:c>
      <x:c r="D158" s="10" t="str">
        <x:v>Classe DLC ; incarnation nommée</x:v>
      </x:c>
      <x:c r="E158" s="10" t="str">
        <x:v>unique ; aucune réserve de clones</x:v>
      </x:c>
      <x:c r="F158" s="10" t="str">
        <x:v>Predator: Hunting Grounds</x:v>
      </x:c>
      <x:c r="G158" s="10" t="str">
        <x:v>Jeu</x:v>
      </x:c>
      <x:c r="H158" s="10" t="str">
        <x:v>Predator: Hunting Grounds</x:v>
      </x:c>
      <x:c r="I158" s="10" t="str">
        <x:v>Confirmé pour le fait cité ; autres détails à vérifier</x:v>
      </x:c>
      <x:c r="J158" s="10" t="str">
        <x:v>Exalted est une classe premium associée aux Dual Swords.</x:v>
      </x:c>
      <x:c r="K158" s="10" t="str">
        <x:v>YC-S07 — Exalted Predator is here!
Source primaire officielle
Portée : Annonce officielle du 25 mars 2025 ; classe Exalted et Dual Swords.</x:v>
      </x:c>
      <x:c r="L158" s="23" t="str">
        <x:v>https://forum.predator.illfonic.com/t/exalted-predator-is-here/36265</x:v>
      </x:c>
      <x:c r="M158" s="10" t="str">
        <x:v>Absent du catalogue source de 115 fiches. Aucun profil jouable dédié dans charactersData ; aucun profil NPC dédié dans YautjaAllies/BossRegistry inspectés au SHA courant.</x:v>
      </x:c>
      <x:c r="N158"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8" s="10" t="str">
        <x:v>Ajouter la correspondance profil → acteur → source. Relever les capacités, modèle et animations ; vérifier le spawn, les identités et la fidélité du preset.</x:v>
      </x:c>
      <x:c r="P158" s="10" t="str">
        <x:v>Proposition : enchaînements de mêlée avec engagements et récupération lisibles.</x:v>
      </x:c>
      <x:c r="Q158" s="10" t="str">
        <x:v>Un individu nommé au maximum par opération ; joueur compté séparément ; aucun clone dans les réserves. Classe PHG, pas race biologique. Les ajouts à un groupe remplacent des places allouées. Réserves finies ; aucun renfort créé hors budget.</x:v>
      </x:c>
      <x:c r="R158" s="10" t="str">
        <x:v>Relations et opposition à définir dans le scénario de cette œuvre. Toute rencontre X/Y/H non attestée est une adaptation originale explicitement choisie.</x:v>
      </x:c>
      <x:c r="S158" s="10" t="str">
        <x:v>Lieu de l’œuvre à sélectionner et à documenter ; aucune nouvelle carte construite n’est revendiquée.</x:v>
      </x:c>
      <x:c r="T158" s="10" t="str">
        <x:v>Un individu nommé au maximum par opération ; joueur compté séparément ; aucun clone dans les réserves. Classe PHG, pas race biologique.</x:v>
      </x:c>
      <x:c r="U158" s="10" t="str">
        <x:v>P1</x:v>
      </x:c>
    </x:row>
    <x:row r="159" ht="96" hidden="0" customHeight="1">
      <x:c r="A159" s="9" t="str">
        <x:v>YAU-049</x:v>
      </x:c>
      <x:c r="B159" s="9" t="str">
        <x:v>Yautja</x:v>
      </x:c>
      <x:c r="C159" s="9" t="str">
        <x:v>Witch — PHG</x:v>
      </x:c>
      <x:c r="D159" s="9" t="str">
        <x:v>Classe DLC ; Scout avec reconnaissance</x:v>
      </x:c>
      <x:c r="E159" s="9" t="str">
        <x:v>preset de l’œuvre ; acteur dédié à implémenter</x:v>
      </x:c>
      <x:c r="F159" s="9" t="str">
        <x:v>Predator: Hunting Grounds</x:v>
      </x:c>
      <x:c r="G159" s="9" t="str">
        <x:v>Jeu</x:v>
      </x:c>
      <x:c r="H159" s="9" t="str">
        <x:v>Predator: Hunting Grounds</x:v>
      </x:c>
      <x:c r="I159" s="9" t="str">
        <x:v>Confirmé pour le fait cité ; autres détails à vérifier</x:v>
      </x:c>
      <x:c r="J159" s="9" t="str">
        <x:v>Witch est une Scout utilisant des drones jetables de reconnaissance.</x:v>
      </x:c>
      <x:c r="K159" s="9" t="str">
        <x:v>YC-S08 — The Witch Predator has arrived!
Source primaire officielle
Portée : Annonce officielle du 24 avril 2025 ; Scout-type, drones de reconnaissance, classe Witch.</x:v>
      </x:c>
      <x:c r="L159" s="22" t="str">
        <x:v>https://forum.predator.illfonic.com/t/the-witch-predator-has-arrived/36352</x:v>
      </x:c>
      <x:c r="M159" s="9" t="str">
        <x:v>Absent du catalogue source de 115 fiches. Aucun profil jouable dédié dans charactersData ; aucun profil NPC dédié dans YautjaAllies/BossRegistry inspectés au SHA courant.</x:v>
      </x:c>
      <x:c r="N159"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59" s="9" t="str">
        <x:v>Ajouter la correspondance profil → acteur → source. Relever les capacités, modèle et animations ; vérifier le spawn, les identités et la fidélité du preset.</x:v>
      </x:c>
      <x:c r="P159" s="9" t="str">
        <x:v>Proposition : éclaireuse commandant un drone avec portée et durée limitées.</x:v>
      </x:c>
      <x:c r="Q159" s="9" t="str">
        <x:v>Un individu nommé au maximum par opération ; joueur compté séparément ; aucun clone dans les réserves. Classe PHG, pas race biologique. Witch ne signifie pas magie ou nouvelle espèce. Les ajouts à un groupe remplacent des places allouées. Réserves finies ; aucun renfort créé hors budget.</x:v>
      </x:c>
      <x:c r="R159" s="9" t="str">
        <x:v>Relations et opposition à définir dans le scénario de cette œuvre. Toute rencontre X/Y/H non attestée est une adaptation originale explicitement choisie.</x:v>
      </x:c>
      <x:c r="S159" s="9" t="str">
        <x:v>Lieu de l’œuvre à sélectionner et à documenter ; aucune nouvelle carte construite n’est revendiquée.</x:v>
      </x:c>
      <x:c r="T159" s="9" t="str">
        <x:v>Un individu nommé au maximum par opération ; joueur compté séparément ; aucun clone dans les réserves. Classe PHG, pas race biologique. Witch ne signifie pas magie ou nouvelle espèce.</x:v>
      </x:c>
      <x:c r="U159" s="9" t="str">
        <x:v>P1</x:v>
      </x:c>
    </x:row>
    <x:row r="160" ht="96" hidden="0" customHeight="1">
      <x:c r="A160" s="10" t="str">
        <x:v>YAU-050</x:v>
      </x:c>
      <x:c r="B160" s="10" t="str">
        <x:v>Yautja</x:v>
      </x:c>
      <x:c r="C160" s="10" t="str">
        <x:v>Oni — PHG / Killer of Killers</x:v>
      </x:c>
      <x:c r="D160" s="10" t="str">
        <x:v>Classe DLC ; individu adapté du film</x:v>
      </x:c>
      <x:c r="E160" s="10" t="str">
        <x:v>unique ; aucune réserve de clones</x:v>
      </x:c>
      <x:c r="F160" s="10" t="str">
        <x:v>Predator: Hunting Grounds</x:v>
      </x:c>
      <x:c r="G160" s="10" t="str">
        <x:v>Jeu</x:v>
      </x:c>
      <x:c r="H160" s="10" t="str">
        <x:v>Predator: Hunting Grounds</x:v>
      </x:c>
      <x:c r="I160" s="10" t="str">
        <x:v>Confirmé pour le fait cité ; autres détails à vérifier</x:v>
      </x:c>
      <x:c r="J160" s="10" t="str">
        <x:v>IllFonic identifie la classe Oni comme le chasseur de Killer of Killers ; son DLC propose le Chain Whip.</x:v>
      </x:c>
      <x:c r="K160" s="10" t="str">
        <x:v>YC-S09 — Oni Predator is here!
Source primaire officielle
Portée : Annonce officielle du 19 août 2025 ; classe Oni, furtivité, Chain Whip.
YC-S26 — IllFonic Developer Update
Source primaire officielle
Portée : Le développeur relie explicitement Oni de Hunting Grounds à Killer of Killers ; Witch est décrite comme une création originale du jeu.</x:v>
      </x:c>
      <x:c r="L160" s="23" t="str">
        <x:v>https://forum.predator.illfonic.com/t/oni-predator-is-here/36985
https://www.illfonic.com/news/illfonic-developer-update/</x:v>
      </x:c>
      <x:c r="M160" s="10" t="str">
        <x:v>Absent du catalogue source de 115 fiches. Aucun profil jouable dédié dans charactersData ; aucun profil NPC dédié dans YautjaAllies/BossRegistry inspectés au SHA courant.</x:v>
      </x:c>
      <x:c r="N160"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0" s="10" t="str">
        <x:v>Ajouter la correspondance profil → acteur → source. Relever les capacités, modèle et animations ; vérifier le spawn, les identités et la fidélité du preset.</x:v>
      </x:c>
      <x:c r="P160" s="10" t="str">
        <x:v>Proposition : harceleur isolant une cible après préparation visible.</x:v>
      </x:c>
      <x:c r="Q160" s="10" t="str">
        <x:v>Un individu nommé au maximum par opération ; joueur compté séparément ; aucun clone dans les réserves. Classe PHG, pas race biologique. Relier explicitement au dossier YAU-023, sans fusion avec la classe Samurai PHG ni double comptage du même individu. Les ajouts à un groupe remplacent des places allouées. Réserves finies ; aucun renfort créé hors budget.</x:v>
      </x:c>
      <x:c r="R160" s="10" t="str">
        <x:v>Relations et opposition à définir dans le scénario de cette œuvre. Toute rencontre X/Y/H non attestée est une adaptation originale explicitement choisie.</x:v>
      </x:c>
      <x:c r="S160" s="10" t="str">
        <x:v>Lieu de l’œuvre à sélectionner et à documenter ; aucune nouvelle carte construite n’est revendiquée.</x:v>
      </x:c>
      <x:c r="T160" s="10" t="str">
        <x:v>Un individu nommé au maximum par opération ; joueur compté séparément ; aucun clone dans les réserves. Classe PHG, pas race biologique. Relier explicitement au dossier YAU-023, sans fusion avec la classe Samurai PHG ni double comptage du même individu.</x:v>
      </x:c>
      <x:c r="U160" s="10" t="str">
        <x:v>P1</x:v>
      </x:c>
    </x:row>
    <x:row r="161" ht="96" hidden="0" customHeight="1">
      <x:c r="A161" s="9" t="str">
        <x:v>YAU-051</x:v>
      </x:c>
      <x:c r="B161" s="9" t="str">
        <x:v>Yautja</x:v>
      </x:c>
      <x:c r="C161" s="9" t="str">
        <x:v>Jotun — PHG</x:v>
      </x:c>
      <x:c r="D161" s="9" t="str">
        <x:v>Classe DLC ; individu doté d’une prothèse</x:v>
      </x:c>
      <x:c r="E161" s="9" t="str">
        <x:v>unique ; aucune réserve de clones</x:v>
      </x:c>
      <x:c r="F161" s="9" t="str">
        <x:v>Predator: Hunting Grounds</x:v>
      </x:c>
      <x:c r="G161" s="9" t="str">
        <x:v>Jeu</x:v>
      </x:c>
      <x:c r="H161" s="9" t="str">
        <x:v>Predator: Hunting Grounds</x:v>
      </x:c>
      <x:c r="I161" s="9" t="str">
        <x:v>Confirmé pour le fait cité ; autres détails à vérifier</x:v>
      </x:c>
      <x:c r="J161" s="9" t="str">
        <x:v>Jotun possède une prothèse et le Shock Gauntlet ; le récit le rapproche du Grendel des Scandinaves.</x:v>
      </x:c>
      <x:c r="K161" s="9" t="str">
        <x:v>YC-S10 — The Jotun Predator has arrived!
Source primaire officielle
Portée : Annonce officielle de janvier 2026 ; Jotun, prothèse et Shock Gauntlet. Le texte relie son surnom humain à Grendel, pas à une race Jotun.</x:v>
      </x:c>
      <x:c r="L161" s="22" t="str">
        <x:v>https://forum.predator.illfonic.com/t/the-jotun-predator-has-arrived/37412</x:v>
      </x:c>
      <x:c r="M161" s="9" t="str">
        <x:v>Absent du catalogue source de 115 fiches. Aucun profil jouable dédié dans charactersData ; aucun profil NPC dédié dans YautjaAllies/BossRegistry inspectés au SHA courant.</x:v>
      </x:c>
      <x:c r="N161"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1" s="9" t="str">
        <x:v>Ajouter la correspondance profil → acteur → source. Relever les capacités, modèle et animations ; vérifier le spawn, les identités et la fidélité du preset.</x:v>
      </x:c>
      <x:c r="P161" s="9" t="str">
        <x:v>Proposition : rupture ponctuelle de formation suivie d’une ouverture de contre.</x:v>
      </x:c>
      <x:c r="Q161" s="9" t="str">
        <x:v>Un individu nommé au maximum par opération ; joueur compté séparément ; aucun clone dans les réserves. Classe PHG, pas race biologique. Grendel est une appellation du récit, pas un rang ou une race. Les ajouts à un groupe remplacent des places allouées. Réserves finies ; aucun renfort créé hors budget.</x:v>
      </x:c>
      <x:c r="R161" s="9" t="str">
        <x:v>Relations et opposition à définir dans le scénario de cette œuvre. Toute rencontre X/Y/H non attestée est une adaptation originale explicitement choisie.</x:v>
      </x:c>
      <x:c r="S161" s="9" t="str">
        <x:v>Lieu de l’œuvre à sélectionner et à documenter ; aucune nouvelle carte construite n’est revendiquée.</x:v>
      </x:c>
      <x:c r="T161" s="9" t="str">
        <x:v>Un individu nommé au maximum par opération ; joueur compté séparément ; aucun clone dans les réserves. Classe PHG, pas race biologique. Grendel est une appellation du récit, pas un rang ou une race.</x:v>
      </x:c>
      <x:c r="U161" s="9" t="str">
        <x:v>P1</x:v>
      </x:c>
    </x:row>
    <x:row r="162" ht="96" hidden="0" customHeight="1">
      <x:c r="A162" s="10" t="str">
        <x:v>YAU-052</x:v>
      </x:c>
      <x:c r="B162" s="10" t="str">
        <x:v>Yautja</x:v>
      </x:c>
      <x:c r="C162" s="10" t="str">
        <x:v>Father — PHG</x:v>
      </x:c>
      <x:c r="D162" s="10" t="str">
        <x:v>Classe DLC ; Elder et chef d’un clan</x:v>
      </x:c>
      <x:c r="E162" s="10" t="str">
        <x:v>unique ; aucune réserve de clones</x:v>
      </x:c>
      <x:c r="F162" s="10" t="str">
        <x:v>Predator: Hunting Grounds</x:v>
      </x:c>
      <x:c r="G162" s="10" t="str">
        <x:v>Jeu</x:v>
      </x:c>
      <x:c r="H162" s="10" t="str">
        <x:v>Predator: Hunting Grounds</x:v>
      </x:c>
      <x:c r="I162" s="10" t="str">
        <x:v>Confirmé pour le fait cité ; autres détails à vérifier</x:v>
      </x:c>
      <x:c r="J162" s="10" t="str">
        <x:v>Father est décrit comme un Elder dirigeant son clan ; son DLC introduit la Yautja Sword.</x:v>
      </x:c>
      <x:c r="K162" s="10" t="str">
        <x:v>YC-S11 — The Father Predator joins the hunt!
Source primaire officielle
Portée : Annonce officielle du 28 avril 2026 ; Elder, chef de clan, classe Father et Yautja Sword.</x:v>
      </x:c>
      <x:c r="L162" s="23" t="str">
        <x:v>https://forum.predator.illfonic.com/t/the-father-predator-joins-the-hunt/37649</x:v>
      </x:c>
      <x:c r="M162" s="10" t="str">
        <x:v>Absent du catalogue source de 115 fiches. Aucun profil jouable dédié dans charactersData ; aucun profil NPC dédié dans YautjaAllies/BossRegistry inspectés au SHA courant.</x:v>
      </x:c>
      <x:c r="N162"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2" s="10" t="str">
        <x:v>Ajouter la correspondance profil → acteur → source. Relever les capacités, modèle et animations ; vérifier le spawn, les identités et la fidélité du preset.</x:v>
      </x:c>
      <x:c r="P162" s="10" t="str">
        <x:v>Proposition : boss de commandement avec duel et rupture de cohésion du clan.</x:v>
      </x:c>
      <x:c r="Q162" s="10" t="str">
        <x:v>Un individu nommé au maximum par opération ; joueur compté séparément ; aucun clone dans les réserves. Classe PHG, pas race biologique. Un chef local ne démontre pas une hiérarchie universelle ; ne pas déduire son nom filmique de cette seule page. Les ajouts à un groupe remplacent des places allouées. Réserves finies ; aucun renfort créé hors budget.</x:v>
      </x:c>
      <x:c r="R162" s="10" t="str">
        <x:v>Relations et opposition à définir dans le scénario de cette œuvre. Toute rencontre X/Y/H non attestée est une adaptation originale explicitement choisie.</x:v>
      </x:c>
      <x:c r="S162" s="10" t="str">
        <x:v>Lieu de l’œuvre à sélectionner et à documenter ; aucune nouvelle carte construite n’est revendiquée.</x:v>
      </x:c>
      <x:c r="T162" s="10" t="str">
        <x:v>Un individu nommé au maximum par opération ; joueur compté séparément ; aucun clone dans les réserves. Classe PHG, pas race biologique. Un chef local ne démontre pas une hiérarchie universelle ; ne pas déduire son nom filmique de cette seule page.</x:v>
      </x:c>
      <x:c r="U162" s="10" t="str">
        <x:v>P1</x:v>
      </x:c>
    </x:row>
    <x:row r="163" ht="96" hidden="0" customHeight="1">
      <x:c r="A163" s="9" t="str">
        <x:v>YAU-053</x:v>
      </x:c>
      <x:c r="B163" s="9" t="str">
        <x:v>Yautja</x:v>
      </x:c>
      <x:c r="C163" s="9" t="str">
        <x:v>Kwei</x:v>
      </x:c>
      <x:c r="D163" s="9" t="str">
        <x:v>Individu filmique ; frère de Dek</x:v>
      </x:c>
      <x:c r="E163" s="9" t="str">
        <x:v>unique ; aucune réserve de clones</x:v>
      </x:c>
      <x:c r="F163" s="9" t="str">
        <x:v>Predator: Badlands (2025)</x:v>
      </x:c>
      <x:c r="G163" s="9" t="str">
        <x:v>Film</x:v>
      </x:c>
      <x:c r="H163" s="9" t="str">
        <x:v>Predator: Badlands (2025)</x:v>
      </x:c>
      <x:c r="I163" s="9" t="str">
        <x:v>Confirmé pour le fait cité ; autres détails à vérifier</x:v>
      </x:c>
      <x:c r="J163" s="9" t="str">
        <x:v>Kwei est le frère de Dek et un guerrier respecté par leur clan.</x:v>
      </x:c>
      <x:c r="K163" s="9" t="str">
        <x:v>YC-S12 — Predator: Badlands — Kwei
Source primaire licenciée
Portée : Notice licenciée attribuant Kwei au film et le décrivant comme le frère de Dek ; la figurine est une précommande, le personnage existe dans le film.</x:v>
      </x:c>
      <x:c r="L163" s="22" t="str">
        <x:v>https://store.necaonline.com/collections/latest-drops/products/predator-badlands-ultimate-kwei-predator-deks-brother-7-inch-scale-action-figure</x:v>
      </x:c>
      <x:c r="M163" s="9" t="str">
        <x:v>Absent du catalogue source de 115 fiches. Aucun profil jouable dédié dans charactersData ; aucun profil NPC dédié dans YautjaAllies/BossRegistry inspectés au SHA courant.</x:v>
      </x:c>
      <x:c r="N163"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3" s="9" t="str">
        <x:v>Ajouter la correspondance profil → acteur → source. Relever les capacités, modèle et animations ; vérifier le spawn, les identités et la fidélité du preset.</x:v>
      </x:c>
      <x:c r="P163" s="9" t="str">
        <x:v>Proposition : allié scénarisé et mentor ; rencontre originale clairement indiquée.</x:v>
      </x:c>
      <x:c r="Q163" s="9" t="str">
        <x:v>Un seul Kwei ; pas une caste des frères aînés ; aucun renfort cloné. Les ajouts à un groupe remplacent des places allouées. Réserves finies ; aucun renfort créé hors budget.</x:v>
      </x:c>
      <x:c r="R163" s="9" t="str">
        <x:v>Relations et opposition à définir dans le scénario de cette œuvre. Toute rencontre X/Y/H non attestée est une adaptation originale explicitement choisie.</x:v>
      </x:c>
      <x:c r="S163" s="9" t="str">
        <x:v>LD-30 Genna : cadre proposé déjà catalogué ; scène et parcours de chaque rencontre à construire.</x:v>
      </x:c>
      <x:c r="T163" s="9" t="str">
        <x:v>Un seul Kwei ; pas une caste des frères aînés ; aucun renfort cloné.</x:v>
      </x:c>
      <x:c r="U163" s="9" t="str">
        <x:v>P1</x:v>
      </x:c>
    </x:row>
    <x:row r="164" ht="96" hidden="0" customHeight="1">
      <x:c r="A164" s="10" t="str">
        <x:v>YAU-054</x:v>
      </x:c>
      <x:c r="B164" s="10" t="str">
        <x:v>Yautja</x:v>
      </x:c>
      <x:c r="C164" s="10" t="str">
        <x:v>Ahab</x:v>
      </x:c>
      <x:c r="D164" s="10" t="str">
        <x:v>Individu Elder dans sa tribu</x:v>
      </x:c>
      <x:c r="E164" s="10" t="str">
        <x:v>unique ; aucune réserve de clones</x:v>
      </x:c>
      <x:c r="F164" s="10" t="str">
        <x:v>Predator: Fire and Stone</x:v>
      </x:c>
      <x:c r="G164" s="10" t="str">
        <x:v>Comic / média licencié</x:v>
      </x:c>
      <x:c r="H164" s="10" t="str">
        <x:v>Predator: Fire and Stone</x:v>
      </x:c>
      <x:c r="I164" s="10" t="str">
        <x:v>Confirmé pour le fait cité ; autres détails à vérifier</x:v>
      </x:c>
      <x:c r="J164" s="10" t="str">
        <x:v>Ahab est présenté comme un Elder de sa tribu dans Fire and Stone.</x:v>
      </x:c>
      <x:c r="K164" s="10" t="str">
        <x:v>YC-S13 — Ahab — Fire and Stone
Source primaire licenciée
Portée : Notice licenciée : Ahab, Elder dans sa tribu, associé au comic Fire and Stone.</x:v>
      </x:c>
      <x:c r="L164" s="23" t="str">
        <x:v>https://store.necaonline.com/blogs/san-diego-comic-con/sdcc-feature-friday-4-exclusive-fire-and-stone-ahab-predator-action-figure</x:v>
      </x:c>
      <x:c r="M164" s="10" t="str">
        <x:v>Absent du catalogue source de 115 fiches. Aucun profil jouable dédié dans charactersData ; aucun profil NPC dédié dans YautjaAllies/BossRegistry inspectés au SHA courant.</x:v>
      </x:c>
      <x:c r="N164"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4" s="10" t="str">
        <x:v>Ajouter la correspondance profil → acteur → source. Relever les capacités, modèle et animations ; vérifier le spawn, les identités et la fidélité du preset.</x:v>
      </x:c>
      <x:c r="P164" s="10" t="str">
        <x:v>Proposition : chasseur vétéran unique dans une opération du même arc.</x:v>
      </x:c>
      <x:c r="Q164" s="10" t="str">
        <x:v>Un Ahab par opération ; pas de caste Ahab, ne pas le fusionner avec Greyback. Les ajouts à un groupe remplacent des places allouées. Réserves finies ; aucun renfort créé hors budget.</x:v>
      </x:c>
      <x:c r="R164" s="10" t="str">
        <x:v>Relations et opposition à définir dans le scénario de cette œuvre. Toute rencontre X/Y/H non attestée est une adaptation originale explicitement choisie.</x:v>
      </x:c>
      <x:c r="S164" s="10" t="str">
        <x:v>Lieu de l’œuvre à sélectionner et à documenter ; aucune nouvelle carte construite n’est revendiquée.</x:v>
      </x:c>
      <x:c r="T164" s="10" t="str">
        <x:v>Un Ahab par opération ; pas de caste Ahab, ne pas le fusionner avec Greyback.</x:v>
      </x:c>
      <x:c r="U164" s="10" t="str">
        <x:v>P1</x:v>
      </x:c>
    </x:row>
    <x:row r="165" ht="96" hidden="0" customHeight="1">
      <x:c r="A165" s="9" t="str">
        <x:v>YAU-055</x:v>
      </x:c>
      <x:c r="B165" s="9" t="str">
        <x:v>Yautja</x:v>
      </x:c>
      <x:c r="C165" s="9" t="str">
        <x:v>Broken Tusk</x:v>
      </x:c>
      <x:c r="D165" s="9" t="str">
        <x:v>Individu ; mentor de Machiko</x:v>
      </x:c>
      <x:c r="E165" s="9" t="str">
        <x:v>unique ; aucune réserve de clones</x:v>
      </x:c>
      <x:c r="F165" s="9" t="str">
        <x:v>Aliens vs. Predator — comics originaux</x:v>
      </x:c>
      <x:c r="G165" s="9" t="str">
        <x:v>Comic / média licencié</x:v>
      </x:c>
      <x:c r="H165" s="9" t="str">
        <x:v>Aliens vs. Predator — comics originaux</x:v>
      </x:c>
      <x:c r="I165" s="9" t="str">
        <x:v>Confirmé pour le fait cité ; autres détails à vérifier</x:v>
      </x:c>
      <x:c r="J165" s="9" t="str">
        <x:v>Broken Tusk apparaît dans les comics AVP ; Machiko est une humaine admise dans sa tribu.</x:v>
      </x:c>
      <x:c r="K165" s="9" t="str">
        <x:v>YC-S14 — Predator Series 18 — Broken Tusk et Hornhead
Source primaire licenciée
Portée : Notice licenciée associant Hornhead à Life &amp; Death, Broken Tusk aux comics AVP et Machiko à une coloniste humaine.</x:v>
      </x:c>
      <x:c r="L165" s="22" t="str">
        <x:v>https://store.necaonline.com/blogs/news/shipping-this-week-predator-series-18-aliens-ultimate-warriors-chucky-body-knocker-and-ultimate-chucky-restock-1</x:v>
      </x:c>
      <x:c r="M165" s="9" t="str">
        <x:v>Absent du catalogue source de 115 fiches. Aucun profil jouable dédié dans charactersData ; aucun profil NPC dédié dans YautjaAllies/BossRegistry inspectés au SHA courant.</x:v>
      </x:c>
      <x:c r="N165"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5" s="9" t="str">
        <x:v>Ajouter la correspondance profil → acteur → source. Relever les capacités, modèle et animations ; vérifier le spawn, les identités et la fidélité du preset.</x:v>
      </x:c>
      <x:c r="P165" s="9" t="str">
        <x:v>Proposition : commandant allié unique et lien de négociation avec les humains.</x:v>
      </x:c>
      <x:c r="Q165" s="9" t="str">
        <x:v>Un Broken Tusk ; Machiko demeure humaine, jamais sous-espèce Yautja. Les ajouts à un groupe remplacent des places allouées. Réserves finies ; aucun renfort créé hors budget.</x:v>
      </x:c>
      <x:c r="R165" s="9" t="str">
        <x:v>Relations et opposition à définir dans le scénario de cette œuvre. Toute rencontre X/Y/H non attestée est une adaptation originale explicitement choisie.</x:v>
      </x:c>
      <x:c r="S165" s="9" t="str">
        <x:v>Lieu de l’œuvre à sélectionner et à documenter ; aucune nouvelle carte construite n’est revendiquée.</x:v>
      </x:c>
      <x:c r="T165" s="9" t="str">
        <x:v>Un Broken Tusk ; Machiko demeure humaine, jamais sous-espèce Yautja.</x:v>
      </x:c>
      <x:c r="U165" s="9" t="str">
        <x:v>P1</x:v>
      </x:c>
    </x:row>
    <x:row r="166" ht="96" hidden="0" customHeight="1">
      <x:c r="A166" s="10" t="str">
        <x:v>YAU-056</x:v>
      </x:c>
      <x:c r="B166" s="10" t="str">
        <x:v>Yautja</x:v>
      </x:c>
      <x:c r="C166" s="10" t="str">
        <x:v>Hornhead</x:v>
      </x:c>
      <x:c r="D166" s="10" t="str">
        <x:v>Individu de comic</x:v>
      </x:c>
      <x:c r="E166" s="10" t="str">
        <x:v>unique ; aucune réserve de clones</x:v>
      </x:c>
      <x:c r="F166" s="10" t="str">
        <x:v>Predator: Life &amp; Death</x:v>
      </x:c>
      <x:c r="G166" s="10" t="str">
        <x:v>Comic / média licencié</x:v>
      </x:c>
      <x:c r="H166" s="10" t="str">
        <x:v>Predator: Life &amp; Death</x:v>
      </x:c>
      <x:c r="I166" s="10" t="str">
        <x:v>Confirmé pour le fait cité ; autres détails à vérifier</x:v>
      </x:c>
      <x:c r="J166" s="10" t="str">
        <x:v>Hornhead est identifié par NECA comme un personnage de Life &amp; Death.</x:v>
      </x:c>
      <x:c r="K166" s="10" t="str">
        <x:v>YC-S14 — Predator Series 18 — Broken Tusk et Hornhead
Source primaire licenciée
Portée : Notice licenciée associant Hornhead à Life &amp; Death, Broken Tusk aux comics AVP et Machiko à une coloniste humaine.</x:v>
      </x:c>
      <x:c r="L166" s="23" t="str">
        <x:v>https://store.necaonline.com/blogs/news/shipping-this-week-predator-series-18-aliens-ultimate-warriors-chucky-body-knocker-and-ultimate-chucky-restock-1</x:v>
      </x:c>
      <x:c r="M166" s="10" t="str">
        <x:v>Absent du catalogue source de 115 fiches. Aucun profil jouable dédié dans charactersData ; aucun profil NPC dédié dans YautjaAllies/BossRegistry inspectés au SHA courant.</x:v>
      </x:c>
      <x:c r="N166"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6" s="10" t="str">
        <x:v>Ajouter la correspondance profil → acteur → source. Relever les capacités, modèle et animations ; vérifier le spawn, les identités et la fidélité du preset.</x:v>
      </x:c>
      <x:c r="P166" s="10" t="str">
        <x:v>Proposition : élite de duel ; capacités à documenter dans le comic avant reproduction.</x:v>
      </x:c>
      <x:c r="Q166" s="10" t="str">
        <x:v>Une occurrence nommée ; les accessoires NECA ne prouvent pas tous les gestes du comic. Les ajouts à un groupe remplacent des places allouées. Réserves finies ; aucun renfort créé hors budget.</x:v>
      </x:c>
      <x:c r="R166" s="10" t="str">
        <x:v>Relations et opposition à définir dans le scénario de cette œuvre. Toute rencontre X/Y/H non attestée est une adaptation originale explicitement choisie.</x:v>
      </x:c>
      <x:c r="S166" s="10" t="str">
        <x:v>Lieu de l’œuvre à sélectionner et à documenter ; aucune nouvelle carte construite n’est revendiquée.</x:v>
      </x:c>
      <x:c r="T166" s="10" t="str">
        <x:v>Une occurrence nommée ; les accessoires NECA ne prouvent pas tous les gestes du comic.</x:v>
      </x:c>
      <x:c r="U166" s="10" t="str">
        <x:v>P1</x:v>
      </x:c>
    </x:row>
    <x:row r="167" ht="72" hidden="0" customHeight="1">
      <x:c r="A167" s="9" t="str">
        <x:v>YAU-057</x:v>
      </x:c>
      <x:c r="B167" s="9" t="str">
        <x:v>Yautja</x:v>
      </x:c>
      <x:c r="C167" s="9" t="str">
        <x:v>Lost Tribe</x:v>
      </x:c>
      <x:c r="D167" s="9" t="str">
        <x:v>Groupe de chasseurs ; pas une race</x:v>
      </x:c>
      <x:c r="E167" s="9" t="str">
        <x:v>cadre ou groupe nommé ; membres et décompte à définir</x:v>
      </x:c>
      <x:c r="F167" s="9" t="str">
        <x:v>Predator 2 (1990)</x:v>
      </x:c>
      <x:c r="G167" s="9" t="str">
        <x:v>Film</x:v>
      </x:c>
      <x:c r="H167" s="9" t="str">
        <x:v>Predator 2 (1990)</x:v>
      </x:c>
      <x:c r="I167" s="9" t="str">
        <x:v>Confirmé pour le fait cité ; autres détails à vérifier</x:v>
      </x:c>
      <x:c r="J167" s="9" t="str">
        <x:v>NECA nomme Lost Tribe le groupe de chasseurs apparaissant à la fin de Predator 2.</x:v>
      </x:c>
      <x:c r="K167" s="9" t="str">
        <x:v>YC-S15 — Predators: Introducing the Lost Tribe
Source primaire licenciée
Portée : Groupe de Predator 2 nommé Lost Tribe ; exemples Warrior, Lost, Scout, Snake, Guardian, Stalker. Identification, pas pouvoirs filmés.</x:v>
      </x:c>
      <x:c r="L167" s="22" t="str">
        <x:v>https://store.necaonline.com/blogs/news/predators-introducing-the-lost-tribe-from-our-series-6-action-figures</x:v>
      </x:c>
      <x:c r="M167" s="9" t="str">
        <x:v>Absent du catalogue source de 115 fiches. Vaisseau, interaction Greyback et texte Lost Tribe présents ; pas une sous-espèce ni un roster comportemental complet.</x:v>
      </x:c>
      <x:c r="N167" s="9" t="str">
        <x:v>https://github.com/darknigthmare/Yautja-hive-warriors/blob/39871c450379225de8174711237632e6aa883f04/js/data/BattleCatalog.js#L41-L51
https://github.com/darknigthmare/Yautja-hive-warriors/blob/39871c450379225de8174711237632e6aa883f04/js/entities/ReferenceEnvironmentMechanisms.js#L11285-L11295
https://github.com/darknigthmare/Yautja-hive-warriors/blob/39871c450379225de8174711237632e6aa883f04/js/data/charactersData.js#L49-L162</x:v>
      </x:c>
      <x:c r="O167" s="9" t="str">
        <x:v>Ajouter la correspondance profil → acteur → source. Relever les capacités, modèle et animations ; vérifier le spawn, les identités et la fidélité du preset.</x:v>
      </x:c>
      <x:c r="P167" s="9" t="str">
        <x:v>Proposition : faction de scénario, matrice de relations et liste de membres nommés.</x:v>
      </x:c>
      <x:c r="Q167" s="9" t="str">
        <x:v>Le groupe ne compte pas comme un combattant ; chaque individu déjà compté une fois. Les ajouts à un groupe remplacent des places allouées. Réserves finies ; aucun renfort créé hors budget.</x:v>
      </x:c>
      <x:c r="R167" s="9" t="str">
        <x:v>Relations et opposition à définir dans le scénario de cette œuvre. Toute rencontre X/Y/H non attestée est une adaptation originale explicitement choisie.</x:v>
      </x:c>
      <x:c r="S167" s="9" t="str">
        <x:v>Lieu de l’œuvre à sélectionner et à documenter ; aucune nouvelle carte construite n’est revendiquée.</x:v>
      </x:c>
      <x:c r="T167" s="9" t="str">
        <x:v>Le groupe ne compte pas comme un combattant ; chaque individu déjà compté une fois.</x:v>
      </x:c>
      <x:c r="U167" s="9" t="str">
        <x:v>P2</x:v>
      </x:c>
    </x:row>
    <x:row r="168" ht="96" hidden="0" customHeight="1">
      <x:c r="A168" s="10" t="str">
        <x:v>YAU-058</x:v>
      </x:c>
      <x:c r="B168" s="10" t="str">
        <x:v>Yautja</x:v>
      </x:c>
      <x:c r="C168" s="10" t="str">
        <x:v>Predator du tournoi Bloodshed</x:v>
      </x:c>
      <x:c r="D168" s="10" t="str">
        <x:v>Individu non nommé par la notice consultée</x:v>
      </x:c>
      <x:c r="E168" s="10" t="str">
        <x:v>unique ; aucune réserve de clones</x:v>
      </x:c>
      <x:c r="F168" s="10" t="str">
        <x:v>Predator: Bloodshed (2026)</x:v>
      </x:c>
      <x:c r="G168" s="10" t="str">
        <x:v>Comic / média licencié</x:v>
      </x:c>
      <x:c r="H168" s="10" t="str">
        <x:v>Predator: Bloodshed (2026)</x:v>
      </x:c>
      <x:c r="I168" s="10" t="str">
        <x:v>Confirmé pour le fait cité ; autres détails à vérifier</x:v>
      </x:c>
      <x:c r="J168" s="10" t="str">
        <x:v>Un Predator intervient dans un tournoi clandestin de combattants humains.</x:v>
      </x:c>
      <x:c r="K168" s="10" t="str">
        <x:v>YC-S19 — Predator: Bloodshed (2026) #1
Source primaire officielle
Portée : Synopsis de l’éditeur : Predator dans un tournoi humain clandestin. Identité propre et biologie non détaillées.</x:v>
      </x:c>
      <x:c r="L168" s="23" t="str">
        <x:v>https://www.marvel.com/comics/issue/134539/predator_bloodshed_2026_1_variant/variant</x:v>
      </x:c>
      <x:c r="M168" s="10" t="str">
        <x:v>Absent du catalogue source de 115 fiches. Aucun profil jouable dédié dans charactersData ; aucun profil NPC dédié dans YautjaAllies/BossRegistry inspectés au SHA courant.</x:v>
      </x:c>
      <x:c r="N168"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8" s="10" t="str">
        <x:v>Ajouter la correspondance profil → acteur → source. Relever les capacités, modèle et animations ; vérifier le spawn, les identités et la fidélité du preset.</x:v>
      </x:c>
      <x:c r="P168" s="10" t="str">
        <x:v>Proposition : rencontre unique dans une arène humaine ; nom et capacités à compléter.</x:v>
      </x:c>
      <x:c r="Q168" s="10" t="str">
        <x:v>Ne pas inventer une caste Bloodshed ; pas de duplication en population générique. Les ajouts à un groupe remplacent des places allouées. Réserves finies ; aucun renfort créé hors budget.</x:v>
      </x:c>
      <x:c r="R168" s="10" t="str">
        <x:v>Relations et opposition à définir dans le scénario de cette œuvre. Toute rencontre X/Y/H non attestée est une adaptation originale explicitement choisie.</x:v>
      </x:c>
      <x:c r="S168" s="10" t="str">
        <x:v>Lieu de l’œuvre à sélectionner et à documenter ; aucune nouvelle carte construite n’est revendiquée.</x:v>
      </x:c>
      <x:c r="T168" s="10" t="str">
        <x:v>Ne pas inventer une caste Bloodshed ; pas de duplication en population générique.</x:v>
      </x:c>
      <x:c r="U168" s="10" t="str">
        <x:v>P2</x:v>
      </x:c>
    </x:row>
    <x:row r="169" ht="96" hidden="0" customHeight="1">
      <x:c r="A169" s="9" t="str">
        <x:v>YAU-059</x:v>
      </x:c>
      <x:c r="B169" s="9" t="str">
        <x:v>Yautja</x:v>
      </x:c>
      <x:c r="C169" s="9" t="str">
        <x:v>Jeune Yautja de la frontière australienne</x:v>
      </x:c>
      <x:c r="D169" s="9" t="str">
        <x:v>Individu non nommé par la notice consultée</x:v>
      </x:c>
      <x:c r="E169" s="9" t="str">
        <x:v>unique ; aucune réserve de clones</x:v>
      </x:c>
      <x:c r="F169" s="9" t="str">
        <x:v>Predator: Black, White &amp; Blood (2025)</x:v>
      </x:c>
      <x:c r="G169" s="9" t="str">
        <x:v>Comic / média licencié</x:v>
      </x:c>
      <x:c r="H169" s="9" t="str">
        <x:v>Predator: Black, White &amp; Blood (2025)</x:v>
      </x:c>
      <x:c r="I169" s="9" t="str">
        <x:v>Confirmé pour le fait cité ; autres détails à vérifier</x:v>
      </x:c>
      <x:c r="J169" s="9" t="str">
        <x:v>Un jeune Yautja cherche à faire ses preuves sur la frontière australienne.</x:v>
      </x:c>
      <x:c r="K169" s="9" t="str">
        <x:v>YC-S20 — Predator: Black, White &amp; Blood Treasury Edition
Source primaire officielle
Portée : Synopsis de l’éditeur : jeune Yautja sur la frontière australienne. Ne confirme pas ici son nom propre.</x:v>
      </x:c>
      <x:c r="L169" s="22" t="str">
        <x:v>https://www.marvel.com/comics/collection/127227/predator_black_white_blood_treasury_edition_trade_paperback</x:v>
      </x:c>
      <x:c r="M169" s="9" t="str">
        <x:v>Absent du catalogue source de 115 fiches. Aucun profil jouable dédié dans charactersData ; aucun profil NPC dédié dans YautjaAllies/BossRegistry inspectés au SHA courant.</x:v>
      </x:c>
      <x:c r="N169"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69" s="9" t="str">
        <x:v>Ajouter la correspondance profil → acteur → source. Relever les capacités, modèle et animations ; vérifier le spawn, les identités et la fidélité du preset.</x:v>
      </x:c>
      <x:c r="P169" s="9" t="str">
        <x:v>Proposition : chasse scénarisée de petite échelle, liée à cette histoire.</x:v>
      </x:c>
      <x:c r="Q169" s="9" t="str">
        <x:v>Aucun rang universel déduit de sa jeunesse ; identité détaillée à confirmer dans le numéro. Les ajouts à un groupe remplacent des places allouées. Réserves finies ; aucun renfort créé hors budget.</x:v>
      </x:c>
      <x:c r="R169" s="9" t="str">
        <x:v>Relations et opposition à définir dans le scénario de cette œuvre. Toute rencontre X/Y/H non attestée est une adaptation originale explicitement choisie.</x:v>
      </x:c>
      <x:c r="S169" s="9" t="str">
        <x:v>Lieu de l’œuvre à sélectionner et à documenter ; aucune nouvelle carte construite n’est revendiquée.</x:v>
      </x:c>
      <x:c r="T169" s="9" t="str">
        <x:v>Aucun rang universel déduit de sa jeunesse ; identité détaillée à confirmer dans le numéro.</x:v>
      </x:c>
      <x:c r="U169" s="9" t="str">
        <x:v>P2</x:v>
      </x:c>
    </x:row>
    <x:row r="170" ht="96" hidden="0" customHeight="1">
      <x:c r="A170" s="10" t="str">
        <x:v>YAU-060</x:v>
      </x:c>
      <x:c r="B170" s="10" t="str">
        <x:v>Yautja</x:v>
      </x:c>
      <x:c r="C170" s="10" t="str">
        <x:v>Skinner</x:v>
      </x:c>
      <x:c r="D170" s="10" t="str">
        <x:v>Individu renégat ; crossover</x:v>
      </x:c>
      <x:c r="E170" s="10" t="str">
        <x:v>hors socle par défaut ; extension optionnelle</x:v>
      </x:c>
      <x:c r="F170" s="10" t="str">
        <x:v>Predator vs. Spider-Man (2025)</x:v>
      </x:c>
      <x:c r="G170" s="10" t="str">
        <x:v>Comic / média licencié</x:v>
      </x:c>
      <x:c r="H170" s="10" t="str">
        <x:v>Predator vs. Spider-Man (2025)</x:v>
      </x:c>
      <x:c r="I170" s="10" t="str">
        <x:v>Confirmé dans une continuité optionnelle ; hors socle par défaut</x:v>
      </x:c>
      <x:c r="J170" s="10" t="str">
        <x:v>Marvel décrit Skinner comme un Predator sans honneur et sans clan.</x:v>
      </x:c>
      <x:c r="K170" s="10" t="str">
        <x:v>YC-S17 — Predator vs. Spider-Man (2025) #1
Source primaire officielle
Portée : Synopsis de l’éditeur : Skinner, sans clan et sans honneur ; crossover Marvel à isoler.</x:v>
      </x:c>
      <x:c r="L170" s="23" t="str">
        <x:v>https://www.marvel.com/comics/issue/127369/predator_vs_spider-man_2025_1_variant/variant</x:v>
      </x:c>
      <x:c r="M170" s="10" t="str">
        <x:v>Absent du catalogue source de 115 fiches. Aucun profil jouable dédié dans charactersData ; aucun profil NPC dédié dans YautjaAllies/BossRegistry inspectés au SHA courant.</x:v>
      </x:c>
      <x:c r="N170"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70" s="10" t="str">
        <x:v>Extension optionnelle : valider le périmètre puis créer les fiches et acteurs nécessaires ; aucune activation automatique.</x:v>
      </x:c>
      <x:c r="P170" s="10" t="str">
        <x:v>Option : boss de traque dans un module crossover séparé.</x:v>
      </x:c>
      <x:c r="Q170" s="10" t="str">
        <x:v>Aucun Skinner dans les presets cinéma/AVP par défaut ; pas de nouvelle race. Les ajouts à un groupe remplacent des places allouées. Réserves finies ; aucun renfort créé hors budget.</x:v>
      </x:c>
      <x:c r="R170" s="10" t="str">
        <x:v>Relations et opposition à définir dans le scénario de cette œuvre. Toute rencontre X/Y/H non attestée est une adaptation originale explicitement choisie.</x:v>
      </x:c>
      <x:c r="S170" s="10" t="str">
        <x:v>Lieu de l’œuvre à sélectionner et à documenter ; aucune nouvelle carte construite n’est revendiquée.</x:v>
      </x:c>
      <x:c r="T170" s="10" t="str">
        <x:v>Aucun Skinner dans les presets cinéma/AVP par défaut ; pas de nouvelle race. Continuité optionnelle : elle ne valide pas des rangs ou espèces universels.</x:v>
      </x:c>
      <x:c r="U170" s="10" t="str">
        <x:v>P3</x:v>
      </x:c>
    </x:row>
    <x:row r="171" ht="96" hidden="0" customHeight="1">
      <x:c r="A171" s="9" t="str">
        <x:v>YAU-061</x:v>
      </x:c>
      <x:c r="B171" s="9" t="str">
        <x:v>Yautja</x:v>
      </x:c>
      <x:c r="C171" s="9" t="str">
        <x:v>Predator King — crossover Marvel</x:v>
      </x:c>
      <x:c r="D171" s="9" t="str">
        <x:v>Individu souverain dans ce crossover</x:v>
      </x:c>
      <x:c r="E171" s="9" t="str">
        <x:v>hors socle par défaut ; extension optionnelle</x:v>
      </x:c>
      <x:c r="F171" s="9" t="str">
        <x:v>Predator Kills the Marvel Universe (2025)</x:v>
      </x:c>
      <x:c r="G171" s="9" t="str">
        <x:v>Comic / média licencié</x:v>
      </x:c>
      <x:c r="H171" s="9" t="str">
        <x:v>Predator Kills the Marvel Universe (2025)</x:v>
      </x:c>
      <x:c r="I171" s="9" t="str">
        <x:v>Confirmé dans une continuité optionnelle ; hors socle par défaut</x:v>
      </x:c>
      <x:c r="J171" s="9" t="str">
        <x:v>Un Predator King lance une invasion avec un arsenal de vibranium.</x:v>
      </x:c>
      <x:c r="K171" s="9" t="str">
        <x:v>YC-S18 — Predator Kills the Marvel Universe (2025) #1
Source primaire officielle
Portée : Synopsis de l’éditeur : un Predator King et une invasion utilisant le vibranium ; ne prouve pas une monarchie universelle des films.</x:v>
      </x:c>
      <x:c r="L171" s="22" t="str">
        <x:v>https://www.marvel.com/comics/issue/130727/predator_kills_the_marvel_universe_2025_1_variant/variant</x:v>
      </x:c>
      <x:c r="M171" s="9" t="str">
        <x:v>Absent du catalogue source de 115 fiches. Aucun profil jouable dédié dans charactersData ; aucun profil NPC dédié dans YautjaAllies/BossRegistry inspectés au SHA courant.</x:v>
      </x:c>
      <x:c r="N171"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71" s="9" t="str">
        <x:v>Extension optionnelle : valider le périmètre puis créer les fiches et acteurs nécessaires ; aucune activation automatique.</x:v>
      </x:c>
      <x:c r="P171" s="9" t="str">
        <x:v>Option : commandant de campagne crossover ; arsenal séparé des films.</x:v>
      </x:c>
      <x:c r="Q171" s="9" t="str">
        <x:v>Ne pas créer un rang monarchique universel ni diffuser le vibranium hors du crossover. Les ajouts à un groupe remplacent des places allouées. Réserves finies ; aucun renfort créé hors budget.</x:v>
      </x:c>
      <x:c r="R171" s="9" t="str">
        <x:v>Relations et opposition à définir dans le scénario de cette œuvre. Toute rencontre X/Y/H non attestée est une adaptation originale explicitement choisie.</x:v>
      </x:c>
      <x:c r="S171" s="9" t="str">
        <x:v>Lieu de l’œuvre à sélectionner et à documenter ; aucune nouvelle carte construite n’est revendiquée.</x:v>
      </x:c>
      <x:c r="T171" s="9" t="str">
        <x:v>Ne pas créer un rang monarchique universel ni diffuser le vibranium hors du crossover. Continuité optionnelle : elle ne valide pas des rangs ou espèces universels.</x:v>
      </x:c>
      <x:c r="U171" s="9" t="str">
        <x:v>P3</x:v>
      </x:c>
    </x:row>
    <x:row r="172" ht="96" hidden="0" customHeight="1">
      <x:c r="A172" s="10" t="str">
        <x:v>YAU-062</x:v>
      </x:c>
      <x:c r="B172" s="10" t="str">
        <x:v>Yautja</x:v>
      </x:c>
      <x:c r="C172" s="10" t="str">
        <x:v>Viper</x:v>
      </x:c>
      <x:c r="D172" s="10" t="str">
        <x:v>Individu original de produit licencié</x:v>
      </x:c>
      <x:c r="E172" s="10" t="str">
        <x:v>hors socle par défaut ; extension optionnelle</x:v>
      </x:c>
      <x:c r="F172" s="10" t="str">
        <x:v>NECA — lore original licencié</x:v>
      </x:c>
      <x:c r="G172" s="10" t="str">
        <x:v>Produit dérivé licencié</x:v>
      </x:c>
      <x:c r="H172" s="10" t="str">
        <x:v>NECA — lore original licencié</x:v>
      </x:c>
      <x:c r="I172" s="10" t="str">
        <x:v>Confirmé dans une continuité optionnelle ; hors socle par défaut</x:v>
      </x:c>
      <x:c r="J172" s="10" t="str">
        <x:v>Viper est présenté comme chef du Serpent Clan.</x:v>
      </x:c>
      <x:c r="K172" s="10" t="str">
        <x:v>YC-S16 — Viper Predator — Serpent Clan
Source primaire licenciée — périphérique
Portée : Création originale NECA explicitement licenciée : Viper chef du Serpent Clan. Lore de produits dérivés, pas film/comic/jeu constaté.</x:v>
      </x:c>
      <x:c r="L172" s="23" t="str">
        <x:v>https://store.necaonline.com/blogs/behind-the-scenes/closer-look-viper-predator-action-figure-from-series-12</x:v>
      </x:c>
      <x:c r="M172" s="10" t="str">
        <x:v>Absent du catalogue source de 115 fiches. Aucun profil jouable dédié dans charactersData ; aucun profil NPC dédié dans YautjaAllies/BossRegistry inspectés au SHA courant.</x:v>
      </x:c>
      <x:c r="N172"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72" s="10" t="str">
        <x:v>Extension optionnelle : valider le périmètre puis créer les fiches et acteurs nécessaires ; aucune activation automatique.</x:v>
      </x:c>
      <x:c r="P172" s="10" t="str">
        <x:v>Option : personnage d’une extension de lore de produits dérivés.</x:v>
      </x:c>
      <x:c r="Q172" s="10" t="str">
        <x:v>Hors socle films/jeux/séries/comics tant que l’extension de produits dérivés n’est pas retenue. Les ajouts à un groupe remplacent des places allouées. Réserves finies ; aucun renfort créé hors budget.</x:v>
      </x:c>
      <x:c r="R172" s="10" t="str">
        <x:v>Relations et opposition à définir dans le scénario de cette œuvre. Toute rencontre X/Y/H non attestée est une adaptation originale explicitement choisie.</x:v>
      </x:c>
      <x:c r="S172" s="10" t="str">
        <x:v>Lieu de l’œuvre à sélectionner et à documenter ; aucune nouvelle carte construite n’est revendiquée.</x:v>
      </x:c>
      <x:c r="T172" s="10" t="str">
        <x:v>Hors socle films/jeux/séries/comics tant que l’extension de produits dérivés n’est pas retenue. Continuité optionnelle : elle ne valide pas des rangs ou espèces universels.</x:v>
      </x:c>
      <x:c r="U172" s="10" t="str">
        <x:v>P3</x:v>
      </x:c>
    </x:row>
    <x:row r="173" ht="96" hidden="0" customHeight="1">
      <x:c r="A173" s="9" t="str">
        <x:v>YAU-063</x:v>
      </x:c>
      <x:c r="B173" s="9" t="str">
        <x:v>Yautja</x:v>
      </x:c>
      <x:c r="C173" s="9" t="str">
        <x:v>Serpent Clan</x:v>
      </x:c>
      <x:c r="D173" s="9" t="str">
        <x:v>Clan original de produit licencié</x:v>
      </x:c>
      <x:c r="E173" s="9" t="str">
        <x:v>hors socle par défaut ; extension optionnelle</x:v>
      </x:c>
      <x:c r="F173" s="9" t="str">
        <x:v>NECA — lore original licencié</x:v>
      </x:c>
      <x:c r="G173" s="9" t="str">
        <x:v>Produit dérivé licencié</x:v>
      </x:c>
      <x:c r="H173" s="9" t="str">
        <x:v>NECA — lore original licencié</x:v>
      </x:c>
      <x:c r="I173" s="9" t="str">
        <x:v>Confirmé dans une continuité optionnelle ; hors socle par défaut</x:v>
      </x:c>
      <x:c r="J173" s="9" t="str">
        <x:v>La notice NECA identifie le Serpent Clan comme le groupe mercenaire dirigé par Viper.</x:v>
      </x:c>
      <x:c r="K173" s="9" t="str">
        <x:v>YC-S16 — Viper Predator — Serpent Clan
Source primaire licenciée — périphérique
Portée : Création originale NECA explicitement licenciée : Viper chef du Serpent Clan. Lore de produits dérivés, pas film/comic/jeu constaté.</x:v>
      </x:c>
      <x:c r="L173" s="22" t="str">
        <x:v>https://store.necaonline.com/blogs/behind-the-scenes/closer-look-viper-predator-action-figure-from-series-12</x:v>
      </x:c>
      <x:c r="M173" s="9" t="str">
        <x:v>Absent du catalogue source de 115 fiches. Aucun profil jouable dédié dans charactersData ; aucun profil NPC dédié dans YautjaAllies/BossRegistry inspectés au SHA courant.</x:v>
      </x:c>
      <x:c r="N173"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173" s="9" t="str">
        <x:v>Extension optionnelle : valider le périmètre puis créer les fiches et acteurs nécessaires ; aucune activation automatique.</x:v>
      </x:c>
      <x:c r="P173" s="9" t="str">
        <x:v>Option : faction mercenaire à effectifs originaux explicitement signalés.</x:v>
      </x:c>
      <x:c r="Q173" s="9" t="str">
        <x:v>Clan, pas race ; le clan n’est pas un combattant supplémentaire ; pas de spawn par défaut. Les ajouts à un groupe remplacent des places allouées. Réserves finies ; aucun renfort créé hors budget.</x:v>
      </x:c>
      <x:c r="R173" s="9" t="str">
        <x:v>Relations et opposition à définir dans le scénario de cette œuvre. Toute rencontre X/Y/H non attestée est une adaptation originale explicitement choisie.</x:v>
      </x:c>
      <x:c r="S173" s="9" t="str">
        <x:v>Lieu de l’œuvre à sélectionner et à documenter ; aucune nouvelle carte construite n’est revendiquée.</x:v>
      </x:c>
      <x:c r="T173" s="9" t="str">
        <x:v>Clan, pas race ; le clan n’est pas un combattant supplémentaire ; pas de spawn par défaut. Continuité optionnelle : elle ne valide pas des rangs ou espèces universels.</x:v>
      </x:c>
      <x:c r="U173" s="9" t="str">
        <x:v>P3</x:v>
      </x:c>
    </x:row>
    <x:row r="174" ht="48" hidden="0" customHeight="1">
      <x:c r="A174" s="10" t="str">
        <x:v>YAU-064</x:v>
      </x:c>
      <x:c r="B174" s="10" t="str">
        <x:v>Yautja</x:v>
      </x:c>
      <x:c r="C174" s="10" t="str">
        <x:v>Elder — classe PHG</x:v>
      </x:c>
      <x:c r="D174" s="10" t="str">
        <x:v>Classe de jeu ; identité filmique non établie</x:v>
      </x:c>
      <x:c r="E174" s="10" t="str">
        <x:v>preset de l’œuvre ; acteur dédié à implémenter</x:v>
      </x:c>
      <x:c r="F174" s="10" t="str">
        <x:v>Predator: Hunting Grounds</x:v>
      </x:c>
      <x:c r="G174" s="10" t="str">
        <x:v>Jeu</x:v>
      </x:c>
      <x:c r="H174" s="10" t="str">
        <x:v>Preset Hunting Grounds, distinct de la fiche Greyback de Predator 2.</x:v>
      </x:c>
      <x:c r="I174" s="10" t="str">
        <x:v>Confirmé pour le fait cité ; autres détails à vérifier</x:v>
      </x:c>
      <x:c r="J174" s="10" t="str">
        <x:v>La classe Elder est débloquée au niveau 150 dans Hunting Grounds.</x:v>
      </x:c>
      <x:c r="K174" s="10" t="str">
        <x:v>YC-S25 — June free update — Elder Predator
Source primaire officielle
Portée : Article d’IllFonic confirmant la classe Elder débloquée au niveau 150 ; progression de jeu, pas critère biologique.</x:v>
      </x:c>
      <x:c r="L174" s="23" t="str">
        <x:v>https://blog.playstation.com/2020/06/12/june-free-update-now-live-in-predator-hunting-grounds/</x:v>
      </x:c>
      <x:c r="M174" s="10" t="str">
        <x:v>Absent du catalogue source de 115 fiches. Aucun acteur dédié établi par le contrôle des registres ; les rapprochements de noms restent à vérifier.</x:v>
      </x:c>
      <x:c r="N174" s="10" t="str">
        <x:v>https://github.com/darknigthmare/Yautja-hive-warriors/blob/39871c450379225de8174711237632e6aa883f04/js/data/BattleCatalog.js#L41-L51</x:v>
      </x:c>
      <x:c r="O174" s="10" t="str">
        <x:v>Ajouter la correspondance profil → acteur → source. Relever les capacités, modèle et animations ; vérifier le spawn, les identités et la fidélité du preset.</x:v>
      </x:c>
      <x:c r="P174" s="10" t="str">
        <x:v>Proposition : classe de chasseur vétéran ; conserver ses règles de jeu et un arsenal dédié.</x:v>
      </x:c>
      <x:c r="Q174" s="10" t="str">
        <x:v>Classe mécanique, pas âge de 150 ans. Identité Elder PHG ↔ Greyback non établie par cette source ; aucun nouvel individu ni nouvelle race n’est déduit. Les ajouts à un groupe remplacent des places allouées. Réserves finies ; aucun renfort créé hors budget.</x:v>
      </x:c>
      <x:c r="R174" s="10" t="str">
        <x:v>Relations et opposition à définir dans le scénario de cette œuvre. Toute rencontre X/Y/H non attestée est une adaptation originale explicitement choisie.</x:v>
      </x:c>
      <x:c r="S174" s="10" t="str">
        <x:v>Lieu de l’œuvre à sélectionner et à documenter ; aucune nouvelle carte construite n’est revendiquée.</x:v>
      </x:c>
      <x:c r="T174" s="10" t="str">
        <x:v>Classe mécanique, pas âge de 150 ans. Identité Elder PHG ↔ Greyback non établie par cette source ; aucun nouvel individu ni nouvelle race n’est déduit.</x:v>
      </x:c>
      <x:c r="U174" s="10" t="str">
        <x:v>P1</x:v>
      </x:c>
    </x:row>
    <x:row r="175" ht="60" hidden="0" customHeight="1">
      <x:c r="A175" s="9" t="str">
        <x:v>HUM-042</x:v>
      </x:c>
      <x:c r="B175" s="9" t="str">
        <x:v>Synthétiques</x:v>
      </x:c>
      <x:c r="C175" s="9" t="str">
        <x:v>Synth Warden — AFE1</x:v>
      </x:c>
      <x:c r="D175" s="9" t="str">
        <x:v>Sous-type synthétique de jeu</x:v>
      </x:c>
      <x:c r="E175" s="9" t="str">
        <x:v>preset de l’œuvre ; acteur dédié à implémenter</x:v>
      </x:c>
      <x:c r="F175" s="9" t="str">
        <x:v>Aliens: Fireteam Elite</x:v>
      </x:c>
      <x:c r="G175" s="9" t="str">
        <x:v>Jeu</x:v>
      </x:c>
      <x:c r="H175" s="9" t="str">
        <x:v>Aliens: Fireteam Elite</x:v>
      </x:c>
      <x:c r="I175" s="9" t="str">
        <x:v>Confirmé pour le fait cité ; autres détails à vérifier</x:v>
      </x:c>
      <x:c r="J175" s="9" t="str">
        <x:v>Les notes citent Synth Warden.</x:v>
      </x:c>
      <x:c r="K175" s="9" t="str">
        <x:v>H2-S01 — Cold Iron Studios — notes de version AFE1
Source primaire officielle
Portée : Confirme Maintenance Synth et Synth Warden. Les capacités des autres variantes ne sont pas attestées par cette page.</x:v>
      </x:c>
      <x:c r="L175" s="22" t="str">
        <x:v>https://www.aliensfireteamelite.com/en/releasenotes/</x:v>
      </x:c>
      <x:c r="M175" s="9" t="str">
        <x:v>Absent du catalogue source de 115 fiches. Pas de type de combat spécialisé vérifié ; les profils génériques existants ne suffisent pas.</x:v>
      </x:c>
      <x:c r="N175"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75" s="9" t="str">
        <x:v>Ajouter la correspondance profil → acteur → source. Relever les capacités, modèle et animations ; vérifier le spawn, les identités et la fidélité du preset.</x:v>
      </x:c>
      <x:c r="P175" s="9" t="str">
        <x:v>Chef de groupe proposé : ordres, grenades et maintien de ligne à vérifier avant fidélité.</x:v>
      </x:c>
      <x:c r="Q175" s="9" t="str">
        <x:v>Preset AFE1 ; ne pas fusionner avec le Warden xénomorphe AFE2. Les ajouts à un groupe remplacent des places allouées. Réserves finies ; aucun renfort créé hors budget.</x:v>
      </x:c>
      <x:c r="R175" s="9" t="str">
        <x:v>Relations et opposition à définir dans le scénario de cette œuvre. Toute rencontre X/Y/H non attestée est une adaptation originale explicitement choisie.</x:v>
      </x:c>
      <x:c r="S175" s="9" t="str">
        <x:v>Lieu de l’œuvre à sélectionner et à documenter ; aucune nouvelle carte construite n’est revendiquée.</x:v>
      </x:c>
      <x:c r="T175" s="9" t="str">
        <x:v>Preset AFE1 ; ne pas fusionner avec le Warden xénomorphe AFE2.</x:v>
      </x:c>
      <x:c r="U175" s="9" t="str">
        <x:v>P1</x:v>
      </x:c>
    </x:row>
    <x:row r="176" ht="60" hidden="0" customHeight="1">
      <x:c r="A176" s="10" t="str">
        <x:v>HUM-043</x:v>
      </x:c>
      <x:c r="B176" s="10" t="str">
        <x:v>Synthétiques</x:v>
      </x:c>
      <x:c r="C176" s="10" t="str">
        <x:v>Maintenance Synth — AFE1</x:v>
      </x:c>
      <x:c r="D176" s="10" t="str">
        <x:v>Sous-type synthétique de maintenance</x:v>
      </x:c>
      <x:c r="E176" s="10" t="str">
        <x:v>preset de l’œuvre ; acteur dédié à implémenter</x:v>
      </x:c>
      <x:c r="F176" s="10" t="str">
        <x:v>Aliens: Fireteam Elite</x:v>
      </x:c>
      <x:c r="G176" s="10" t="str">
        <x:v>Jeu</x:v>
      </x:c>
      <x:c r="H176" s="10" t="str">
        <x:v>Aliens: Fireteam Elite</x:v>
      </x:c>
      <x:c r="I176" s="10" t="str">
        <x:v>Confirmé pour le fait cité ; autres détails à vérifier</x:v>
      </x:c>
      <x:c r="J176" s="10" t="str">
        <x:v>Les notes identifient Maintenance Synth parmi les ennemis.</x:v>
      </x:c>
      <x:c r="K176" s="10" t="str">
        <x:v>H2-S01 — Cold Iron Studios — notes de version AFE1
Source primaire officielle
Portée : Confirme Maintenance Synth et Synth Warden. Les capacités des autres variantes ne sont pas attestées par cette page.</x:v>
      </x:c>
      <x:c r="L176" s="23" t="str">
        <x:v>https://www.aliensfireteamelite.com/en/releasenotes/</x:v>
      </x:c>
      <x:c r="M176" s="10" t="str">
        <x:v>Absent du catalogue source de 115 fiches. Pas de type de combat spécialisé vérifié ; les profils génériques existants ne suffisent pas.</x:v>
      </x:c>
      <x:c r="N176"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76" s="10" t="str">
        <x:v>Ajouter la correspondance profil → acteur → source. Relever les capacités, modèle et animations ; vérifier le spawn, les identités et la fidélité du preset.</x:v>
      </x:c>
      <x:c r="P176" s="10" t="str">
        <x:v>Unité de maintenance reprogrammée ; comportement de proximité proposé.</x:v>
      </x:c>
      <x:c r="Q176" s="10" t="str">
        <x:v>Preset AFE1 ; le Working Joe d’Isolation ne prouve pas automatiquement toutes les variantes AFE1. Les ajouts à un groupe remplacent des places allouées. Réserves finies ; aucun renfort créé hors budget.</x:v>
      </x:c>
      <x:c r="R176" s="10" t="str">
        <x:v>Relations et opposition à définir dans le scénario de cette œuvre. Toute rencontre X/Y/H non attestée est une adaptation originale explicitement choisie.</x:v>
      </x:c>
      <x:c r="S176" s="10" t="str">
        <x:v>Lieu de l’œuvre à sélectionner et à documenter ; aucune nouvelle carte construite n’est revendiquée.</x:v>
      </x:c>
      <x:c r="T176" s="10" t="str">
        <x:v>Preset AFE1 ; le Working Joe d’Isolation ne prouve pas automatiquement toutes les variantes AFE1.</x:v>
      </x:c>
      <x:c r="U176" s="10" t="str">
        <x:v>P1</x:v>
      </x:c>
    </x:row>
    <x:row r="177" ht="60" hidden="0" customHeight="1">
      <x:c r="A177" s="9" t="str">
        <x:v>HUM-044</x:v>
      </x:c>
      <x:c r="B177" s="9" t="str">
        <x:v>Synthétiques</x:v>
      </x:c>
      <x:c r="C177" s="9" t="str">
        <x:v>Alpha et Beta — soutien allié</x:v>
      </x:c>
      <x:c r="D177" s="9" t="str">
        <x:v>Synthétiques nommés / compagnons</x:v>
      </x:c>
      <x:c r="E177" s="9" t="str">
        <x:v>cadre ou groupe nommé ; membres et décompte à définir</x:v>
      </x:c>
      <x:c r="F177" s="9" t="str">
        <x:v>Aliens: Fireteam Elite</x:v>
      </x:c>
      <x:c r="G177" s="9" t="str">
        <x:v>Jeu</x:v>
      </x:c>
      <x:c r="H177" s="9" t="str">
        <x:v>Aliens: Fireteam Elite</x:v>
      </x:c>
      <x:c r="I177" s="9" t="str">
        <x:v>Confirmé pour le fait cité ; autres détails à vérifier</x:v>
      </x:c>
      <x:c r="J177" s="9" t="str">
        <x:v>Alpha et Beta sont des compagnons synthétiques.</x:v>
      </x:c>
      <x:c r="K177" s="9" t="str">
        <x:v>H2-S02 — Cold Iron Studios — mise à jour octobre 2023
Source primaire officielle
Portée : Confirme les synthétiques alliés Alpha et Beta.</x:v>
      </x:c>
      <x:c r="L177" s="22" t="str">
        <x:v>https://www.aliensfireteamelite.com/en/october-2023-patch-notes/</x:v>
      </x:c>
      <x:c r="M177" s="9" t="str">
        <x:v>Absent du catalogue source de 115 fiches. Pas de type de combat spécialisé vérifié ; les profils génériques existants ne suffisent pas.</x:v>
      </x:c>
      <x:c r="N177"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77" s="9" t="str">
        <x:v>Ajouter la correspondance profil → acteur → source. Relever les capacités, modèle et animations ; vérifier le spawn, les identités et la fidélité du preset.</x:v>
      </x:c>
      <x:c r="P177" s="9" t="str">
        <x:v>Soutien de section proposé ; soin et relevage à adapter.</x:v>
      </x:c>
      <x:c r="Q177" s="9" t="str">
        <x:v>Deux identités suivies ; alliés, pas réserve d’ennemis WY et pas clones illimités. Les ajouts à un groupe remplacent des places allouées. Réserves finies ; aucun renfort créé hors budget.</x:v>
      </x:c>
      <x:c r="R177" s="9" t="str">
        <x:v>Relations et opposition à définir dans le scénario de cette œuvre. Toute rencontre X/Y/H non attestée est une adaptation originale explicitement choisie.</x:v>
      </x:c>
      <x:c r="S177" s="9" t="str">
        <x:v>Lieu de l’œuvre à sélectionner et à documenter ; aucune nouvelle carte construite n’est revendiquée.</x:v>
      </x:c>
      <x:c r="T177" s="9" t="str">
        <x:v>Deux identités suivies ; alliés, pas réserve d’ennemis WY et pas clones illimités.</x:v>
      </x:c>
      <x:c r="U177" s="9" t="str">
        <x:v>P2</x:v>
      </x:c>
    </x:row>
    <x:row r="178" ht="60" hidden="0" customHeight="1">
      <x:c r="A178" s="10" t="str">
        <x:v>HUM-045</x:v>
      </x:c>
      <x:c r="B178" s="10" t="str">
        <x:v>Synthétiques</x:v>
      </x:c>
      <x:c r="C178" s="10" t="str">
        <x:v>Synth Enforcer — AFE2</x:v>
      </x:c>
      <x:c r="D178" s="10" t="str">
        <x:v>Sous-type synthétique de jeu</x:v>
      </x:c>
      <x:c r="E178" s="10" t="str">
        <x:v>preset de l’œuvre ; acteur dédié à implémenter</x:v>
      </x:c>
      <x:c r="F178" s="10" t="str">
        <x:v>Aliens: Fireteam Elite 2</x:v>
      </x:c>
      <x:c r="G178" s="10" t="str">
        <x:v>Jeu</x:v>
      </x:c>
      <x:c r="H178" s="10" t="str">
        <x:v>Aliens: Fireteam Elite 2</x:v>
      </x:c>
      <x:c r="I178" s="10" t="str">
        <x:v>Confirmé pour le fait cité ; autres détails à vérifier</x:v>
      </x:c>
      <x:c r="J178" s="10" t="str">
        <x:v>Le patch officiel nomme Synth Enforcer.</x:v>
      </x:c>
      <x:c r="K178" s="10" t="str">
        <x:v>H2-S03 — Daybreak / Cold Iron — AFE2 patch du 22 octobre 2026
Source primaire officielle
Portée : Confirme Synth Enforcer, Synth Detonator et Flamer synth ; ne fournit pas un bestiaire complet ni leur affiliation précise. Warden sans préfixe synth est un xénomorphe AFE2.</x:v>
      </x:c>
      <x:c r="L178" s="23" t="str">
        <x:v>https://www.daybreakgames.com/press/afe2/article/afe2-102226-patchnotes</x:v>
      </x:c>
      <x:c r="M178" s="10" t="str">
        <x:v>Absent du catalogue source de 115 fiches. Pas de type de combat spécialisé vérifié ; les profils génériques existants ne suffisent pas.</x:v>
      </x:c>
      <x:c r="N178"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78" s="10" t="str">
        <x:v>Ajouter la correspondance profil → acteur → source. Relever les capacités, modèle et animations ; vérifier le spawn, les identités et la fidélité du preset.</x:v>
      </x:c>
      <x:c r="P178" s="10" t="str">
        <x:v>Profil de combat distinct à définir après relevé du codex du jeu.</x:v>
      </x:c>
      <x:c r="Q178" s="10" t="str">
        <x:v>Preset AFE2 ; existence confirmée, armement, affiliation et statistiques non extrapolés du nom. Les ajouts à un groupe remplacent des places allouées. Réserves finies ; aucun renfort créé hors budget.</x:v>
      </x:c>
      <x:c r="R178" s="10" t="str">
        <x:v>Relations et opposition à définir dans le scénario de cette œuvre. Toute rencontre X/Y/H non attestée est une adaptation originale explicitement choisie.</x:v>
      </x:c>
      <x:c r="S178" s="10" t="str">
        <x:v>Lieu et scène de Fireteam Elite 2 à documenter. Ne pas transférer automatiquement ces profils sur LV-895 du premier jeu.</x:v>
      </x:c>
      <x:c r="T178" s="10" t="str">
        <x:v>Preset AFE2 ; existence confirmée, armement, affiliation et statistiques non extrapolés du nom.</x:v>
      </x:c>
      <x:c r="U178" s="10" t="str">
        <x:v>P1</x:v>
      </x:c>
    </x:row>
    <x:row r="179" ht="60" hidden="0" customHeight="1">
      <x:c r="A179" s="9" t="str">
        <x:v>HUM-046</x:v>
      </x:c>
      <x:c r="B179" s="9" t="str">
        <x:v>Synthétiques</x:v>
      </x:c>
      <x:c r="C179" s="9" t="str">
        <x:v>Flamer synth — AFE2</x:v>
      </x:c>
      <x:c r="D179" s="9" t="str">
        <x:v>Sous-type synthétique de jeu</x:v>
      </x:c>
      <x:c r="E179" s="9" t="str">
        <x:v>preset de l’œuvre ; acteur dédié à implémenter</x:v>
      </x:c>
      <x:c r="F179" s="9" t="str">
        <x:v>Aliens: Fireteam Elite 2</x:v>
      </x:c>
      <x:c r="G179" s="9" t="str">
        <x:v>Jeu</x:v>
      </x:c>
      <x:c r="H179" s="9" t="str">
        <x:v>Aliens: Fireteam Elite 2</x:v>
      </x:c>
      <x:c r="I179" s="9" t="str">
        <x:v>Confirmé pour le fait cité ; autres détails à vérifier</x:v>
      </x:c>
      <x:c r="J179" s="9" t="str">
        <x:v>Le patch officiel nomme Flamer synth.</x:v>
      </x:c>
      <x:c r="K179" s="9" t="str">
        <x:v>H2-S03 — Daybreak / Cold Iron — AFE2 patch du 22 octobre 2026
Source primaire officielle
Portée : Confirme Synth Enforcer, Synth Detonator et Flamer synth ; ne fournit pas un bestiaire complet ni leur affiliation précise. Warden sans préfixe synth est un xénomorphe AFE2.</x:v>
      </x:c>
      <x:c r="L179" s="22" t="str">
        <x:v>https://www.daybreakgames.com/press/afe2/article/afe2-102226-patchnotes</x:v>
      </x:c>
      <x:c r="M179" s="9" t="str">
        <x:v>Absent du catalogue source de 115 fiches. Pas de type de combat spécialisé vérifié ; les profils génériques existants ne suffisent pas.</x:v>
      </x:c>
      <x:c r="N179"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79" s="9" t="str">
        <x:v>Ajouter la correspondance profil → acteur → source. Relever les capacités, modèle et animations ; vérifier le spawn, les identités et la fidélité du preset.</x:v>
      </x:c>
      <x:c r="P179" s="9" t="str">
        <x:v>Profil de combat distinct à définir après relevé du codex du jeu.</x:v>
      </x:c>
      <x:c r="Q179" s="9" t="str">
        <x:v>Preset AFE2 ; existence confirmée, armement, affiliation et statistiques non extrapolés du nom. Les ajouts à un groupe remplacent des places allouées. Réserves finies ; aucun renfort créé hors budget.</x:v>
      </x:c>
      <x:c r="R179" s="9" t="str">
        <x:v>Relations et opposition à définir dans le scénario de cette œuvre. Toute rencontre X/Y/H non attestée est une adaptation originale explicitement choisie.</x:v>
      </x:c>
      <x:c r="S179" s="9" t="str">
        <x:v>Lieu et scène de Fireteam Elite 2 à documenter. Ne pas transférer automatiquement ces profils sur LV-895 du premier jeu.</x:v>
      </x:c>
      <x:c r="T179" s="9" t="str">
        <x:v>Preset AFE2 ; existence confirmée, armement, affiliation et statistiques non extrapolés du nom.</x:v>
      </x:c>
      <x:c r="U179" s="9" t="str">
        <x:v>P1</x:v>
      </x:c>
    </x:row>
    <x:row r="180" ht="60" hidden="0" customHeight="1">
      <x:c r="A180" s="10" t="str">
        <x:v>HUM-047</x:v>
      </x:c>
      <x:c r="B180" s="10" t="str">
        <x:v>Synthétiques</x:v>
      </x:c>
      <x:c r="C180" s="10" t="str">
        <x:v>Synth Detonator — AFE2</x:v>
      </x:c>
      <x:c r="D180" s="10" t="str">
        <x:v>Sous-type synthétique de jeu</x:v>
      </x:c>
      <x:c r="E180" s="10" t="str">
        <x:v>preset de l’œuvre ; acteur dédié à implémenter</x:v>
      </x:c>
      <x:c r="F180" s="10" t="str">
        <x:v>Aliens: Fireteam Elite 2</x:v>
      </x:c>
      <x:c r="G180" s="10" t="str">
        <x:v>Jeu</x:v>
      </x:c>
      <x:c r="H180" s="10" t="str">
        <x:v>Aliens: Fireteam Elite 2</x:v>
      </x:c>
      <x:c r="I180" s="10" t="str">
        <x:v>Confirmé pour le fait cité ; autres détails à vérifier</x:v>
      </x:c>
      <x:c r="J180" s="10" t="str">
        <x:v>Le patch officiel nomme Synth Detonator.</x:v>
      </x:c>
      <x:c r="K180" s="10" t="str">
        <x:v>H2-S03 — Daybreak / Cold Iron — AFE2 patch du 22 octobre 2026
Source primaire officielle
Portée : Confirme Synth Enforcer, Synth Detonator et Flamer synth ; ne fournit pas un bestiaire complet ni leur affiliation précise. Warden sans préfixe synth est un xénomorphe AFE2.</x:v>
      </x:c>
      <x:c r="L180" s="23" t="str">
        <x:v>https://www.daybreakgames.com/press/afe2/article/afe2-102226-patchnotes</x:v>
      </x:c>
      <x:c r="M180" s="10" t="str">
        <x:v>Absent du catalogue source de 115 fiches. Pas de type de combat spécialisé vérifié ; les profils génériques existants ne suffisent pas.</x:v>
      </x:c>
      <x:c r="N180"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80" s="10" t="str">
        <x:v>Ajouter la correspondance profil → acteur → source. Relever les capacités, modèle et animations ; vérifier le spawn, les identités et la fidélité du preset.</x:v>
      </x:c>
      <x:c r="P180" s="10" t="str">
        <x:v>Profil de combat distinct à définir après relevé du codex du jeu.</x:v>
      </x:c>
      <x:c r="Q180" s="10" t="str">
        <x:v>Preset AFE2 ; existence confirmée, armement, affiliation et statistiques non extrapolés du nom. Les ajouts à un groupe remplacent des places allouées. Réserves finies ; aucun renfort créé hors budget.</x:v>
      </x:c>
      <x:c r="R180" s="10" t="str">
        <x:v>Relations et opposition à définir dans le scénario de cette œuvre. Toute rencontre X/Y/H non attestée est une adaptation originale explicitement choisie.</x:v>
      </x:c>
      <x:c r="S180" s="10" t="str">
        <x:v>Lieu et scène de Fireteam Elite 2 à documenter. Ne pas transférer automatiquement ces profils sur LV-895 du premier jeu.</x:v>
      </x:c>
      <x:c r="T180" s="10" t="str">
        <x:v>Preset AFE2 ; existence confirmée, armement, affiliation et statistiques non extrapolés du nom.</x:v>
      </x:c>
      <x:c r="U180" s="10" t="str">
        <x:v>P1</x:v>
      </x:c>
    </x:row>
    <x:row r="181" ht="60" hidden="0" customHeight="1">
      <x:c r="A181" s="9" t="str">
        <x:v>HUM-048</x:v>
      </x:c>
      <x:c r="B181" s="9" t="str">
        <x:v>Synthétiques</x:v>
      </x:c>
      <x:c r="C181" s="9" t="str">
        <x:v>Synth Trooper — AFE2</x:v>
      </x:c>
      <x:c r="D181" s="9" t="str">
        <x:v>Sous-type synthétique de jeu</x:v>
      </x:c>
      <x:c r="E181" s="9" t="str">
        <x:v>preset de l’œuvre ; acteur dédié à implémenter</x:v>
      </x:c>
      <x:c r="F181" s="9" t="str">
        <x:v>Aliens: Fireteam Elite 2</x:v>
      </x:c>
      <x:c r="G181" s="9" t="str">
        <x:v>Jeu</x:v>
      </x:c>
      <x:c r="H181" s="9" t="str">
        <x:v>Aliens: Fireteam Elite 2</x:v>
      </x:c>
      <x:c r="I181" s="9" t="str">
        <x:v>Confirmé pour le fait cité ; autres détails à vérifier</x:v>
      </x:c>
      <x:c r="J181" s="9" t="str">
        <x:v>Le patch officiel nomme Synth Trooper.</x:v>
      </x:c>
      <x:c r="K181" s="9" t="str">
        <x:v>H2-S04 — Daybreak / Cold Iron — AFE2 patch du 17 septembre 2026
Source primaire officielle
Portée : Confirme Synth Trooper, Synth Sniper, plusieurs classes et leurs dispositifs.</x:v>
      </x:c>
      <x:c r="L181" s="22" t="str">
        <x:v>https://www.daybreakgames.com/press/afe2/article/afe2-91726-patchnotes</x:v>
      </x:c>
      <x:c r="M181" s="9" t="str">
        <x:v>Absent du catalogue source de 115 fiches. Pas de type de combat spécialisé vérifié ; les profils génériques existants ne suffisent pas.</x:v>
      </x:c>
      <x:c r="N181"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81" s="9" t="str">
        <x:v>Ajouter la correspondance profil → acteur → source. Relever les capacités, modèle et animations ; vérifier le spawn, les identités et la fidélité du preset.</x:v>
      </x:c>
      <x:c r="P181" s="9" t="str">
        <x:v>Profil de combat distinct à définir après relevé du codex du jeu.</x:v>
      </x:c>
      <x:c r="Q181" s="9" t="str">
        <x:v>Preset AFE2 ; existence confirmée, armement, affiliation et statistiques non extrapolés du nom. Les ajouts à un groupe remplacent des places allouées. Réserves finies ; aucun renfort créé hors budget.</x:v>
      </x:c>
      <x:c r="R181" s="9" t="str">
        <x:v>Relations et opposition à définir dans le scénario de cette œuvre. Toute rencontre X/Y/H non attestée est une adaptation originale explicitement choisie.</x:v>
      </x:c>
      <x:c r="S181" s="9" t="str">
        <x:v>Lieu et scène de Fireteam Elite 2 à documenter. Ne pas transférer automatiquement ces profils sur LV-895 du premier jeu.</x:v>
      </x:c>
      <x:c r="T181" s="9" t="str">
        <x:v>Preset AFE2 ; existence confirmée, armement, affiliation et statistiques non extrapolés du nom.</x:v>
      </x:c>
      <x:c r="U181" s="9" t="str">
        <x:v>P1</x:v>
      </x:c>
    </x:row>
    <x:row r="182" ht="60" hidden="0" customHeight="1">
      <x:c r="A182" s="10" t="str">
        <x:v>HUM-049</x:v>
      </x:c>
      <x:c r="B182" s="10" t="str">
        <x:v>Synthétiques</x:v>
      </x:c>
      <x:c r="C182" s="10" t="str">
        <x:v>Synth Sniper — AFE2</x:v>
      </x:c>
      <x:c r="D182" s="10" t="str">
        <x:v>Sous-type synthétique de jeu</x:v>
      </x:c>
      <x:c r="E182" s="10" t="str">
        <x:v>preset de l’œuvre ; acteur dédié à implémenter</x:v>
      </x:c>
      <x:c r="F182" s="10" t="str">
        <x:v>Aliens: Fireteam Elite 2</x:v>
      </x:c>
      <x:c r="G182" s="10" t="str">
        <x:v>Jeu</x:v>
      </x:c>
      <x:c r="H182" s="10" t="str">
        <x:v>Aliens: Fireteam Elite 2</x:v>
      </x:c>
      <x:c r="I182" s="10" t="str">
        <x:v>Confirmé pour le fait cité ; autres détails à vérifier</x:v>
      </x:c>
      <x:c r="J182" s="10" t="str">
        <x:v>Le patch officiel nomme Synth Sniper.</x:v>
      </x:c>
      <x:c r="K182" s="10" t="str">
        <x:v>H2-S04 — Daybreak / Cold Iron — AFE2 patch du 17 septembre 2026
Source primaire officielle
Portée : Confirme Synth Trooper, Synth Sniper, plusieurs classes et leurs dispositifs.</x:v>
      </x:c>
      <x:c r="L182" s="23" t="str">
        <x:v>https://www.daybreakgames.com/press/afe2/article/afe2-91726-patchnotes</x:v>
      </x:c>
      <x:c r="M182" s="10" t="str">
        <x:v>Absent du catalogue source de 115 fiches. Pas de type de combat spécialisé vérifié ; les profils génériques existants ne suffisent pas.</x:v>
      </x:c>
      <x:c r="N182"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82" s="10" t="str">
        <x:v>Ajouter la correspondance profil → acteur → source. Relever les capacités, modèle et animations ; vérifier le spawn, les identités et la fidélité du preset.</x:v>
      </x:c>
      <x:c r="P182" s="10" t="str">
        <x:v>Profil de combat distinct à définir après relevé du codex du jeu.</x:v>
      </x:c>
      <x:c r="Q182" s="10" t="str">
        <x:v>Preset AFE2 ; existence confirmée, armement, affiliation et statistiques non extrapolés du nom. Les ajouts à un groupe remplacent des places allouées. Réserves finies ; aucun renfort créé hors budget.</x:v>
      </x:c>
      <x:c r="R182" s="10" t="str">
        <x:v>Relations et opposition à définir dans le scénario de cette œuvre. Toute rencontre X/Y/H non attestée est une adaptation originale explicitement choisie.</x:v>
      </x:c>
      <x:c r="S182" s="10" t="str">
        <x:v>Lieu et scène de Fireteam Elite 2 à documenter. Ne pas transférer automatiquement ces profils sur LV-895 du premier jeu.</x:v>
      </x:c>
      <x:c r="T182" s="10" t="str">
        <x:v>Preset AFE2 ; existence confirmée, armement, affiliation et statistiques non extrapolés du nom.</x:v>
      </x:c>
      <x:c r="U182" s="10" t="str">
        <x:v>P1</x:v>
      </x:c>
    </x:row>
    <x:row r="183" ht="72" hidden="0" customHeight="1">
      <x:c r="A183" s="9" t="str">
        <x:v>HUM-050</x:v>
      </x:c>
      <x:c r="B183" s="9" t="str">
        <x:v>Humains</x:v>
      </x:c>
      <x:c r="C183" s="9" t="str">
        <x:v>Marauder — AFE2</x:v>
      </x:c>
      <x:c r="D183" s="9" t="str">
        <x:v>Classe de jeu de Colonial Marine</x:v>
      </x:c>
      <x:c r="E183" s="9" t="str">
        <x:v>preset de l’œuvre ; acteur dédié à implémenter</x:v>
      </x:c>
      <x:c r="F183" s="9" t="str">
        <x:v>Aliens: Fireteam Elite 2</x:v>
      </x:c>
      <x:c r="G183" s="9" t="str">
        <x:v>Jeu</x:v>
      </x:c>
      <x:c r="H183" s="9" t="str">
        <x:v>Aliens: Fireteam Elite 2</x:v>
      </x:c>
      <x:c r="I183" s="9" t="str">
        <x:v>Confirmé pour le fait cité ; autres détails à vérifier</x:v>
      </x:c>
      <x:c r="J183" s="9" t="str">
        <x:v>Marauder figure dans les notes officielles.</x:v>
      </x:c>
      <x:c r="K183" s="9" t="str">
        <x:v>H2-S05 — Daybreak / Cold Iron — AFE2 patch du 25 août 2026
Source primaire officielle
Portée : Confirme les six classes et Bodyguard. Utilisé pour existence et dénomination ; aucune valeur de combat copiée.</x:v>
      </x:c>
      <x:c r="L183" s="22" t="str">
        <x:v>https://www.daybreakgames.com/press/afe2/article/afe2-82526-patchnotes</x:v>
      </x:c>
      <x:c r="M183" s="9" t="str">
        <x:v>Absent du catalogue source de 115 fiches. Pas de type de combat spécialisé vérifié ; les profils génériques existants ne suffisent pas.</x:v>
      </x:c>
      <x:c r="N183"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3" s="9" t="str">
        <x:v>Ajouter la correspondance profil → acteur → source. Relever les capacités, modèle et animations ; vérifier le spawn, les identités et la fidélité du preset.</x:v>
      </x:c>
      <x:c r="P183" s="9" t="str">
        <x:v>Spécialité de section proposée ; adapter le kit au commandement de bataille.</x:v>
      </x:c>
      <x:c r="Q183" s="9" t="str">
        <x:v>Classe, pas caste biologique ; rôle ennemi seulement dans un scénario explicite. Pas de bonus du jeu présenté comme loi du lore. Les ajouts à un groupe remplacent des places allouées. Réserves finies ; aucun renfort créé hors budget.</x:v>
      </x:c>
      <x:c r="R183" s="9" t="str">
        <x:v>Relations et opposition à définir dans le scénario de cette œuvre. Toute rencontre X/Y/H non attestée est une adaptation originale explicitement choisie.</x:v>
      </x:c>
      <x:c r="S183" s="9" t="str">
        <x:v>Lieu et scène de Fireteam Elite 2 à documenter. Ne pas transférer automatiquement ces profils sur LV-895 du premier jeu.</x:v>
      </x:c>
      <x:c r="T183" s="9" t="str">
        <x:v>Classe, pas caste biologique ; rôle ennemi seulement dans un scénario explicite. Pas de bonus du jeu présenté comme loi du lore.</x:v>
      </x:c>
      <x:c r="U183" s="9" t="str">
        <x:v>P2</x:v>
      </x:c>
    </x:row>
    <x:row r="184" ht="72" hidden="0" customHeight="1">
      <x:c r="A184" s="10" t="str">
        <x:v>HUM-051</x:v>
      </x:c>
      <x:c r="B184" s="10" t="str">
        <x:v>Humains</x:v>
      </x:c>
      <x:c r="C184" s="10" t="str">
        <x:v>Machinist — AFE2</x:v>
      </x:c>
      <x:c r="D184" s="10" t="str">
        <x:v>Classe de jeu de Colonial Marine</x:v>
      </x:c>
      <x:c r="E184" s="10" t="str">
        <x:v>preset de l’œuvre ; acteur dédié à implémenter</x:v>
      </x:c>
      <x:c r="F184" s="10" t="str">
        <x:v>Aliens: Fireteam Elite 2</x:v>
      </x:c>
      <x:c r="G184" s="10" t="str">
        <x:v>Jeu</x:v>
      </x:c>
      <x:c r="H184" s="10" t="str">
        <x:v>Aliens: Fireteam Elite 2</x:v>
      </x:c>
      <x:c r="I184" s="10" t="str">
        <x:v>Confirmé pour le fait cité ; autres détails à vérifier</x:v>
      </x:c>
      <x:c r="J184" s="10" t="str">
        <x:v>Machinist figure dans les notes officielles.</x:v>
      </x:c>
      <x:c r="K184" s="10" t="str">
        <x:v>H2-S05 — Daybreak / Cold Iron — AFE2 patch du 25 août 2026
Source primaire officielle
Portée : Confirme les six classes et Bodyguard. Utilisé pour existence et dénomination ; aucune valeur de combat copiée.</x:v>
      </x:c>
      <x:c r="L184" s="23" t="str">
        <x:v>https://www.daybreakgames.com/press/afe2/article/afe2-82526-patchnotes</x:v>
      </x:c>
      <x:c r="M184" s="10" t="str">
        <x:v>Absent du catalogue source de 115 fiches. Pas de type de combat spécialisé vérifié ; les profils génériques existants ne suffisent pas.</x:v>
      </x:c>
      <x:c r="N184"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4" s="10" t="str">
        <x:v>Ajouter la correspondance profil → acteur → source. Relever les capacités, modèle et animations ; vérifier le spawn, les identités et la fidélité du preset.</x:v>
      </x:c>
      <x:c r="P184" s="10" t="str">
        <x:v>Spécialité de section proposée ; adapter le kit au commandement de bataille.</x:v>
      </x:c>
      <x:c r="Q184" s="10" t="str">
        <x:v>Classe, pas caste biologique ; rôle ennemi seulement dans un scénario explicite. Pas de bonus du jeu présenté comme loi du lore. Les ajouts à un groupe remplacent des places allouées. Réserves finies ; aucun renfort créé hors budget.</x:v>
      </x:c>
      <x:c r="R184" s="10" t="str">
        <x:v>Relations et opposition à définir dans le scénario de cette œuvre. Toute rencontre X/Y/H non attestée est une adaptation originale explicitement choisie.</x:v>
      </x:c>
      <x:c r="S184" s="10" t="str">
        <x:v>Lieu et scène de Fireteam Elite 2 à documenter. Ne pas transférer automatiquement ces profils sur LV-895 du premier jeu.</x:v>
      </x:c>
      <x:c r="T184" s="10" t="str">
        <x:v>Classe, pas caste biologique ; rôle ennemi seulement dans un scénario explicite. Pas de bonus du jeu présenté comme loi du lore.</x:v>
      </x:c>
      <x:c r="U184" s="10" t="str">
        <x:v>P2</x:v>
      </x:c>
    </x:row>
    <x:row r="185" ht="72" hidden="0" customHeight="1">
      <x:c r="A185" s="9" t="str">
        <x:v>HUM-052</x:v>
      </x:c>
      <x:c r="B185" s="9" t="str">
        <x:v>Humains</x:v>
      </x:c>
      <x:c r="C185" s="9" t="str">
        <x:v>Duelist — AFE2</x:v>
      </x:c>
      <x:c r="D185" s="9" t="str">
        <x:v>Classe de jeu de Colonial Marine</x:v>
      </x:c>
      <x:c r="E185" s="9" t="str">
        <x:v>preset de l’œuvre ; acteur dédié à implémenter</x:v>
      </x:c>
      <x:c r="F185" s="9" t="str">
        <x:v>Aliens: Fireteam Elite 2</x:v>
      </x:c>
      <x:c r="G185" s="9" t="str">
        <x:v>Jeu</x:v>
      </x:c>
      <x:c r="H185" s="9" t="str">
        <x:v>Aliens: Fireteam Elite 2</x:v>
      </x:c>
      <x:c r="I185" s="9" t="str">
        <x:v>Confirmé pour le fait cité ; autres détails à vérifier</x:v>
      </x:c>
      <x:c r="J185" s="9" t="str">
        <x:v>Duelist figure dans les notes officielles.</x:v>
      </x:c>
      <x:c r="K185" s="9" t="str">
        <x:v>H2-S05 — Daybreak / Cold Iron — AFE2 patch du 25 août 2026
Source primaire officielle
Portée : Confirme les six classes et Bodyguard. Utilisé pour existence et dénomination ; aucune valeur de combat copiée.</x:v>
      </x:c>
      <x:c r="L185" s="22" t="str">
        <x:v>https://www.daybreakgames.com/press/afe2/article/afe2-82526-patchnotes</x:v>
      </x:c>
      <x:c r="M185" s="9" t="str">
        <x:v>Absent du catalogue source de 115 fiches. Pas de type de combat spécialisé vérifié ; les profils génériques existants ne suffisent pas.</x:v>
      </x:c>
      <x:c r="N185"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5" s="9" t="str">
        <x:v>Ajouter la correspondance profil → acteur → source. Relever les capacités, modèle et animations ; vérifier le spawn, les identités et la fidélité du preset.</x:v>
      </x:c>
      <x:c r="P185" s="9" t="str">
        <x:v>Spécialité de section proposée ; adapter le kit au commandement de bataille.</x:v>
      </x:c>
      <x:c r="Q185" s="9" t="str">
        <x:v>Classe, pas caste biologique ; rôle ennemi seulement dans un scénario explicite. Pas de bonus du jeu présenté comme loi du lore. Les ajouts à un groupe remplacent des places allouées. Réserves finies ; aucun renfort créé hors budget.</x:v>
      </x:c>
      <x:c r="R185" s="9" t="str">
        <x:v>Relations et opposition à définir dans le scénario de cette œuvre. Toute rencontre X/Y/H non attestée est une adaptation originale explicitement choisie.</x:v>
      </x:c>
      <x:c r="S185" s="9" t="str">
        <x:v>Lieu et scène de Fireteam Elite 2 à documenter. Ne pas transférer automatiquement ces profils sur LV-895 du premier jeu.</x:v>
      </x:c>
      <x:c r="T185" s="9" t="str">
        <x:v>Classe, pas caste biologique ; rôle ennemi seulement dans un scénario explicite. Pas de bonus du jeu présenté comme loi du lore.</x:v>
      </x:c>
      <x:c r="U185" s="9" t="str">
        <x:v>P2</x:v>
      </x:c>
    </x:row>
    <x:row r="186" ht="72" hidden="0" customHeight="1">
      <x:c r="A186" s="10" t="str">
        <x:v>HUM-053</x:v>
      </x:c>
      <x:c r="B186" s="10" t="str">
        <x:v>Humains</x:v>
      </x:c>
      <x:c r="C186" s="10" t="str">
        <x:v>Hunter — AFE2</x:v>
      </x:c>
      <x:c r="D186" s="10" t="str">
        <x:v>Classe de jeu de Colonial Marine</x:v>
      </x:c>
      <x:c r="E186" s="10" t="str">
        <x:v>preset de l’œuvre ; acteur dédié à implémenter</x:v>
      </x:c>
      <x:c r="F186" s="10" t="str">
        <x:v>Aliens: Fireteam Elite 2</x:v>
      </x:c>
      <x:c r="G186" s="10" t="str">
        <x:v>Jeu</x:v>
      </x:c>
      <x:c r="H186" s="10" t="str">
        <x:v>Aliens: Fireteam Elite 2</x:v>
      </x:c>
      <x:c r="I186" s="10" t="str">
        <x:v>Confirmé pour le fait cité ; autres détails à vérifier</x:v>
      </x:c>
      <x:c r="J186" s="10" t="str">
        <x:v>Hunter figure dans les notes officielles.</x:v>
      </x:c>
      <x:c r="K186" s="10" t="str">
        <x:v>H2-S05 — Daybreak / Cold Iron — AFE2 patch du 25 août 2026
Source primaire officielle
Portée : Confirme les six classes et Bodyguard. Utilisé pour existence et dénomination ; aucune valeur de combat copiée.</x:v>
      </x:c>
      <x:c r="L186" s="23" t="str">
        <x:v>https://www.daybreakgames.com/press/afe2/article/afe2-82526-patchnotes</x:v>
      </x:c>
      <x:c r="M186" s="10" t="str">
        <x:v>Absent du catalogue source de 115 fiches. Pas de type de combat spécialisé vérifié ; les profils génériques existants ne suffisent pas.</x:v>
      </x:c>
      <x:c r="N186"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6" s="10" t="str">
        <x:v>Ajouter la correspondance profil → acteur → source. Relever les capacités, modèle et animations ; vérifier le spawn, les identités et la fidélité du preset.</x:v>
      </x:c>
      <x:c r="P186" s="10" t="str">
        <x:v>Spécialité de section proposée ; adapter le kit au commandement de bataille.</x:v>
      </x:c>
      <x:c r="Q186" s="10" t="str">
        <x:v>Classe, pas caste biologique ; rôle ennemi seulement dans un scénario explicite. Pas de bonus du jeu présenté comme loi du lore. Les ajouts à un groupe remplacent des places allouées. Réserves finies ; aucun renfort créé hors budget.</x:v>
      </x:c>
      <x:c r="R186" s="10" t="str">
        <x:v>Relations et opposition à définir dans le scénario de cette œuvre. Toute rencontre X/Y/H non attestée est une adaptation originale explicitement choisie.</x:v>
      </x:c>
      <x:c r="S186" s="10" t="str">
        <x:v>Lieu et scène de Fireteam Elite 2 à documenter. Ne pas transférer automatiquement ces profils sur LV-895 du premier jeu.</x:v>
      </x:c>
      <x:c r="T186" s="10" t="str">
        <x:v>Classe, pas caste biologique ; rôle ennemi seulement dans un scénario explicite. Pas de bonus du jeu présenté comme loi du lore.</x:v>
      </x:c>
      <x:c r="U186" s="10" t="str">
        <x:v>P2</x:v>
      </x:c>
    </x:row>
    <x:row r="187" ht="72" hidden="0" customHeight="1">
      <x:c r="A187" s="9" t="str">
        <x:v>HUM-054</x:v>
      </x:c>
      <x:c r="B187" s="9" t="str">
        <x:v>Humains</x:v>
      </x:c>
      <x:c r="C187" s="9" t="str">
        <x:v>Medic — AFE2</x:v>
      </x:c>
      <x:c r="D187" s="9" t="str">
        <x:v>Classe de jeu de Colonial Marine</x:v>
      </x:c>
      <x:c r="E187" s="9" t="str">
        <x:v>preset de l’œuvre ; acteur dédié à implémenter</x:v>
      </x:c>
      <x:c r="F187" s="9" t="str">
        <x:v>Aliens: Fireteam Elite 2</x:v>
      </x:c>
      <x:c r="G187" s="9" t="str">
        <x:v>Jeu</x:v>
      </x:c>
      <x:c r="H187" s="9" t="str">
        <x:v>Aliens: Fireteam Elite 2</x:v>
      </x:c>
      <x:c r="I187" s="9" t="str">
        <x:v>Confirmé pour le fait cité ; autres détails à vérifier</x:v>
      </x:c>
      <x:c r="J187" s="9" t="str">
        <x:v>Medic figure dans les notes officielles.</x:v>
      </x:c>
      <x:c r="K187" s="9" t="str">
        <x:v>H2-S05 — Daybreak / Cold Iron — AFE2 patch du 25 août 2026
Source primaire officielle
Portée : Confirme les six classes et Bodyguard. Utilisé pour existence et dénomination ; aucune valeur de combat copiée.</x:v>
      </x:c>
      <x:c r="L187" s="22" t="str">
        <x:v>https://www.daybreakgames.com/press/afe2/article/afe2-82526-patchnotes</x:v>
      </x:c>
      <x:c r="M187" s="9" t="str">
        <x:v>Absent du catalogue source de 115 fiches. Pas de type de combat spécialisé vérifié ; les profils génériques existants ne suffisent pas.</x:v>
      </x:c>
      <x:c r="N187"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7" s="9" t="str">
        <x:v>Ajouter la correspondance profil → acteur → source. Relever les capacités, modèle et animations ; vérifier le spawn, les identités et la fidélité du preset.</x:v>
      </x:c>
      <x:c r="P187" s="9" t="str">
        <x:v>Spécialité de section proposée ; adapter le kit au commandement de bataille.</x:v>
      </x:c>
      <x:c r="Q187" s="9" t="str">
        <x:v>Classe, pas caste biologique ; rôle ennemi seulement dans un scénario explicite. Pas de bonus du jeu présenté comme loi du lore. Les ajouts à un groupe remplacent des places allouées. Réserves finies ; aucun renfort créé hors budget.</x:v>
      </x:c>
      <x:c r="R187" s="9" t="str">
        <x:v>Relations et opposition à définir dans le scénario de cette œuvre. Toute rencontre X/Y/H non attestée est une adaptation originale explicitement choisie.</x:v>
      </x:c>
      <x:c r="S187" s="9" t="str">
        <x:v>Lieu et scène de Fireteam Elite 2 à documenter. Ne pas transférer automatiquement ces profils sur LV-895 du premier jeu.</x:v>
      </x:c>
      <x:c r="T187" s="9" t="str">
        <x:v>Classe, pas caste biologique ; rôle ennemi seulement dans un scénario explicite. Pas de bonus du jeu présenté comme loi du lore.</x:v>
      </x:c>
      <x:c r="U187" s="9" t="str">
        <x:v>P2</x:v>
      </x:c>
    </x:row>
    <x:row r="188" ht="72" hidden="0" customHeight="1">
      <x:c r="A188" s="10" t="str">
        <x:v>HUM-055</x:v>
      </x:c>
      <x:c r="B188" s="10" t="str">
        <x:v>Humains</x:v>
      </x:c>
      <x:c r="C188" s="10" t="str">
        <x:v>Specialist — AFE2</x:v>
      </x:c>
      <x:c r="D188" s="10" t="str">
        <x:v>Classe de jeu de Colonial Marine</x:v>
      </x:c>
      <x:c r="E188" s="10" t="str">
        <x:v>preset de l’œuvre ; acteur dédié à implémenter</x:v>
      </x:c>
      <x:c r="F188" s="10" t="str">
        <x:v>Aliens: Fireteam Elite 2</x:v>
      </x:c>
      <x:c r="G188" s="10" t="str">
        <x:v>Jeu</x:v>
      </x:c>
      <x:c r="H188" s="10" t="str">
        <x:v>Aliens: Fireteam Elite 2</x:v>
      </x:c>
      <x:c r="I188" s="10" t="str">
        <x:v>Confirmé pour le fait cité ; autres détails à vérifier</x:v>
      </x:c>
      <x:c r="J188" s="10" t="str">
        <x:v>Specialist figure dans les notes officielles.</x:v>
      </x:c>
      <x:c r="K188" s="10" t="str">
        <x:v>H2-S05 — Daybreak / Cold Iron — AFE2 patch du 25 août 2026
Source primaire officielle
Portée : Confirme les six classes et Bodyguard. Utilisé pour existence et dénomination ; aucune valeur de combat copiée.</x:v>
      </x:c>
      <x:c r="L188" s="23" t="str">
        <x:v>https://www.daybreakgames.com/press/afe2/article/afe2-82526-patchnotes</x:v>
      </x:c>
      <x:c r="M188" s="10" t="str">
        <x:v>Absent du catalogue source de 115 fiches. Pas de type de combat spécialisé vérifié ; les profils génériques existants ne suffisent pas.</x:v>
      </x:c>
      <x:c r="N188"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88" s="10" t="str">
        <x:v>Ajouter la correspondance profil → acteur → source. Relever les capacités, modèle et animations ; vérifier le spawn, les identités et la fidélité du preset.</x:v>
      </x:c>
      <x:c r="P188" s="10" t="str">
        <x:v>Spécialité de section proposée ; adapter le kit au commandement de bataille.</x:v>
      </x:c>
      <x:c r="Q188" s="10" t="str">
        <x:v>Classe, pas caste biologique ; rôle ennemi seulement dans un scénario explicite. Pas de bonus du jeu présenté comme loi du lore. Les ajouts à un groupe remplacent des places allouées. Réserves finies ; aucun renfort créé hors budget.</x:v>
      </x:c>
      <x:c r="R188" s="10" t="str">
        <x:v>Relations et opposition à définir dans le scénario de cette œuvre. Toute rencontre X/Y/H non attestée est une adaptation originale explicitement choisie.</x:v>
      </x:c>
      <x:c r="S188" s="10" t="str">
        <x:v>Lieu et scène de Fireteam Elite 2 à documenter. Ne pas transférer automatiquement ces profils sur LV-895 du premier jeu.</x:v>
      </x:c>
      <x:c r="T188" s="10" t="str">
        <x:v>Classe, pas caste biologique ; rôle ennemi seulement dans un scénario explicite. Pas de bonus du jeu présenté comme loi du lore.</x:v>
      </x:c>
      <x:c r="U188" s="10" t="str">
        <x:v>P2</x:v>
      </x:c>
    </x:row>
    <x:row r="189" ht="60" hidden="0" customHeight="1">
      <x:c r="A189" s="9" t="str">
        <x:v>HUM-056</x:v>
      </x:c>
      <x:c r="B189" s="9" t="str">
        <x:v>Matériel humain / robotique</x:v>
      </x:c>
      <x:c r="C189" s="9" t="str">
        <x:v>Bodyguard — Machinist AFE2</x:v>
      </x:c>
      <x:c r="D189" s="9" t="str">
        <x:v>Matériel déployable de classe</x:v>
      </x:c>
      <x:c r="E189" s="9" t="str">
        <x:v>matériel ; plafond séparé des combattants</x:v>
      </x:c>
      <x:c r="F189" s="9" t="str">
        <x:v>Aliens: Fireteam Elite 2</x:v>
      </x:c>
      <x:c r="G189" s="9" t="str">
        <x:v>Jeu</x:v>
      </x:c>
      <x:c r="H189" s="9" t="str">
        <x:v>Aliens: Fireteam Elite 2</x:v>
      </x:c>
      <x:c r="I189" s="9" t="str">
        <x:v>Confirmé pour le fait cité ; autres détails à vérifier</x:v>
      </x:c>
      <x:c r="J189" s="9" t="str">
        <x:v>Le Machinist dispose d’un Bodyguard déployable.</x:v>
      </x:c>
      <x:c r="K189" s="9" t="str">
        <x:v>H2-S05 — Daybreak / Cold Iron — AFE2 patch du 25 août 2026
Source primaire officielle
Portée : Confirme les six classes et Bodyguard. Utilisé pour existence et dénomination ; aucune valeur de combat copiée.</x:v>
      </x:c>
      <x:c r="L189" s="22" t="str">
        <x:v>https://www.daybreakgames.com/press/afe2/article/afe2-82526-patchnotes</x:v>
      </x:c>
      <x:c r="M189" s="9" t="str">
        <x:v>Absent du catalogue source de 115 fiches. Matériel ou fiche spécifique non validé ; systèmes génériques existants.</x:v>
      </x:c>
      <x:c r="N189" s="9" t="str">
        <x:v>https://github.com/darknigthmare/Yautja-hive-warriors/blob/39871c450379225de8174711237632e6aa883f04/js/data/BattleCatalog.js#L41-L51
https://github.com/darknigthmare/Yautja-hive-warriors/blob/39871c450379225de8174711237632e6aa883f04/js/data/BattleCatalog.js
BattleCatalog.js 40–49 sépare catalogue documentaire et rendu.</x:v>
      </x:c>
      <x:c r="O189" s="9" t="str">
        <x:v>Ajouter la correspondance profil → acteur → source. Relever les capacités, modèle et animations ; vérifier le spawn, les identités et la fidélité du preset.</x:v>
      </x:c>
      <x:c r="P189" s="9" t="str">
        <x:v>Appui robotisé proposé avec coût, durée et rappel.</x:v>
      </x:c>
      <x:c r="Q189" s="9" t="str">
        <x:v>Compter le dispositif séparément du soldat ; preset AFE2. Modèle, variantes et capacités à relever avant équivalence. Les ajouts à un groupe remplacent des places allouées. Réserves finies ; aucun renfort créé hors budget.</x:v>
      </x:c>
      <x:c r="R189" s="9" t="str">
        <x:v>Relations et opposition à définir dans le scénario de cette œuvre. Toute rencontre X/Y/H non attestée est une adaptation originale explicitement choisie.</x:v>
      </x:c>
      <x:c r="S189" s="9" t="str">
        <x:v>Lieu et scène de Fireteam Elite 2 à documenter. Ne pas transférer automatiquement ces profils sur LV-895 du premier jeu.</x:v>
      </x:c>
      <x:c r="T189" s="9" t="str">
        <x:v>Compter le dispositif séparément du soldat ; preset AFE2. Modèle, variantes et capacités à relever avant équivalence.</x:v>
      </x:c>
      <x:c r="U189" s="9" t="str">
        <x:v>P2</x:v>
      </x:c>
    </x:row>
    <x:row r="190" ht="72" hidden="0" customHeight="1">
      <x:c r="A190" s="10" t="str">
        <x:v>HUM-057</x:v>
      </x:c>
      <x:c r="B190" s="10" t="str">
        <x:v>Humains</x:v>
      </x:c>
      <x:c r="C190" s="10" t="str">
        <x:v>Commandos Weyland-Yutani — Unleashed</x:v>
      </x:c>
      <x:c r="D190" s="10" t="str">
        <x:v>Formation militaire privée humaine</x:v>
      </x:c>
      <x:c r="E190" s="10" t="str">
        <x:v>cadre ou groupe nommé ; membres et décompte à définir</x:v>
      </x:c>
      <x:c r="F190" s="10" t="str">
        <x:v>AVP: Unleashed</x:v>
      </x:c>
      <x:c r="G190" s="10" t="str">
        <x:v>Jeu de figurines sous licence</x:v>
      </x:c>
      <x:c r="H190" s="10" t="str">
        <x:v>AVP: Unleashed</x:v>
      </x:c>
      <x:c r="I190" s="10" t="str">
        <x:v>Confirmé pour le fait cité ; autres détails à vérifier</x:v>
      </x:c>
      <x:c r="J190" s="10" t="str">
        <x:v>Les commandos constituent une force privée Weyland-Yutani.</x:v>
      </x:c>
      <x:c r="K190" s="10" t="str">
        <x:v>H2-S07 — AVP: Unleashed 1.1 — règles officielles Prodos/Archon
Source primaire sous licence
Portée : Manuel août 2018, copyright Fox vérifié dans index. Page 107 : commandos WY et variantes Smart Gun / Flamethrower. PDF inaccessible à open, extraits indexés consultés. Jeu de figurines, continuité locale.</x:v>
      </x:c>
      <x:c r="L190" s="23" t="str">
        <x:v>https://prodosgames.com/sites/prodosgames.com/files/files/avp_unleashed_1_1.pdf</x:v>
      </x:c>
      <x:c r="M190" s="10" t="str">
        <x:v>Absent du catalogue source de 115 fiches. Pas de type de combat spécialisé vérifié ; les profils génériques existants ne suffisent pas.</x:v>
      </x:c>
      <x:c r="N190"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0" s="10" t="str">
        <x:v>Ajouter la correspondance profil → acteur → source. Relever les capacités, modèle et animations ; vérifier le spawn, les identités et la fidélité du preset.</x:v>
      </x:c>
      <x:c r="P190" s="10" t="str">
        <x:v>Section de sécurité et capture proposée.</x:v>
      </x:c>
      <x:c r="Q190" s="10" t="str">
        <x:v>Preset de jeu de figurines ; ne pas les confondre avec Marines ou androïdes. Les ajouts à un groupe remplacent des places allouées. Réserves finies ; aucun renfort créé hors budget.</x:v>
      </x:c>
      <x:c r="R190" s="10" t="str">
        <x:v>Relations et opposition à définir dans le scénario de cette œuvre. Toute rencontre X/Y/H non attestée est une adaptation originale explicitement choisie.</x:v>
      </x:c>
      <x:c r="S190" s="10" t="str">
        <x:v>Lieu de l’œuvre à sélectionner et à documenter ; aucune nouvelle carte construite n’est revendiquée.</x:v>
      </x:c>
      <x:c r="T190" s="10" t="str">
        <x:v>Preset de jeu de figurines ; ne pas les confondre avec Marines ou androïdes.</x:v>
      </x:c>
      <x:c r="U190" s="10" t="str">
        <x:v>P1</x:v>
      </x:c>
    </x:row>
    <x:row r="191" ht="72" hidden="0" customHeight="1">
      <x:c r="A191" s="9" t="str">
        <x:v>HUM-058</x:v>
      </x:c>
      <x:c r="B191" s="9" t="str">
        <x:v>Humains</x:v>
      </x:c>
      <x:c r="C191" s="9" t="str">
        <x:v>Commando WY — Smart Gun</x:v>
      </x:c>
      <x:c r="D191" s="9" t="str">
        <x:v>Variante d’équipement humaine</x:v>
      </x:c>
      <x:c r="E191" s="9" t="str">
        <x:v>preset de l’œuvre ; acteur dédié à implémenter</x:v>
      </x:c>
      <x:c r="F191" s="9" t="str">
        <x:v>AVP: Unleashed</x:v>
      </x:c>
      <x:c r="G191" s="9" t="str">
        <x:v>Jeu de figurines sous licence</x:v>
      </x:c>
      <x:c r="H191" s="9" t="str">
        <x:v>AVP: Unleashed</x:v>
      </x:c>
      <x:c r="I191" s="9" t="str">
        <x:v>Confirmé pour le fait cité ; autres détails à vérifier</x:v>
      </x:c>
      <x:c r="J191" s="9" t="str">
        <x:v>Un commando peut recevoir un M56 Smart Gun.</x:v>
      </x:c>
      <x:c r="K191" s="9" t="str">
        <x:v>H2-S07 — AVP: Unleashed 1.1 — règles officielles Prodos/Archon
Source primaire sous licence
Portée : Manuel août 2018, copyright Fox vérifié dans index. Page 107 : commandos WY et variantes Smart Gun / Flamethrower. PDF inaccessible à open, extraits indexés consultés. Jeu de figurines, continuité locale.</x:v>
      </x:c>
      <x:c r="L191" s="22" t="str">
        <x:v>https://prodosgames.com/sites/prodosgames.com/files/files/avp_unleashed_1_1.pdf</x:v>
      </x:c>
      <x:c r="M191" s="9" t="str">
        <x:v>Absent du catalogue source de 115 fiches. Pas de type de combat spécialisé vérifié ; les profils génériques existants ne suffisent pas.</x:v>
      </x:c>
      <x:c r="N191"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1" s="9" t="str">
        <x:v>Ajouter la correspondance profil → acteur → source. Relever les capacités, modèle et animations ; vérifier le spawn, les identités et la fidélité du preset.</x:v>
      </x:c>
      <x:c r="P191" s="9" t="str">
        <x:v>Appui de section proposé, couvert et munitions.</x:v>
      </x:c>
      <x:c r="Q191" s="9" t="str">
        <x:v>Remplace un commando du groupe ; jamais un effectif ajouté ni une caste. Preset Unleashed. Les ajouts à un groupe remplacent des places allouées. Réserves finies ; aucun renfort créé hors budget.</x:v>
      </x:c>
      <x:c r="R191" s="9" t="str">
        <x:v>Relations et opposition à définir dans le scénario de cette œuvre. Toute rencontre X/Y/H non attestée est une adaptation originale explicitement choisie.</x:v>
      </x:c>
      <x:c r="S191" s="9" t="str">
        <x:v>Lieu de l’œuvre à sélectionner et à documenter ; aucune nouvelle carte construite n’est revendiquée.</x:v>
      </x:c>
      <x:c r="T191" s="9" t="str">
        <x:v>Remplace un commando du groupe ; jamais un effectif ajouté ni une caste. Preset Unleashed.</x:v>
      </x:c>
      <x:c r="U191" s="9" t="str">
        <x:v>P1</x:v>
      </x:c>
    </x:row>
    <x:row r="192" ht="72" hidden="0" customHeight="1">
      <x:c r="A192" s="10" t="str">
        <x:v>HUM-059</x:v>
      </x:c>
      <x:c r="B192" s="10" t="str">
        <x:v>Humains</x:v>
      </x:c>
      <x:c r="C192" s="10" t="str">
        <x:v>Commando WY — Flamethrower</x:v>
      </x:c>
      <x:c r="D192" s="10" t="str">
        <x:v>Variante d’équipement humaine</x:v>
      </x:c>
      <x:c r="E192" s="10" t="str">
        <x:v>preset de l’œuvre ; acteur dédié à implémenter</x:v>
      </x:c>
      <x:c r="F192" s="10" t="str">
        <x:v>AVP: Unleashed</x:v>
      </x:c>
      <x:c r="G192" s="10" t="str">
        <x:v>Jeu de figurines sous licence</x:v>
      </x:c>
      <x:c r="H192" s="10" t="str">
        <x:v>AVP: Unleashed</x:v>
      </x:c>
      <x:c r="I192" s="10" t="str">
        <x:v>Confirmé pour le fait cité ; autres détails à vérifier</x:v>
      </x:c>
      <x:c r="J192" s="10" t="str">
        <x:v>Un commando peut recevoir un lance-flammes 260B.</x:v>
      </x:c>
      <x:c r="K192" s="10" t="str">
        <x:v>H2-S07 — AVP: Unleashed 1.1 — règles officielles Prodos/Archon
Source primaire sous licence
Portée : Manuel août 2018, copyright Fox vérifié dans index. Page 107 : commandos WY et variantes Smart Gun / Flamethrower. PDF inaccessible à open, extraits indexés consultés. Jeu de figurines, continuité locale.</x:v>
      </x:c>
      <x:c r="L192" s="23" t="str">
        <x:v>https://prodosgames.com/sites/prodosgames.com/files/files/avp_unleashed_1_1.pdf</x:v>
      </x:c>
      <x:c r="M192" s="10" t="str">
        <x:v>Absent du catalogue source de 115 fiches. Pas de type de combat spécialisé vérifié ; les profils génériques existants ne suffisent pas.</x:v>
      </x:c>
      <x:c r="N192"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2" s="10" t="str">
        <x:v>Ajouter la correspondance profil → acteur → source. Relever les capacités, modèle et animations ; vérifier le spawn, les identités et la fidélité du preset.</x:v>
      </x:c>
      <x:c r="P192" s="10" t="str">
        <x:v>Interdiction de passage proposée.</x:v>
      </x:c>
      <x:c r="Q192" s="10" t="str">
        <x:v>Remplace un commando du groupe ; préserver distinction avec synthétique incendiaire. Preset Unleashed. Les ajouts à un groupe remplacent des places allouées. Réserves finies ; aucun renfort créé hors budget.</x:v>
      </x:c>
      <x:c r="R192" s="10" t="str">
        <x:v>Relations et opposition à définir dans le scénario de cette œuvre. Toute rencontre X/Y/H non attestée est une adaptation originale explicitement choisie.</x:v>
      </x:c>
      <x:c r="S192" s="10" t="str">
        <x:v>Lieu de l’œuvre à sélectionner et à documenter ; aucune nouvelle carte construite n’est revendiquée.</x:v>
      </x:c>
      <x:c r="T192" s="10" t="str">
        <x:v>Remplace un commando du groupe ; préserver distinction avec synthétique incendiaire. Preset Unleashed.</x:v>
      </x:c>
      <x:c r="U192" s="10" t="str">
        <x:v>P1</x:v>
      </x:c>
    </x:row>
    <x:row r="193" ht="60" hidden="0" customHeight="1">
      <x:c r="A193" s="9" t="str">
        <x:v>HUM-060</x:v>
      </x:c>
      <x:c r="B193" s="9" t="str">
        <x:v>Synthétiques</x:v>
      </x:c>
      <x:c r="C193" s="9" t="str">
        <x:v>Android — AVP Classic</x:v>
      </x:c>
      <x:c r="D193" s="9" t="str">
        <x:v>Androïde de combat</x:v>
      </x:c>
      <x:c r="E193" s="9" t="str">
        <x:v>preset de l’œuvre ; acteur dédié à implémenter</x:v>
      </x:c>
      <x:c r="F193" s="9" t="str">
        <x:v>Aliens Versus Predator Classic 2000</x:v>
      </x:c>
      <x:c r="G193" s="9" t="str">
        <x:v>Jeu</x:v>
      </x:c>
      <x:c r="H193" s="9" t="str">
        <x:v>Aliens Versus Predator Classic 2000</x:v>
      </x:c>
      <x:c r="I193" s="9" t="str">
        <x:v>Confirmé pour le fait cité ; autres détails à vérifier</x:v>
      </x:c>
      <x:c r="J193" s="9" t="str">
        <x:v>Le manuel distingue Android des humains et Xenoborg.</x:v>
      </x:c>
      <x:c r="K193" s="9" t="str">
        <x:v>H2-S08 — AVP Classic 2000 — manuel officiel diffusé sur Steam
Source primaire officielle
Portée : Rubrique Enemies &amp; Threats : Android ; Xenoborg est une créature cybernétisée séparée.</x:v>
      </x:c>
      <x:c r="L193" s="22" t="str">
        <x:v>https://cdn.akamai.steamstatic.com/steam/apps/3730/manuals/Aliens%20Versus%20Predator%20Classic%202000%20Manual.pdf?t=1415299874</x:v>
      </x:c>
      <x:c r="M193" s="9" t="str">
        <x:v>Absent du catalogue source de 115 fiches. Pas de type de combat spécialisé vérifié ; les profils génériques existants ne suffisent pas.</x:v>
      </x:c>
      <x:c r="N193"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93" s="9" t="str">
        <x:v>Ajouter la correspondance profil → acteur → source. Relever les capacités, modèle et animations ; vérifier le spawn, les identités et la fidélité du preset.</x:v>
      </x:c>
      <x:c r="P193" s="9" t="str">
        <x:v>Infiltration et défense proposées.</x:v>
      </x:c>
      <x:c r="Q193" s="9" t="str">
        <x:v>Androïde humanoïde ; ne pas classer Xenoborg comme humain ou caste xéno. Preset AVP Classic. Les ajouts à un groupe remplacent des places allouées. Réserves finies ; aucun renfort créé hors budget.</x:v>
      </x:c>
      <x:c r="R193" s="9" t="str">
        <x:v>Relations et opposition à définir dans le scénario de cette œuvre. Toute rencontre X/Y/H non attestée est une adaptation originale explicitement choisie.</x:v>
      </x:c>
      <x:c r="S193" s="9" t="str">
        <x:v>Lieu de l’œuvre à sélectionner et à documenter ; aucune nouvelle carte construite n’est revendiquée.</x:v>
      </x:c>
      <x:c r="T193" s="9" t="str">
        <x:v>Androïde humanoïde ; ne pas classer Xenoborg comme humain ou caste xéno. Preset AVP Classic.</x:v>
      </x:c>
      <x:c r="U193" s="9" t="str">
        <x:v>P1</x:v>
      </x:c>
    </x:row>
    <x:row r="194" ht="72" hidden="0" customHeight="1">
      <x:c r="A194" s="10" t="str">
        <x:v>HUM-061</x:v>
      </x:c>
      <x:c r="B194" s="10" t="str">
        <x:v>Humains</x:v>
      </x:c>
      <x:c r="C194" s="10" t="str">
        <x:v>Corporate mercenary — Primal Hunt</x:v>
      </x:c>
      <x:c r="D194" s="10" t="str">
        <x:v>Classe de mercenaire humain</x:v>
      </x:c>
      <x:c r="E194" s="10" t="str">
        <x:v>preset de l’œuvre ; acteur dédié à implémenter</x:v>
      </x:c>
      <x:c r="F194" s="10" t="str">
        <x:v>Aliens Versus Predator 2: Primal Hunt</x:v>
      </x:c>
      <x:c r="G194" s="10" t="str">
        <x:v>Jeu</x:v>
      </x:c>
      <x:c r="H194" s="10" t="str">
        <x:v>Aliens Versus Predator 2: Primal Hunt</x:v>
      </x:c>
      <x:c r="I194" s="10" t="str">
        <x:v>Confirmé pour le fait cité ; autres détails à vérifier</x:v>
      </x:c>
      <x:c r="J194" s="10" t="str">
        <x:v>Corporate est une classe de mercenaire.</x:v>
      </x:c>
      <x:c r="K194" s="10" t="str">
        <x:v>H2-S09 — AVP2: Primal Hunt — manuel Fox/Sierra archivé
Source primaire officielle archivée
Portée : PDF original consulté, double page 6–7 vérifiée visuellement. Corporate mercenary, Iron Bear Dunya, Remote Sentry et Turret Gun.</x:v>
      </x:c>
      <x:c r="L194" s="23" t="str">
        <x:v>https://manuals.plus/m/8e3276e114e335d2d35b0a04f7890c5e10f243ad8cfa95c1d16e75087680cd2f.pdf</x:v>
      </x:c>
      <x:c r="M194" s="10" t="str">
        <x:v>Absent du catalogue source de 115 fiches. Pas de type de combat spécialisé vérifié ; les profils génériques existants ne suffisent pas.</x:v>
      </x:c>
      <x:c r="N194"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4" s="10" t="str">
        <x:v>Ajouter la correspondance profil → acteur → source. Relever les capacités, modèle et animations ; vérifier le spawn, les identités et la fidélité du preset.</x:v>
      </x:c>
      <x:c r="P194" s="10" t="str">
        <x:v>Section corporative proposée avec contrôle d’accès.</x:v>
      </x:c>
      <x:c r="Q194" s="10" t="str">
        <x:v>Preset Primal Hunt ; équipement et doctrine locale ; pas synonyme universel de Marine. Les ajouts à un groupe remplacent des places allouées. Réserves finies ; aucun renfort créé hors budget.</x:v>
      </x:c>
      <x:c r="R194" s="10" t="str">
        <x:v>Relations et opposition à définir dans le scénario de cette œuvre. Toute rencontre X/Y/H non attestée est une adaptation originale explicitement choisie.</x:v>
      </x:c>
      <x:c r="S194" s="10" t="str">
        <x:v>Lieu de l’œuvre à sélectionner et à documenter ; aucune nouvelle carte construite n’est revendiquée.</x:v>
      </x:c>
      <x:c r="T194" s="10" t="str">
        <x:v>Preset Primal Hunt ; équipement et doctrine locale ; pas synonyme universel de Marine.</x:v>
      </x:c>
      <x:c r="U194" s="10" t="str">
        <x:v>P1</x:v>
      </x:c>
    </x:row>
    <x:row r="195" ht="72" hidden="0" customHeight="1">
      <x:c r="A195" s="9" t="str">
        <x:v>HUM-062</x:v>
      </x:c>
      <x:c r="B195" s="9" t="str">
        <x:v>Humains</x:v>
      </x:c>
      <x:c r="C195" s="9" t="str">
        <x:v>Dunya — Iron Bear</x:v>
      </x:c>
      <x:c r="D195" s="9" t="str">
        <x:v>Individu humain nommé / mercenaire</x:v>
      </x:c>
      <x:c r="E195" s="9" t="str">
        <x:v>unique ; aucune réserve de clones</x:v>
      </x:c>
      <x:c r="F195" s="9" t="str">
        <x:v>Aliens Versus Predator 2: Primal Hunt</x:v>
      </x:c>
      <x:c r="G195" s="9" t="str">
        <x:v>Jeu</x:v>
      </x:c>
      <x:c r="H195" s="9" t="str">
        <x:v>Aliens Versus Predator 2: Primal Hunt</x:v>
      </x:c>
      <x:c r="I195" s="9" t="str">
        <x:v>Confirmé pour le fait cité ; autres détails à vérifier</x:v>
      </x:c>
      <x:c r="J195" s="9" t="str">
        <x:v>Le manuel identifie Dunya comme Iron Bear liée aux Corporate.</x:v>
      </x:c>
      <x:c r="K195" s="9" t="str">
        <x:v>H2-S09 — AVP2: Primal Hunt — manuel Fox/Sierra archivé
Source primaire officielle archivée
Portée : PDF original consulté, double page 6–7 vérifiée visuellement. Corporate mercenary, Iron Bear Dunya, Remote Sentry et Turret Gun.</x:v>
      </x:c>
      <x:c r="L195" s="22" t="str">
        <x:v>https://manuals.plus/m/8e3276e114e335d2d35b0a04f7890c5e10f243ad8cfa95c1d16e75087680cd2f.pdf</x:v>
      </x:c>
      <x:c r="M195" s="9" t="str">
        <x:v>Absent du catalogue source de 115 fiches. Pas de type de combat spécialisé vérifié ; les profils génériques existants ne suffisent pas.</x:v>
      </x:c>
      <x:c r="N195"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5" s="9" t="str">
        <x:v>Ajouter la correspondance profil → acteur → source. Relever les capacités, modèle et animations ; vérifier le spawn, les identités et la fidélité du preset.</x:v>
      </x:c>
      <x:c r="P195" s="9" t="str">
        <x:v>Capitaine ou adversaire de mission proposé.</x:v>
      </x:c>
      <x:c r="Q195" s="9" t="str">
        <x:v>Une Dunya ; pas d’armée de copies. La composition des Iron Bears reste à relever. Les ajouts à un groupe remplacent des places allouées. Réserves finies ; aucun renfort créé hors budget.</x:v>
      </x:c>
      <x:c r="R195" s="9" t="str">
        <x:v>Relations et opposition à définir dans le scénario de cette œuvre. Toute rencontre X/Y/H non attestée est une adaptation originale explicitement choisie.</x:v>
      </x:c>
      <x:c r="S195" s="9" t="str">
        <x:v>Lieu de l’œuvre à sélectionner et à documenter ; aucune nouvelle carte construite n’est revendiquée.</x:v>
      </x:c>
      <x:c r="T195" s="9" t="str">
        <x:v>Une Dunya ; pas d’armée de copies. La composition des Iron Bears reste à relever.</x:v>
      </x:c>
      <x:c r="U195" s="9" t="str">
        <x:v>P1</x:v>
      </x:c>
    </x:row>
    <x:row r="196" ht="60" hidden="0" customHeight="1">
      <x:c r="A196" s="10" t="str">
        <x:v>HUM-063</x:v>
      </x:c>
      <x:c r="B196" s="10" t="str">
        <x:v>Matériel humain / robotique</x:v>
      </x:c>
      <x:c r="C196" s="10" t="str">
        <x:v>Remote Sentry Gun — Primal Hunt</x:v>
      </x:c>
      <x:c r="D196" s="10" t="str">
        <x:v>Matériel de défense autonome</x:v>
      </x:c>
      <x:c r="E196" s="10" t="str">
        <x:v>matériel ; plafond séparé des combattants</x:v>
      </x:c>
      <x:c r="F196" s="10" t="str">
        <x:v>Aliens Versus Predator 2: Primal Hunt</x:v>
      </x:c>
      <x:c r="G196" s="10" t="str">
        <x:v>Jeu</x:v>
      </x:c>
      <x:c r="H196" s="10" t="str">
        <x:v>Aliens Versus Predator 2: Primal Hunt</x:v>
      </x:c>
      <x:c r="I196" s="10" t="str">
        <x:v>Confirmé pour le fait cité ; autres détails à vérifier</x:v>
      </x:c>
      <x:c r="J196" s="10" t="str">
        <x:v>Remote Sentry Gun est une défense automatique déployable.</x:v>
      </x:c>
      <x:c r="K196" s="10" t="str">
        <x:v>H2-S09 — AVP2: Primal Hunt — manuel Fox/Sierra archivé
Source primaire officielle archivée
Portée : PDF original consulté, double page 6–7 vérifiée visuellement. Corporate mercenary, Iron Bear Dunya, Remote Sentry et Turret Gun.</x:v>
      </x:c>
      <x:c r="L196" s="23" t="str">
        <x:v>https://manuals.plus/m/8e3276e114e335d2d35b0a04f7890c5e10f243ad8cfa95c1d16e75087680cd2f.pdf</x:v>
      </x:c>
      <x:c r="M196" s="10" t="str">
        <x:v>Absent du catalogue source de 115 fiches. Matériel ou fiche spécifique non validé ; systèmes génériques existants.</x:v>
      </x:c>
      <x:c r="N196" s="10" t="str">
        <x:v>https://github.com/darknigthmare/Yautja-hive-warriors/blob/39871c450379225de8174711237632e6aa883f04/js/data/BattleCatalog.js#L41-L51
https://github.com/darknigthmare/Yautja-hive-warriors/blob/39871c450379225de8174711237632e6aa883f04/js/data/BattleCatalog.js
BattleCatalog.js 40–49 sépare catalogue documentaire et rendu.</x:v>
      </x:c>
      <x:c r="O196" s="10" t="str">
        <x:v>Ajouter la correspondance profil → acteur → source. Relever les capacités, modèle et animations ; vérifier le spawn, les identités et la fidélité du preset.</x:v>
      </x:c>
      <x:c r="P196" s="10" t="str">
        <x:v>Verrou de passage proposé, ravitaillement suivi.</x:v>
      </x:c>
      <x:c r="Q196" s="10" t="str">
        <x:v>Matériel, pas soldat ; preset Primal Hunt ; compter les déploiements sans doubler les opérateurs. Les ajouts à un groupe remplacent des places allouées. Réserves finies ; aucun renfort créé hors budget.</x:v>
      </x:c>
      <x:c r="R196" s="10" t="str">
        <x:v>Relations et opposition à définir dans le scénario de cette œuvre. Toute rencontre X/Y/H non attestée est une adaptation originale explicitement choisie.</x:v>
      </x:c>
      <x:c r="S196" s="10" t="str">
        <x:v>Lieu de l’œuvre à sélectionner et à documenter ; aucune nouvelle carte construite n’est revendiquée.</x:v>
      </x:c>
      <x:c r="T196" s="10" t="str">
        <x:v>Matériel, pas soldat ; preset Primal Hunt ; compter les déploiements sans doubler les opérateurs.</x:v>
      </x:c>
      <x:c r="U196" s="10" t="str">
        <x:v>P2</x:v>
      </x:c>
    </x:row>
    <x:row r="197" ht="60" hidden="0" customHeight="1">
      <x:c r="A197" s="9" t="str">
        <x:v>HUM-064</x:v>
      </x:c>
      <x:c r="B197" s="9" t="str">
        <x:v>Matériel humain / robotique</x:v>
      </x:c>
      <x:c r="C197" s="9" t="str">
        <x:v>Turret Gun — Primal Hunt</x:v>
      </x:c>
      <x:c r="D197" s="9" t="str">
        <x:v>Matériel fixe à opérateur</x:v>
      </x:c>
      <x:c r="E197" s="9" t="str">
        <x:v>matériel ; plafond séparé des combattants</x:v>
      </x:c>
      <x:c r="F197" s="9" t="str">
        <x:v>Aliens Versus Predator 2: Primal Hunt</x:v>
      </x:c>
      <x:c r="G197" s="9" t="str">
        <x:v>Jeu</x:v>
      </x:c>
      <x:c r="H197" s="9" t="str">
        <x:v>Aliens Versus Predator 2: Primal Hunt</x:v>
      </x:c>
      <x:c r="I197" s="9" t="str">
        <x:v>Confirmé pour le fait cité ; autres détails à vérifier</x:v>
      </x:c>
      <x:c r="J197" s="9" t="str">
        <x:v>Turret Gun est une arme fixe activée par l’utilisateur.</x:v>
      </x:c>
      <x:c r="K197" s="9" t="str">
        <x:v>H2-S09 — AVP2: Primal Hunt — manuel Fox/Sierra archivé
Source primaire officielle archivée
Portée : PDF original consulté, double page 6–7 vérifiée visuellement. Corporate mercenary, Iron Bear Dunya, Remote Sentry et Turret Gun.</x:v>
      </x:c>
      <x:c r="L197" s="22" t="str">
        <x:v>https://manuals.plus/m/8e3276e114e335d2d35b0a04f7890c5e10f243ad8cfa95c1d16e75087680cd2f.pdf</x:v>
      </x:c>
      <x:c r="M197" s="9" t="str">
        <x:v>Absent du catalogue source de 115 fiches. Matériel ou fiche spécifique non validé ; systèmes génériques existants.</x:v>
      </x:c>
      <x:c r="N197" s="9" t="str">
        <x:v>https://github.com/darknigthmare/Yautja-hive-warriors/blob/39871c450379225de8174711237632e6aa883f04/js/data/BattleCatalog.js#L41-L51
https://github.com/darknigthmare/Yautja-hive-warriors/blob/39871c450379225de8174711237632e6aa883f04/js/data/BattleCatalog.js
BattleCatalog.js 40–49 sépare catalogue documentaire et rendu.</x:v>
      </x:c>
      <x:c r="O197" s="9" t="str">
        <x:v>Ajouter la correspondance profil → acteur → source. Relever les capacités, modèle et animations ; vérifier le spawn, les identités et la fidélité du preset.</x:v>
      </x:c>
      <x:c r="P197" s="9" t="str">
        <x:v>Position de tir proposée avec opérateur exposé.</x:v>
      </x:c>
      <x:c r="Q197" s="9" t="str">
        <x:v>Opérateur compté parmi les humains ; arme dans le budget matériel. Pas fusion avec tourelle autonome. Les ajouts à un groupe remplacent des places allouées. Réserves finies ; aucun renfort créé hors budget.</x:v>
      </x:c>
      <x:c r="R197" s="9" t="str">
        <x:v>Relations et opposition à définir dans le scénario de cette œuvre. Toute rencontre X/Y/H non attestée est une adaptation originale explicitement choisie.</x:v>
      </x:c>
      <x:c r="S197" s="9" t="str">
        <x:v>Lieu de l’œuvre à sélectionner et à documenter ; aucune nouvelle carte construite n’est revendiquée.</x:v>
      </x:c>
      <x:c r="T197" s="9" t="str">
        <x:v>Opérateur compté parmi les humains ; arme dans le budget matériel. Pas fusion avec tourelle autonome.</x:v>
      </x:c>
      <x:c r="U197" s="9" t="str">
        <x:v>P2</x:v>
      </x:c>
    </x:row>
    <x:row r="198" ht="60" hidden="0" customHeight="1">
      <x:c r="A198" s="10" t="str">
        <x:v>HUM-065</x:v>
      </x:c>
      <x:c r="B198" s="10" t="str">
        <x:v>Synthétiques</x:v>
      </x:c>
      <x:c r="C198" s="10" t="str">
        <x:v>Synthétiques reprogrammés — Extermination</x:v>
      </x:c>
      <x:c r="D198" s="10" t="str">
        <x:v>Force synthétique locale</x:v>
      </x:c>
      <x:c r="E198" s="10" t="str">
        <x:v>preset de l’œuvre ; acteur dédié à implémenter</x:v>
      </x:c>
      <x:c r="F198" s="10" t="str">
        <x:v>Aliens: Extermination</x:v>
      </x:c>
      <x:c r="G198" s="10" t="str">
        <x:v>Jeu</x:v>
      </x:c>
      <x:c r="H198" s="10" t="str">
        <x:v>Aliens: Extermination</x:v>
      </x:c>
      <x:c r="I198" s="10" t="str">
        <x:v>Confirmé pour le fait cité ; autres détails à vérifier</x:v>
      </x:c>
      <x:c r="J198" s="10" t="str">
        <x:v>WY reprogramme une armée de synthétiques pour protéger ses recherches.</x:v>
      </x:c>
      <x:c r="K198" s="10" t="str">
        <x:v>H2-S10 — Global VR — Aliens Extermination System Manual
Source primaire officielle
Portée : Page 6 vérifiée visuellement : armée de synthétiques reprogrammée par WY pour protéger son programme. Aucun sous-type détaillé établi.</x:v>
      </x:c>
      <x:c r="L198" s="23" t="str">
        <x:v>https://service.globalvr.com/downloads/aliens/040-0120-01_AliensSystemManual-WEB.pdf</x:v>
      </x:c>
      <x:c r="M198" s="10" t="str">
        <x:v>Absent du catalogue source de 115 fiches. Pas de type de combat spécialisé vérifié ; les profils génériques existants ne suffisent pas.</x:v>
      </x:c>
      <x:c r="N198"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198" s="10" t="str">
        <x:v>Ajouter la correspondance profil → acteur → source. Relever les capacités, modèle et animations ; vérifier le spawn, les identités et la fidélité du preset.</x:v>
      </x:c>
      <x:c r="P198" s="10" t="str">
        <x:v>Force robotisée de défense de laboratoire proposée.</x:v>
      </x:c>
      <x:c r="Q198" s="10" t="str">
        <x:v>Preset Extermination ; aucune liste de sous-types ni effectifs canoniques déduits de cette page. Les ajouts à un groupe remplacent des places allouées. Réserves finies ; aucun renfort créé hors budget.</x:v>
      </x:c>
      <x:c r="R198" s="10" t="str">
        <x:v>Relations et opposition à définir dans le scénario de cette œuvre. Toute rencontre X/Y/H non attestée est une adaptation originale explicitement choisie.</x:v>
      </x:c>
      <x:c r="S198" s="10" t="str">
        <x:v>Lieu de l’œuvre à sélectionner et à documenter ; aucune nouvelle carte construite n’est revendiquée.</x:v>
      </x:c>
      <x:c r="T198" s="10" t="str">
        <x:v>Preset Extermination ; aucune liste de sous-types ni effectifs canoniques déduits de cette page.</x:v>
      </x:c>
      <x:c r="U198" s="10" t="str">
        <x:v>P1</x:v>
      </x:c>
    </x:row>
    <x:row r="199" ht="72" hidden="0" customHeight="1">
      <x:c r="A199" s="9" t="str">
        <x:v>HUM-066</x:v>
      </x:c>
      <x:c r="B199" s="9" t="str">
        <x:v>Humains</x:v>
      </x:c>
      <x:c r="C199" s="9" t="str">
        <x:v>OWLF Operative</x:v>
      </x:c>
      <x:c r="D199" s="9" t="str">
        <x:v>Classe humaine spécialisée</x:v>
      </x:c>
      <x:c r="E199" s="9" t="str">
        <x:v>preset de l’œuvre ; acteur dédié à implémenter</x:v>
      </x:c>
      <x:c r="F199" s="9" t="str">
        <x:v>Predator: Hunting Grounds</x:v>
      </x:c>
      <x:c r="G199" s="9" t="str">
        <x:v>Jeu</x:v>
      </x:c>
      <x:c r="H199" s="9" t="str">
        <x:v>Predator: Hunting Grounds</x:v>
      </x:c>
      <x:c r="I199" s="9" t="str">
        <x:v>Confirmé pour le fait cité ; autres détails à vérifier</x:v>
      </x:c>
      <x:c r="J199" s="9" t="str">
        <x:v>OWLF Operative est une classe avec combinaison thermique.</x:v>
      </x:c>
      <x:c r="K199" s="9" t="str">
        <x:v>H2-S12 — IllFonic / PlayStation Blog — OWLF et Dante
Source primaire du développeur
Portée : Article signé Lucas Pederson, IllFonic ; OWLF Operative, combinaison thermique et Dante.</x:v>
      </x:c>
      <x:c r="L199" s="22" t="str">
        <x:v>https://blog.playstation.com/?p=344388</x:v>
      </x:c>
      <x:c r="M199" s="9" t="str">
        <x:v>Absent du catalogue source de 115 fiches. Pas de type de combat spécialisé vérifié ; les profils génériques existants ne suffisent pas.</x:v>
      </x:c>
      <x:c r="N199"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199" s="9" t="str">
        <x:v>Ajouter la correspondance profil → acteur → source. Relever les capacités, modèle et animations ; vérifier le spawn, les identités et la fidélité du preset.</x:v>
      </x:c>
      <x:c r="P199" s="9" t="str">
        <x:v>Traque anti-Yautja proposée, capteurs et extraction.</x:v>
      </x:c>
      <x:c r="Q199" s="9" t="str">
        <x:v>Ne pas confondre OWLF avec Stargazer ; classe jouable du jeu, adversité selon scénario. Les ajouts à un groupe remplacent des places allouées. Réserves finies ; aucun renfort créé hors budget.</x:v>
      </x:c>
      <x:c r="R199" s="9" t="str">
        <x:v>Relations et opposition à définir dans le scénario de cette œuvre. Toute rencontre X/Y/H non attestée est une adaptation originale explicitement choisie.</x:v>
      </x:c>
      <x:c r="S199" s="9" t="str">
        <x:v>Lieu de l’œuvre à sélectionner et à documenter ; aucune nouvelle carte construite n’est revendiquée.</x:v>
      </x:c>
      <x:c r="T199" s="9" t="str">
        <x:v>Ne pas confondre OWLF avec Stargazer ; classe jouable du jeu, adversité selon scénario.</x:v>
      </x:c>
      <x:c r="U199" s="9" t="str">
        <x:v>P1</x:v>
      </x:c>
    </x:row>
    <x:row r="200" ht="72" hidden="0" customHeight="1">
      <x:c r="A200" s="10" t="str">
        <x:v>HUM-067</x:v>
      </x:c>
      <x:c r="B200" s="10" t="str">
        <x:v>Humains</x:v>
      </x:c>
      <x:c r="C200" s="10" t="str">
        <x:v>Guerrillas — mercenaires de Stargazer</x:v>
      </x:c>
      <x:c r="D200" s="10" t="str">
        <x:v>Groupe humain de mercenaires</x:v>
      </x:c>
      <x:c r="E200" s="10" t="str">
        <x:v>cadre ou groupe nommé ; membres et décompte à définir</x:v>
      </x:c>
      <x:c r="F200" s="10" t="str">
        <x:v>Predator: Hunting Grounds</x:v>
      </x:c>
      <x:c r="G200" s="10" t="str">
        <x:v>Jeu</x:v>
      </x:c>
      <x:c r="H200" s="10" t="str">
        <x:v>Predator: Hunting Grounds</x:v>
      </x:c>
      <x:c r="I200" s="10" t="str">
        <x:v>Confirmé pour le fait cité ; autres détails à vérifier</x:v>
      </x:c>
      <x:c r="J200" s="10" t="str">
        <x:v>Des mercenaires servent de première défense à Stargazer.</x:v>
      </x:c>
      <x:c r="K200" s="10" t="str">
        <x:v>H2-S11 — IllFonic — présentation des ennemis Hunting Grounds
Source primaire officielle
Portée : Distingue Guerrillas, PMC Soldiers et Stargazer.</x:v>
      </x:c>
      <x:c r="L200" s="23" t="str">
        <x:v>https://predator.illfonic.com/about/</x:v>
      </x:c>
      <x:c r="M200" s="10" t="str">
        <x:v>Absent du catalogue source de 115 fiches. Pas de type de combat spécialisé vérifié ; les profils génériques existants ne suffisent pas.</x:v>
      </x:c>
      <x:c r="N200"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0" s="10" t="str">
        <x:v>Ajouter la correspondance profil → acteur → source. Relever les capacités, modèle et animations ; vérifier le spawn, les identités et la fidélité du preset.</x:v>
      </x:c>
      <x:c r="P200" s="10" t="str">
        <x:v>Patrouilles et défense de camps proposées.</x:v>
      </x:c>
      <x:c r="Q200" s="10" t="str">
        <x:v>Preset contemporain Hunting Grounds ; pas d’équipement USCM du futur par défaut. Les ajouts à un groupe remplacent des places allouées. Réserves finies ; aucun renfort créé hors budget.</x:v>
      </x:c>
      <x:c r="R200" s="10" t="str">
        <x:v>Relations et opposition à définir dans le scénario de cette œuvre. Toute rencontre X/Y/H non attestée est une adaptation originale explicitement choisie.</x:v>
      </x:c>
      <x:c r="S200" s="10" t="str">
        <x:v>Lieu de l’œuvre à sélectionner et à documenter ; aucune nouvelle carte construite n’est revendiquée.</x:v>
      </x:c>
      <x:c r="T200" s="10" t="str">
        <x:v>Preset contemporain Hunting Grounds ; pas d’équipement USCM du futur par défaut.</x:v>
      </x:c>
      <x:c r="U200" s="10" t="str">
        <x:v>P1</x:v>
      </x:c>
    </x:row>
    <x:row r="201" ht="72" hidden="0" customHeight="1">
      <x:c r="A201" s="9" t="str">
        <x:v>HUM-068</x:v>
      </x:c>
      <x:c r="B201" s="9" t="str">
        <x:v>Humains</x:v>
      </x:c>
      <x:c r="C201" s="9" t="str">
        <x:v>PMC Soldiers — Hunting Grounds</x:v>
      </x:c>
      <x:c r="D201" s="9" t="str">
        <x:v>Groupe militaire privé humain</x:v>
      </x:c>
      <x:c r="E201" s="9" t="str">
        <x:v>cadre ou groupe nommé ; membres et décompte à définir</x:v>
      </x:c>
      <x:c r="F201" s="9" t="str">
        <x:v>Predator: Hunting Grounds</x:v>
      </x:c>
      <x:c r="G201" s="9" t="str">
        <x:v>Jeu</x:v>
      </x:c>
      <x:c r="H201" s="9" t="str">
        <x:v>Predator: Hunting Grounds</x:v>
      </x:c>
      <x:c r="I201" s="9" t="str">
        <x:v>Confirmé pour le fait cité ; autres détails à vérifier</x:v>
      </x:c>
      <x:c r="J201" s="9" t="str">
        <x:v>Les PMC constituent une force privée entraînée et armée.</x:v>
      </x:c>
      <x:c r="K201" s="9" t="str">
        <x:v>H2-S11 — IllFonic — présentation des ennemis Hunting Grounds
Source primaire officielle
Portée : Distingue Guerrillas, PMC Soldiers et Stargazer.</x:v>
      </x:c>
      <x:c r="L201" s="22" t="str">
        <x:v>https://predator.illfonic.com/about/</x:v>
      </x:c>
      <x:c r="M201" s="9" t="str">
        <x:v>Absent du catalogue source de 115 fiches. Pas de type de combat spécialisé vérifié ; les profils génériques existants ne suffisent pas.</x:v>
      </x:c>
      <x:c r="N201"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1" s="9" t="str">
        <x:v>Ajouter la correspondance profil → acteur → source. Relever les capacités, modèle et animations ; vérifier le spawn, les identités et la fidélité du preset.</x:v>
      </x:c>
      <x:c r="P201" s="9" t="str">
        <x:v>Section coordonnée proposée, poursuite et couvert.</x:v>
      </x:c>
      <x:c r="Q201" s="9" t="str">
        <x:v>Ne pas fusionner ces PMC avec Weyland-Yutani ou OWLF sans scénario original. Les ajouts à un groupe remplacent des places allouées. Réserves finies ; aucun renfort créé hors budget.</x:v>
      </x:c>
      <x:c r="R201" s="9" t="str">
        <x:v>Relations et opposition à définir dans le scénario de cette œuvre. Toute rencontre X/Y/H non attestée est une adaptation originale explicitement choisie.</x:v>
      </x:c>
      <x:c r="S201" s="9" t="str">
        <x:v>Lieu de l’œuvre à sélectionner et à documenter ; aucune nouvelle carte construite n’est revendiquée.</x:v>
      </x:c>
      <x:c r="T201" s="9" t="str">
        <x:v>Ne pas fusionner ces PMC avec Weyland-Yutani ou OWLF sans scénario original.</x:v>
      </x:c>
      <x:c r="U201" s="9" t="str">
        <x:v>P1</x:v>
      </x:c>
    </x:row>
    <x:row r="202" ht="72" hidden="0" customHeight="1">
      <x:c r="A202" s="10" t="str">
        <x:v>HUM-069</x:v>
      </x:c>
      <x:c r="B202" s="10" t="str">
        <x:v>Organisation humaine</x:v>
      </x:c>
      <x:c r="C202" s="10" t="str">
        <x:v>Stargazer — organisation</x:v>
      </x:c>
      <x:c r="D202" s="10" t="str">
        <x:v>Faction humaine / organisation</x:v>
      </x:c>
      <x:c r="E202" s="10" t="str">
        <x:v>cadre ou groupe nommé ; membres et décompte à définir</x:v>
      </x:c>
      <x:c r="F202" s="10" t="str">
        <x:v>Predator: Hunting Grounds</x:v>
      </x:c>
      <x:c r="G202" s="10" t="str">
        <x:v>Jeu</x:v>
      </x:c>
      <x:c r="H202" s="10" t="str">
        <x:v>Predator: Hunting Grounds</x:v>
      </x:c>
      <x:c r="I202" s="10" t="str">
        <x:v>Confirmé pour le fait cité ; autres détails à vérifier</x:v>
      </x:c>
      <x:c r="J202" s="10" t="str">
        <x:v>Stargazer recherche et protège la technologie extraterrestre.</x:v>
      </x:c>
      <x:c r="K202" s="10" t="str">
        <x:v>H2-S11 — IllFonic — présentation des ennemis Hunting Grounds
Source primaire officielle
Portée : Distingue Guerrillas, PMC Soldiers et Stargazer.</x:v>
      </x:c>
      <x:c r="L202" s="23" t="str">
        <x:v>https://predator.illfonic.com/about/</x:v>
      </x:c>
      <x:c r="M202" s="10" t="str">
        <x:v>Absent du catalogue source de 115 fiches. Pas de type de combat spécialisé vérifié ; les profils génériques existants ne suffisent pas.</x:v>
      </x:c>
      <x:c r="N202"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2" s="10" t="str">
        <x:v>Ajouter la correspondance profil → acteur → source. Relever les capacités, modèle et animations ; vérifier le spawn, les identités et la fidélité du preset.</x:v>
      </x:c>
      <x:c r="P202" s="10" t="str">
        <x:v>Camp de recherche, commandement et objectifs proposés.</x:v>
      </x:c>
      <x:c r="Q202" s="10" t="str">
        <x:v>Organisation, pas type de soldat ; instancier un roster explicite, pas une unité abstraite « Stargazer ». Les ajouts à un groupe remplacent des places allouées. Réserves finies ; aucun renfort créé hors budget.</x:v>
      </x:c>
      <x:c r="R202" s="10" t="str">
        <x:v>Relations et opposition à définir dans le scénario de cette œuvre. Toute rencontre X/Y/H non attestée est une adaptation originale explicitement choisie.</x:v>
      </x:c>
      <x:c r="S202" s="10" t="str">
        <x:v>Lieu de l’œuvre à sélectionner et à documenter ; aucune nouvelle carte construite n’est revendiquée.</x:v>
      </x:c>
      <x:c r="T202" s="10" t="str">
        <x:v>Organisation, pas type de soldat ; instancier un roster explicite, pas une unité abstraite « Stargazer ».</x:v>
      </x:c>
      <x:c r="U202" s="10" t="str">
        <x:v>P1</x:v>
      </x:c>
    </x:row>
    <x:row r="203" ht="60" hidden="0" customHeight="1">
      <x:c r="A203" s="9" t="str">
        <x:v>HUM-070</x:v>
      </x:c>
      <x:c r="B203" s="9" t="str">
        <x:v>Synthétiques</x:v>
      </x:c>
      <x:c r="C203" s="9" t="str">
        <x:v>Tessa — Badlands</x:v>
      </x:c>
      <x:c r="D203" s="9" t="str">
        <x:v>Individu synthétique nommé</x:v>
      </x:c>
      <x:c r="E203" s="9" t="str">
        <x:v>unique ; aucune réserve de clones</x:v>
      </x:c>
      <x:c r="F203" s="9" t="str">
        <x:v>Predator: Badlands</x:v>
      </x:c>
      <x:c r="G203" s="9" t="str">
        <x:v>Film</x:v>
      </x:c>
      <x:c r="H203" s="9" t="str">
        <x:v>Predator: Badlands</x:v>
      </x:c>
      <x:c r="I203" s="9" t="str">
        <x:v>Confirmé pour le fait cité ; autres détails à vérifier</x:v>
      </x:c>
      <x:c r="J203" s="9" t="str">
        <x:v>Le dossier officiel identifie Tessa comme synthétique.</x:v>
      </x:c>
      <x:c r="K203" s="9" t="str">
        <x:v>H2-S13 — Disney UK — Badlands, bonus vidéo officiels
Source primaire officielle
Portée : Tessa synthétique et Super Power Loader confirmés. Abe explicitement dans une scène supprimée ; pas film final.</x:v>
      </x:c>
      <x:c r="L203" s="22" t="str">
        <x:v>https://press.disney.co.uk/news/be-the-first-to-watch-predator-badlands-at-home-on-digital-jan-6</x:v>
      </x:c>
      <x:c r="M203" s="9" t="str">
        <x:v>Absent du catalogue source de 115 fiches. Pas de type de combat spécialisé vérifié ; les profils génériques existants ne suffisent pas.</x:v>
      </x:c>
      <x:c r="N203"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03" s="9" t="str">
        <x:v>Ajouter la correspondance profil → acteur → source. Relever les capacités, modèle et animations ; vérifier le spawn, les identités et la fidélité du preset.</x:v>
      </x:c>
      <x:c r="P203" s="9" t="str">
        <x:v>Adversaire ou chef de rencontre proposé après relevé de ses scènes.</x:v>
      </x:c>
      <x:c r="Q203" s="9" t="str">
        <x:v>Une identité Tessa ; pas clone de Thia ; capacités et affiliation détaillée à documenter. Les ajouts à un groupe remplacent des places allouées. Réserves finies ; aucun renfort créé hors budget.</x:v>
      </x:c>
      <x:c r="R203" s="9" t="str">
        <x:v>Relations et opposition à définir dans le scénario de cette œuvre. Toute rencontre X/Y/H non attestée est une adaptation originale explicitement choisie.</x:v>
      </x:c>
      <x:c r="S203" s="9" t="str">
        <x:v>LD-30 Genna : cadre proposé déjà catalogué ; scène et parcours de chaque rencontre à construire.</x:v>
      </x:c>
      <x:c r="T203" s="9" t="str">
        <x:v>Une identité Tessa ; pas clone de Thia ; capacités et affiliation détaillée à documenter.</x:v>
      </x:c>
      <x:c r="U203" s="9" t="str">
        <x:v>P1</x:v>
      </x:c>
    </x:row>
    <x:row r="204" ht="60" hidden="0" customHeight="1">
      <x:c r="A204" s="10" t="str">
        <x:v>HUM-071</x:v>
      </x:c>
      <x:c r="B204" s="10" t="str">
        <x:v>Matériel humain / robotique</x:v>
      </x:c>
      <x:c r="C204" s="10" t="str">
        <x:v>Super Power Loader — Badlands</x:v>
      </x:c>
      <x:c r="D204" s="10" t="str">
        <x:v>Matériel de rencontre</x:v>
      </x:c>
      <x:c r="E204" s="10" t="str">
        <x:v>matériel ; plafond séparé des combattants</x:v>
      </x:c>
      <x:c r="F204" s="10" t="str">
        <x:v>Predator: Badlands</x:v>
      </x:c>
      <x:c r="G204" s="10" t="str">
        <x:v>Film</x:v>
      </x:c>
      <x:c r="H204" s="10" t="str">
        <x:v>Predator: Badlands</x:v>
      </x:c>
      <x:c r="I204" s="10" t="str">
        <x:v>Confirmé pour le fait cité ; autres détails à vérifier</x:v>
      </x:c>
      <x:c r="J204" s="10" t="str">
        <x:v>Le Super Power Loader intervient dans le combat final de Dek.</x:v>
      </x:c>
      <x:c r="K204" s="10" t="str">
        <x:v>H2-S13 — Disney UK — Badlands, bonus vidéo officiels
Source primaire officielle
Portée : Tessa synthétique et Super Power Loader confirmés. Abe explicitement dans une scène supprimée ; pas film final.</x:v>
      </x:c>
      <x:c r="L204" s="23" t="str">
        <x:v>https://press.disney.co.uk/news/be-the-first-to-watch-predator-badlands-at-home-on-digital-jan-6</x:v>
      </x:c>
      <x:c r="M204" s="10" t="str">
        <x:v>Absent du catalogue source de 115 fiches. Matériel ou fiche spécifique non validé ; systèmes génériques existants.</x:v>
      </x:c>
      <x:c r="N204" s="10" t="str">
        <x:v>https://github.com/darknigthmare/Yautja-hive-warriors/blob/39871c450379225de8174711237632e6aa883f04/js/data/BattleCatalog.js#L41-L51
https://github.com/darknigthmare/Yautja-hive-warriors/blob/39871c450379225de8174711237632e6aa883f04/js/data/BattleCatalog.js
BattleCatalog.js 40–49 sépare catalogue documentaire et rendu.</x:v>
      </x:c>
      <x:c r="O204" s="10" t="str">
        <x:v>Ajouter la correspondance profil → acteur → source. Relever les capacités, modèle et animations ; vérifier le spawn, les identités et la fidélité du preset.</x:v>
      </x:c>
      <x:c r="P204" s="10" t="str">
        <x:v>Rencontre lourde proposée à phases et points d’interaction.</x:v>
      </x:c>
      <x:c r="Q204" s="10" t="str">
        <x:v>Modèle distinct du Power Loader d’Aliens ; pas race, pas horde. Relever pilotage et capacités dans le film. Les ajouts à un groupe remplacent des places allouées. Réserves finies ; aucun renfort créé hors budget.</x:v>
      </x:c>
      <x:c r="R204" s="10" t="str">
        <x:v>Relations et opposition à définir dans le scénario de cette œuvre. Toute rencontre X/Y/H non attestée est une adaptation originale explicitement choisie.</x:v>
      </x:c>
      <x:c r="S204" s="10" t="str">
        <x:v>LD-30 Genna : cadre proposé déjà catalogué ; scène et parcours de chaque rencontre à construire.</x:v>
      </x:c>
      <x:c r="T204" s="10" t="str">
        <x:v>Modèle distinct du Power Loader d’Aliens ; pas race, pas horde. Relever pilotage et capacités dans le film.</x:v>
      </x:c>
      <x:c r="U204" s="10" t="str">
        <x:v>P1</x:v>
      </x:c>
    </x:row>
    <x:row r="205" ht="72" hidden="0" customHeight="1">
      <x:c r="A205" s="9" t="str">
        <x:v>HUM-072</x:v>
      </x:c>
      <x:c r="B205" s="9" t="str">
        <x:v>Humains</x:v>
      </x:c>
      <x:c r="C205" s="9" t="str">
        <x:v>Idris — King Killer</x:v>
      </x:c>
      <x:c r="D205" s="9" t="str">
        <x:v>Individu humain augmenté</x:v>
      </x:c>
      <x:c r="E205" s="9" t="str">
        <x:v>unique ; aucune réserve de clones</x:v>
      </x:c>
      <x:c r="F205" s="9" t="str">
        <x:v>Alien: King Killer (2026)</x:v>
      </x:c>
      <x:c r="G205" s="9" t="str">
        <x:v>Comic</x:v>
      </x:c>
      <x:c r="H205" s="9" t="str">
        <x:v>Alien: King Killer (2026)</x:v>
      </x:c>
      <x:c r="I205" s="9" t="str">
        <x:v>Confirmé pour le fait cité ; autres détails à vérifier</x:v>
      </x:c>
      <x:c r="J205" s="9" t="str">
        <x:v>Idris est un humain augmenté sur Sovryn.</x:v>
      </x:c>
      <x:c r="K205" s="9" t="str">
        <x:v>H2-S14 — Marvel — Alien: King Killer (2026) #3
Source primaire officielle
Portée : Idris humain augmenté, Green King son frère, planète Sovryn ; synopsis seulement, capacités non exposées.</x:v>
      </x:c>
      <x:c r="L205" s="22" t="str">
        <x:v>https://www.marvel.com/comics/issue/136333/alien_king_killer_2026_3_variant/variant</x:v>
      </x:c>
      <x:c r="M205" s="9" t="str">
        <x:v>Absent du catalogue source de 115 fiches. Pas de type de combat spécialisé vérifié ; les profils génériques existants ne suffisent pas.</x:v>
      </x:c>
      <x:c r="N205"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5" s="9" t="str">
        <x:v>Ajouter la correspondance profil → acteur → source. Relever les capacités, modèle et animations ; vérifier le spawn, les identités et la fidélité du preset.</x:v>
      </x:c>
      <x:c r="P205" s="9" t="str">
        <x:v>Héros ou adversaire unique proposé.</x:v>
      </x:c>
      <x:c r="Q205" s="9" t="str">
        <x:v>Une identité ; aucune caste de soldats augmentés déduite ; aptitudes précises à documenter. Les ajouts à un groupe remplacent des places allouées. Réserves finies ; aucun renfort créé hors budget.</x:v>
      </x:c>
      <x:c r="R205" s="9" t="str">
        <x:v>Relations et opposition à définir dans le scénario de cette œuvre. Toute rencontre X/Y/H non attestée est une adaptation originale explicitement choisie.</x:v>
      </x:c>
      <x:c r="S205" s="9" t="str">
        <x:v>Lieu de l’œuvre à sélectionner et à documenter ; aucune nouvelle carte construite n’est revendiquée.</x:v>
      </x:c>
      <x:c r="T205" s="9" t="str">
        <x:v>Une identité ; aucune caste de soldats augmentés déduite ; aptitudes précises à documenter.</x:v>
      </x:c>
      <x:c r="U205" s="9" t="str">
        <x:v>P2</x:v>
      </x:c>
    </x:row>
    <x:row r="206" ht="72" hidden="0" customHeight="1">
      <x:c r="A206" s="10" t="str">
        <x:v>HUM-073</x:v>
      </x:c>
      <x:c r="B206" s="10" t="str">
        <x:v>Humains</x:v>
      </x:c>
      <x:c r="C206" s="10" t="str">
        <x:v>Three Kings, dont Green King</x:v>
      </x:c>
      <x:c r="D206" s="10" t="str">
        <x:v>Groupe de dirigeants nommés</x:v>
      </x:c>
      <x:c r="E206" s="10" t="str">
        <x:v>cadre ou groupe nommé ; membres et décompte à définir</x:v>
      </x:c>
      <x:c r="F206" s="10" t="str">
        <x:v>Alien: King Killer (2026)</x:v>
      </x:c>
      <x:c r="G206" s="10" t="str">
        <x:v>Comic</x:v>
      </x:c>
      <x:c r="H206" s="10" t="str">
        <x:v>Alien: King Killer (2026)</x:v>
      </x:c>
      <x:c r="I206" s="10" t="str">
        <x:v>Confirmé pour le fait cité ; autres détails à vérifier</x:v>
      </x:c>
      <x:c r="J206" s="10" t="str">
        <x:v>Three Kings désigne trois seigneurs de guerre protecteurs de survivants.</x:v>
      </x:c>
      <x:c r="K206" s="10" t="str">
        <x:v>H2-S15 — Marvel — Alien: King Killer (2026) #2
Source primaire officielle
Portée : Three Kings sont trois seigneurs de guerre protégeant les survivants ; ce titre ne prouve aucune caste Alien King.</x:v>
      </x:c>
      <x:c r="L206" s="23" t="str">
        <x:v>https://www.marvel.com/comics/issue/135463/alien_king_killer_2026_2_variant/variant</x:v>
      </x:c>
      <x:c r="M206" s="10" t="str">
        <x:v>Absent du catalogue source de 115 fiches. Pas de type de combat spécialisé vérifié ; les profils génériques existants ne suffisent pas.</x:v>
      </x:c>
      <x:c r="N206"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6" s="10" t="str">
        <x:v>Ajouter la correspondance profil → acteur → source. Relever les capacités, modèle et animations ; vérifier le spawn, les identités et la fidélité du preset.</x:v>
      </x:c>
      <x:c r="P206" s="10" t="str">
        <x:v>Chefs de factions et guerre civile proposés.</x:v>
      </x:c>
      <x:c r="Q206" s="10" t="str">
        <x:v>Groupe narratif, pas caste Alien King. Composition complète, pouvoirs et garde à relever avant spawn. Les ajouts à un groupe remplacent des places allouées. Réserves finies ; aucun renfort créé hors budget.</x:v>
      </x:c>
      <x:c r="R206" s="10" t="str">
        <x:v>Relations et opposition à définir dans le scénario de cette œuvre. Toute rencontre X/Y/H non attestée est une adaptation originale explicitement choisie.</x:v>
      </x:c>
      <x:c r="S206" s="10" t="str">
        <x:v>Lieu de l’œuvre à sélectionner et à documenter ; aucune nouvelle carte construite n’est revendiquée.</x:v>
      </x:c>
      <x:c r="T206" s="10" t="str">
        <x:v>Groupe narratif, pas caste Alien King. Composition complète, pouvoirs et garde à relever avant spawn.</x:v>
      </x:c>
      <x:c r="U206" s="10" t="str">
        <x:v>P2</x:v>
      </x:c>
    </x:row>
    <x:row r="207" ht="72" hidden="0" customHeight="1">
      <x:c r="A207" s="9" t="str">
        <x:v>HUM-074</x:v>
      </x:c>
      <x:c r="B207" s="9" t="str">
        <x:v>Humains</x:v>
      </x:c>
      <x:c r="C207" s="9" t="str">
        <x:v>Ursa et sa troupe</x:v>
      </x:c>
      <x:c r="D207" s="9" t="str">
        <x:v>Individu et groupe humains de période</x:v>
      </x:c>
      <x:c r="E207" s="9" t="str">
        <x:v>cadre ou groupe nommé ; membres et décompte à définir</x:v>
      </x:c>
      <x:c r="F207" s="9" t="str">
        <x:v>Predator: Killer of Killers</x:v>
      </x:c>
      <x:c r="G207" s="9" t="str">
        <x:v>Jeu</x:v>
      </x:c>
      <x:c r="H207" s="9" t="str">
        <x:v>Predator: Killer of Killers</x:v>
      </x:c>
      <x:c r="I207" s="9" t="str">
        <x:v>Confirmé pour le fait cité ; autres détails à vérifier</x:v>
      </x:c>
      <x:c r="J207" s="9" t="str">
        <x:v>Ursa dirige une troupe en 841.</x:v>
      </x:c>
      <x:c r="K207" s="9" t="str">
        <x:v>H2-S16 — Disney France — Predator: Killer of Killers
Source primaire officielle
Portée : Résumé des trois récits : Ursa en 841, Kenji/Kiyoshi au Japon Edo, Torres et Vandy en 1942.</x:v>
      </x:c>
      <x:c r="L207" s="22" t="str">
        <x:v>https://newsroom.disney.fr/actualites/predator-killer-of-killers-pour-feter-son-arrivee-aujourdhui-sur-disney-decouvrez-un-extrait-du-premier-film-danimation-de-la-saga-predator-a42e6-dc71f.html</x:v>
      </x:c>
      <x:c r="M207" s="9" t="str">
        <x:v>Absent du catalogue source de 115 fiches. Pas de type de combat spécialisé vérifié ; les profils génériques existants ne suffisent pas.</x:v>
      </x:c>
      <x:c r="N207"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7" s="9" t="str">
        <x:v>Ajouter la correspondance profil → acteur → source. Relever les capacités, modèle et animations ; vérifier le spawn, les identités et la fidélité du preset.</x:v>
      </x:c>
      <x:c r="P207" s="9" t="str">
        <x:v>Raid de forteresse proposé.</x:v>
      </x:c>
      <x:c r="Q207" s="9" t="str">
        <x:v>Ursa unique ; troupe finie et époque propre. Origine culturelle ne vaut pas hostilité automatique. Les ajouts à un groupe remplacent des places allouées. Réserves finies ; aucun renfort créé hors budget.</x:v>
      </x:c>
      <x:c r="R207" s="9" t="str">
        <x:v>Relations et opposition à définir dans le scénario de cette œuvre. Toute rencontre X/Y/H non attestée est une adaptation originale explicitement choisie.</x:v>
      </x:c>
      <x:c r="S207" s="9" t="str">
        <x:v>Lieu de l’œuvre à sélectionner et à documenter ; aucune nouvelle carte construite n’est revendiquée.</x:v>
      </x:c>
      <x:c r="T207" s="9" t="str">
        <x:v>Ursa unique ; troupe finie et époque propre. Origine culturelle ne vaut pas hostilité automatique.</x:v>
      </x:c>
      <x:c r="U207" s="9" t="str">
        <x:v>P2</x:v>
      </x:c>
    </x:row>
    <x:row r="208" ht="72" hidden="0" customHeight="1">
      <x:c r="A208" s="10" t="str">
        <x:v>HUM-075</x:v>
      </x:c>
      <x:c r="B208" s="10" t="str">
        <x:v>Humains</x:v>
      </x:c>
      <x:c r="C208" s="10" t="str">
        <x:v>Kenji et Kiyoshi</x:v>
      </x:c>
      <x:c r="D208" s="10" t="str">
        <x:v>Deux individus humains de période</x:v>
      </x:c>
      <x:c r="E208" s="10" t="str">
        <x:v>cadre ou groupe nommé ; membres et décompte à définir</x:v>
      </x:c>
      <x:c r="F208" s="10" t="str">
        <x:v>Predator: Killer of Killers</x:v>
      </x:c>
      <x:c r="G208" s="10" t="str">
        <x:v>Jeu</x:v>
      </x:c>
      <x:c r="H208" s="10" t="str">
        <x:v>Predator: Killer of Killers</x:v>
      </x:c>
      <x:c r="I208" s="10" t="str">
        <x:v>Confirmé pour le fait cité ; autres détails à vérifier</x:v>
      </x:c>
      <x:c r="J208" s="10" t="str">
        <x:v>Kenji et Kiyoshi sont deux frères dans le récit japonais.</x:v>
      </x:c>
      <x:c r="K208" s="10" t="str">
        <x:v>H2-S16 — Disney France — Predator: Killer of Killers
Source primaire officielle
Portée : Résumé des trois récits : Ursa en 841, Kenji/Kiyoshi au Japon Edo, Torres et Vandy en 1942.</x:v>
      </x:c>
      <x:c r="L208" s="23" t="str">
        <x:v>https://newsroom.disney.fr/actualites/predator-killer-of-killers-pour-feter-son-arrivee-aujourdhui-sur-disney-decouvrez-un-extrait-du-premier-film-danimation-de-la-saga-predator-a42e6-dc71f.html</x:v>
      </x:c>
      <x:c r="M208" s="10" t="str">
        <x:v>Absent du catalogue source de 115 fiches. Pas de type de combat spécialisé vérifié ; les profils génériques existants ne suffisent pas.</x:v>
      </x:c>
      <x:c r="N208"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8" s="10" t="str">
        <x:v>Ajouter la correspondance profil → acteur → source. Relever les capacités, modèle et animations ; vérifier le spawn, les identités et la fidélité du preset.</x:v>
      </x:c>
      <x:c r="P208" s="10" t="str">
        <x:v>Duel et infiltration proposés.</x:v>
      </x:c>
      <x:c r="Q208" s="10" t="str">
        <x:v>Deux identités, pas unités clonées ; scénario historique séparé des armées modernes. Les ajouts à un groupe remplacent des places allouées. Réserves finies ; aucun renfort créé hors budget.</x:v>
      </x:c>
      <x:c r="R208" s="10" t="str">
        <x:v>Relations et opposition à définir dans le scénario de cette œuvre. Toute rencontre X/Y/H non attestée est une adaptation originale explicitement choisie.</x:v>
      </x:c>
      <x:c r="S208" s="10" t="str">
        <x:v>Lieu de l’œuvre à sélectionner et à documenter ; aucune nouvelle carte construite n’est revendiquée.</x:v>
      </x:c>
      <x:c r="T208" s="10" t="str">
        <x:v>Deux identités, pas unités clonées ; scénario historique séparé des armées modernes.</x:v>
      </x:c>
      <x:c r="U208" s="10" t="str">
        <x:v>P2</x:v>
      </x:c>
    </x:row>
    <x:row r="209" ht="72" hidden="0" customHeight="1">
      <x:c r="A209" s="9" t="str">
        <x:v>HUM-076</x:v>
      </x:c>
      <x:c r="B209" s="9" t="str">
        <x:v>Humains</x:v>
      </x:c>
      <x:c r="C209" s="9" t="str">
        <x:v>Torres et Vandy — aviation 1942</x:v>
      </x:c>
      <x:c r="D209" s="9" t="str">
        <x:v>Individus humains et rôle aérien</x:v>
      </x:c>
      <x:c r="E209" s="9" t="str">
        <x:v>cadre ou groupe nommé ; membres et décompte à définir</x:v>
      </x:c>
      <x:c r="F209" s="9" t="str">
        <x:v>Predator: Killer of Killers</x:v>
      </x:c>
      <x:c r="G209" s="9" t="str">
        <x:v>Jeu</x:v>
      </x:c>
      <x:c r="H209" s="9" t="str">
        <x:v>Predator: Killer of Killers</x:v>
      </x:c>
      <x:c r="I209" s="9" t="str">
        <x:v>Confirmé pour le fait cité ; autres détails à vérifier</x:v>
      </x:c>
      <x:c r="J209" s="9" t="str">
        <x:v>Torres et Vandy participent au récit aérien de 1942.</x:v>
      </x:c>
      <x:c r="K209" s="9" t="str">
        <x:v>H2-S16 — Disney France — Predator: Killer of Killers
Source primaire officielle
Portée : Résumé des trois récits : Ursa en 841, Kenji/Kiyoshi au Japon Edo, Torres et Vandy en 1942.</x:v>
      </x:c>
      <x:c r="L209" s="22" t="str">
        <x:v>https://newsroom.disney.fr/actualites/predator-killer-of-killers-pour-feter-son-arrivee-aujourdhui-sur-disney-decouvrez-un-extrait-du-premier-film-danimation-de-la-saga-predator-a42e6-dc71f.html</x:v>
      </x:c>
      <x:c r="M209" s="9" t="str">
        <x:v>Absent du catalogue source de 115 fiches. Pas de type de combat spécialisé vérifié ; les profils génériques existants ne suffisent pas.</x:v>
      </x:c>
      <x:c r="N209" s="9"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09" s="9" t="str">
        <x:v>Ajouter la correspondance profil → acteur → source. Relever les capacités, modèle et animations ; vérifier le spawn, les identités et la fidélité du preset.</x:v>
      </x:c>
      <x:c r="P209" s="9" t="str">
        <x:v>Mission aérienne et secours proposés.</x:v>
      </x:c>
      <x:c r="Q209" s="9" t="str">
        <x:v>Pilotes et appareils comptés séparément ; pas Marines coloniaux. Noms uniques. Les ajouts à un groupe remplacent des places allouées. Réserves finies ; aucun renfort créé hors budget.</x:v>
      </x:c>
      <x:c r="R209" s="9" t="str">
        <x:v>Relations et opposition à définir dans le scénario de cette œuvre. Toute rencontre X/Y/H non attestée est une adaptation originale explicitement choisie.</x:v>
      </x:c>
      <x:c r="S209" s="9" t="str">
        <x:v>Lieu de l’œuvre à sélectionner et à documenter ; aucune nouvelle carte construite n’est revendiquée.</x:v>
      </x:c>
      <x:c r="T209" s="9" t="str">
        <x:v>Pilotes et appareils comptés séparément ; pas Marines coloniaux. Noms uniques.</x:v>
      </x:c>
      <x:c r="U209" s="9" t="str">
        <x:v>P2</x:v>
      </x:c>
    </x:row>
    <x:row r="210" ht="72" hidden="0" customHeight="1">
      <x:c r="A210" s="10" t="str">
        <x:v>HUM-077</x:v>
      </x:c>
      <x:c r="B210" s="10" t="str">
        <x:v>Humains</x:v>
      </x:c>
      <x:c r="C210" s="10" t="str">
        <x:v>Dog Catchers — commandos Weyland-Yutani</x:v>
      </x:c>
      <x:c r="D210" s="10" t="str">
        <x:v>Formation militaire privée humaine</x:v>
      </x:c>
      <x:c r="E210" s="10" t="str">
        <x:v>hors socle par défaut ; extension optionnelle</x:v>
      </x:c>
      <x:c r="F210" s="10" t="str">
        <x:v>Aliens: Bishop (roman, 2023)</x:v>
      </x:c>
      <x:c r="G210" s="10" t="str">
        <x:v>Roman sous licence (optionnel)</x:v>
      </x:c>
      <x:c r="H210" s="10" t="str">
        <x:v>Roman Aliens: Bishop ; ne pas transférer automatiquement aux jeux.</x:v>
      </x:c>
      <x:c r="I210" s="10" t="str">
        <x:v>Confirmé dans une continuité optionnelle ; hors socle par défaut</x:v>
      </x:c>
      <x:c r="J210" s="10" t="str">
        <x:v>Les Dog Catchers sont des commandos employés par Weyland-Yutani.</x:v>
      </x:c>
      <x:c r="K210" s="10" t="str">
        <x:v>H2-S25 — Titan Books — Aliens: Bishop
Source primaire sous licence : éditeur du roman
Portée : Lance Bishop est synthétique ; Dog Catchers sont des commandos employés par WY. Le roman reste une extension sous licence distincte.</x:v>
      </x:c>
      <x:c r="L210" s="23" t="str">
        <x:v>https://titanbooks.com/71453-aliens-bishop/</x:v>
      </x:c>
      <x:c r="M210" s="10" t="str">
        <x:v>Absent du catalogue source de 115 fiches. Pas de type de combat spécialisé vérifié ; les profils génériques existants ne suffisent pas.</x:v>
      </x:c>
      <x:c r="N210" s="10" t="str">
        <x:v>https://github.com/darknigthmare/Yautja-hive-warriors/blob/39871c450379225de8174711237632e6aa883f04/js/data/BattleCatalog.js#L41-L51
https://github.com/darknigthmare/Yautja-hive-warriors/blob/39871c450379225de8174711237632e6aa883f04/js/entities/ColonialMarines.js
ColonialMarines.js 193–195 : marine, human, smartgunner, flametrooper ; les deux premiers utilisent le comportement smartgunner.</x:v>
      </x:c>
      <x:c r="O210" s="10" t="str">
        <x:v>Extension optionnelle : valider le périmètre puis créer les fiches et acteurs nécessaires ; aucune activation automatique.</x:v>
      </x:c>
      <x:c r="P210" s="10" t="str">
        <x:v>Section de récupération et poursuite proposée.</x:v>
      </x:c>
      <x:c r="Q210" s="10" t="str">
        <x:v>Extension romanesque sous licence, optionnelle au périmètre films/jeux/séries/comics. Ne prouve pas le roster UPP ni les sous-types Colonial Marines. Les ajouts à un groupe remplacent des places allouées. Réserves finies ; aucun renfort créé hors budget.</x:v>
      </x:c>
      <x:c r="R210" s="10" t="str">
        <x:v>Relations et opposition à définir dans le scénario de cette œuvre. Toute rencontre X/Y/H non attestée est une adaptation originale explicitement choisie.</x:v>
      </x:c>
      <x:c r="S210" s="10" t="str">
        <x:v>Lieu de l’œuvre à sélectionner et à documenter ; aucune nouvelle carte construite n’est revendiquée.</x:v>
      </x:c>
      <x:c r="T210" s="10" t="str">
        <x:v>Extension romanesque sous licence, optionnelle au périmètre films/jeux/séries/comics. Ne prouve pas le roster UPP ni les sous-types Colonial Marines. Continuité optionnelle : elle ne valide pas des rangs ou espèces universels.</x:v>
      </x:c>
      <x:c r="U210" s="10" t="str">
        <x:v>P2</x:v>
      </x:c>
    </x:row>
    <x:row r="211" ht="60" hidden="0" customHeight="1">
      <x:c r="A211" s="9" t="str">
        <x:v>HUM-078</x:v>
      </x:c>
      <x:c r="B211" s="9" t="str">
        <x:v>Synthétiques</x:v>
      </x:c>
      <x:c r="C211" s="9" t="str">
        <x:v>Ash</x:v>
      </x:c>
      <x:c r="D211" s="9" t="str">
        <x:v>Individu synthétique nommé / rôle narratif</x:v>
      </x:c>
      <x:c r="E211" s="9" t="str">
        <x:v>unique ; aucune réserve de clones</x:v>
      </x:c>
      <x:c r="F211" s="9" t="str">
        <x:v>Alien (1979)</x:v>
      </x:c>
      <x:c r="G211" s="9" t="str">
        <x:v>Film</x:v>
      </x:c>
      <x:c r="H211" s="9" t="str">
        <x:v>Alien (1979)</x:v>
      </x:c>
      <x:c r="I211" s="9" t="str">
        <x:v>Confirmé pour le fait cité ; autres détails à vérifier</x:v>
      </x:c>
      <x:c r="J211" s="9" t="str">
        <x:v>Scott décrit Ash comme un robot à apparence humaine dissimulé dans l’équipage.</x:v>
      </x:c>
      <x:c r="K211" s="9" t="str">
        <x:v>H2-S23 — MovieMaker — entretien direct avec Scott, Álvarez, Spaeny et Jonsson
Source primaire : témoignages directs des créateurs et interprètes
Portée : Scott décrit Ash comme robot dissimulé ; Spaeny et Jonsson décrivent Andy, frère synthétique de Rain ; Álvarez oppose trahison et bienveillance. Seuls témoignages directs utilisés comme preuve.</x:v>
      </x:c>
      <x:c r="L211" s="22" t="str">
        <x:v>https://www.moviemaker.com/alien-romulus-cover-story/</x:v>
      </x:c>
      <x:c r="M211" s="9" t="str">
        <x:v>Absent du catalogue source de 115 fiches. Aucune implémentation individuelle vérifiée.</x:v>
      </x:c>
      <x:c r="N211"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1" s="9" t="str">
        <x:v>Ajouter la correspondance profil → acteur → source. Relever les capacités, modèle et animations ; vérifier le spawn, les identités et la fidélité du preset.</x:v>
      </x:c>
      <x:c r="P211" s="9" t="str">
        <x:v>Antagoniste scénarisé ; confrontation et ordre corporatif propres à sa scène.</x:v>
      </x:c>
      <x:c r="Q211" s="9"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1" s="9" t="str">
        <x:v>Relations et opposition à définir dans le scénario de cette œuvre. Toute rencontre X/Y/H non attestée est une adaptation originale explicitement choisie.</x:v>
      </x:c>
      <x:c r="S211" s="9" t="str">
        <x:v>Lieu de l’œuvre à sélectionner et à documenter ; aucune nouvelle carte construite n’est revendiquée.</x:v>
      </x:c>
      <x:c r="T211" s="9" t="str">
        <x:v>Une identité narrative, jamais une caste ou un contingent de copies. HUM-015 ne vaut pas fiche individuelle. Aucune hostilité commune à tous les synthétiques.</x:v>
      </x:c>
      <x:c r="U211" s="9" t="str">
        <x:v>P1</x:v>
      </x:c>
    </x:row>
    <x:row r="212" ht="60" hidden="0" customHeight="1">
      <x:c r="A212" s="10" t="str">
        <x:v>HUM-079</x:v>
      </x:c>
      <x:c r="B212" s="10" t="str">
        <x:v>Synthétiques</x:v>
      </x:c>
      <x:c r="C212" s="10" t="str">
        <x:v>David</x:v>
      </x:c>
      <x:c r="D212" s="10" t="str">
        <x:v>Individu synthétique nommé / rôle narratif</x:v>
      </x:c>
      <x:c r="E212" s="10" t="str">
        <x:v>unique ; aucune réserve de clones</x:v>
      </x:c>
      <x:c r="F212" s="10" t="str">
        <x:v>Prometheus ; Alien: Covenant</x:v>
      </x:c>
      <x:c r="G212" s="10" t="str">
        <x:v>Film</x:v>
      </x:c>
      <x:c r="H212" s="10" t="str">
        <x:v>Prometheus ; Alien: Covenant</x:v>
      </x:c>
      <x:c r="I212" s="10" t="str">
        <x:v>Confirmé pour le fait cité ; autres détails à vérifier</x:v>
      </x:c>
      <x:c r="J212" s="10" t="str">
        <x:v>David est un synthétique associé à des expériences létales.</x:v>
      </x:c>
      <x:c r="K212" s="10" t="str">
        <x:v>H2-S21 — Disney+ — guide officiel des films Alien
Source primaire officielle
Portée : Résumé officiel indexé consulté : Call synthétique alliée, David synthétique et expériences létales, Walter androïde. Ouverture directe bloquée, contenu indexé disponible.</x:v>
      </x:c>
      <x:c r="L212" s="23" t="str">
        <x:v>https://www.disneyplus.com/explore/articles/watch-the-alien-saga-in-order</x:v>
      </x:c>
      <x:c r="M212" s="10" t="str">
        <x:v>Absent du catalogue source de 115 fiches. Aucune implémentation individuelle vérifiée.</x:v>
      </x:c>
      <x:c r="N212"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2" s="10" t="str">
        <x:v>Ajouter la correspondance profil → acteur → source. Relever les capacités, modèle et animations ; vérifier le spawn, les identités et la fidélité du preset.</x:v>
      </x:c>
      <x:c r="P212" s="10" t="str">
        <x:v>Antagoniste narratif possible ; objectifs de recherche et rencontres uniques.</x:v>
      </x:c>
      <x:c r="Q212" s="10"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2" s="10" t="str">
        <x:v>Relations et opposition à définir dans le scénario de cette œuvre. Toute rencontre X/Y/H non attestée est une adaptation originale explicitement choisie.</x:v>
      </x:c>
      <x:c r="S212" s="10" t="str">
        <x:v>Lieu de l’œuvre à sélectionner et à documenter ; aucune nouvelle carte construite n’est revendiquée.</x:v>
      </x:c>
      <x:c r="T212" s="10" t="str">
        <x:v>Une identité narrative, jamais une caste ou un contingent de copies. HUM-015 ne vaut pas fiche individuelle. Aucune hostilité commune à tous les synthétiques.</x:v>
      </x:c>
      <x:c r="U212" s="10" t="str">
        <x:v>P1</x:v>
      </x:c>
    </x:row>
    <x:row r="213" ht="60" hidden="0" customHeight="1">
      <x:c r="A213" s="9" t="str">
        <x:v>HUM-080</x:v>
      </x:c>
      <x:c r="B213" s="9" t="str">
        <x:v>Synthétiques</x:v>
      </x:c>
      <x:c r="C213" s="9" t="str">
        <x:v>Walter</x:v>
      </x:c>
      <x:c r="D213" s="9" t="str">
        <x:v>Individu synthétique nommé / rôle narratif</x:v>
      </x:c>
      <x:c r="E213" s="9" t="str">
        <x:v>unique ; aucune réserve de clones</x:v>
      </x:c>
      <x:c r="F213" s="9" t="str">
        <x:v>Alien: Covenant</x:v>
      </x:c>
      <x:c r="G213" s="9" t="str">
        <x:v>Film</x:v>
      </x:c>
      <x:c r="H213" s="9" t="str">
        <x:v>Alien: Covenant</x:v>
      </x:c>
      <x:c r="I213" s="9" t="str">
        <x:v>Confirmé pour le fait cité ; autres détails à vérifier</x:v>
      </x:c>
      <x:c r="J213" s="9" t="str">
        <x:v>Walter est un androïde présenté comme plus empathique que David.</x:v>
      </x:c>
      <x:c r="K213" s="9" t="str">
        <x:v>H2-S21 — Disney+ — guide officiel des films Alien
Source primaire officielle
Portée : Résumé officiel indexé consulté : Call synthétique alliée, David synthétique et expériences létales, Walter androïde. Ouverture directe bloquée, contenu indexé disponible.</x:v>
      </x:c>
      <x:c r="L213" s="22" t="str">
        <x:v>https://www.disneyplus.com/explore/articles/watch-the-alien-saga-in-order</x:v>
      </x:c>
      <x:c r="M213" s="9" t="str">
        <x:v>Absent du catalogue source de 115 fiches. Aucune implémentation individuelle vérifiée.</x:v>
      </x:c>
      <x:c r="N213"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3" s="9" t="str">
        <x:v>Ajouter la correspondance profil → acteur → source. Relever les capacités, modèle et animations ; vérifier le spawn, les identités et la fidélité du preset.</x:v>
      </x:c>
      <x:c r="P213" s="9" t="str">
        <x:v>Assistant ou allié du scénario ; ne pas le convertir automatiquement en ennemi WY.</x:v>
      </x:c>
      <x:c r="Q213" s="9"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3" s="9" t="str">
        <x:v>Relations et opposition à définir dans le scénario de cette œuvre. Toute rencontre X/Y/H non attestée est une adaptation originale explicitement choisie.</x:v>
      </x:c>
      <x:c r="S213" s="9" t="str">
        <x:v>Lieu de l’œuvre à sélectionner et à documenter ; aucune nouvelle carte construite n’est revendiquée.</x:v>
      </x:c>
      <x:c r="T213" s="9" t="str">
        <x:v>Une identité narrative, jamais une caste ou un contingent de copies. HUM-015 ne vaut pas fiche individuelle. Aucune hostilité commune à tous les synthétiques.</x:v>
      </x:c>
      <x:c r="U213" s="9" t="str">
        <x:v>P1</x:v>
      </x:c>
    </x:row>
    <x:row r="214" ht="60" hidden="0" customHeight="1">
      <x:c r="A214" s="10" t="str">
        <x:v>HUM-081</x:v>
      </x:c>
      <x:c r="B214" s="10" t="str">
        <x:v>Synthétiques</x:v>
      </x:c>
      <x:c r="C214" s="10" t="str">
        <x:v>Bishop</x:v>
      </x:c>
      <x:c r="D214" s="10" t="str">
        <x:v>Individu synthétique nommé / rôle narratif</x:v>
      </x:c>
      <x:c r="E214" s="10" t="str">
        <x:v>unique ; aucune réserve de clones</x:v>
      </x:c>
      <x:c r="F214" s="10" t="str">
        <x:v>Aliens ; Alien 3</x:v>
      </x:c>
      <x:c r="G214" s="10" t="str">
        <x:v>Film</x:v>
      </x:c>
      <x:c r="H214" s="10" t="str">
        <x:v>Aliens ; Alien 3</x:v>
      </x:c>
      <x:c r="I214" s="10" t="str">
        <x:v>Confirmé pour le fait cité ; autres détails à vérifier</x:v>
      </x:c>
      <x:c r="J214" s="10" t="str">
        <x:v>NECA identifie Bishop comme androïde du film Aliens.</x:v>
      </x:c>
      <x:c r="K214" s="10" t="str">
        <x:v>H2-S22 — NECA — Android Bishop, Aliens
Source primaire sous licence
Portée : Identifie Bishop comme androïde du film Aliens de 1986.</x:v>
      </x:c>
      <x:c r="L214" s="23" t="str">
        <x:v>https://store.necaonline.com/products/aliens-android-bishop-7-inch-scale-action-figure-series-3</x:v>
      </x:c>
      <x:c r="M214" s="10" t="str">
        <x:v>Absent du catalogue source de 115 fiches. Aucune implémentation individuelle vérifiée.</x:v>
      </x:c>
      <x:c r="N214"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4" s="10" t="str">
        <x:v>Ajouter la correspondance profil → acteur → source. Relever les capacités, modèle et animations ; vérifier le spawn, les identités et la fidélité du preset.</x:v>
      </x:c>
      <x:c r="P214" s="10" t="str">
        <x:v>Allié proposé ; soutien, interaction et extraction, selon les scènes de référence.</x:v>
      </x:c>
      <x:c r="Q214" s="10"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4" s="10" t="str">
        <x:v>Relations et opposition à définir dans le scénario de cette œuvre. Toute rencontre X/Y/H non attestée est une adaptation originale explicitement choisie.</x:v>
      </x:c>
      <x:c r="S214" s="10" t="str">
        <x:v>Lieu de l’œuvre à sélectionner et à documenter ; aucune nouvelle carte construite n’est revendiquée.</x:v>
      </x:c>
      <x:c r="T214" s="10" t="str">
        <x:v>Une identité narrative, jamais une caste ou un contingent de copies. HUM-015 ne vaut pas fiche individuelle. Aucune hostilité commune à tous les synthétiques.</x:v>
      </x:c>
      <x:c r="U214" s="10" t="str">
        <x:v>P1</x:v>
      </x:c>
    </x:row>
    <x:row r="215" ht="60" hidden="0" customHeight="1">
      <x:c r="A215" s="9" t="str">
        <x:v>HUM-082</x:v>
      </x:c>
      <x:c r="B215" s="9" t="str">
        <x:v>Synthétiques</x:v>
      </x:c>
      <x:c r="C215" s="9" t="str">
        <x:v>Annalee Call</x:v>
      </x:c>
      <x:c r="D215" s="9" t="str">
        <x:v>Individu synthétique nommé / rôle narratif</x:v>
      </x:c>
      <x:c r="E215" s="9" t="str">
        <x:v>unique ; aucune réserve de clones</x:v>
      </x:c>
      <x:c r="F215" s="9" t="str">
        <x:v>Alien: Resurrection</x:v>
      </x:c>
      <x:c r="G215" s="9" t="str">
        <x:v>Film</x:v>
      </x:c>
      <x:c r="H215" s="9" t="str">
        <x:v>Alien: Resurrection</x:v>
      </x:c>
      <x:c r="I215" s="9" t="str">
        <x:v>Confirmé pour le fait cité ; autres détails à vérifier</x:v>
      </x:c>
      <x:c r="J215" s="9" t="str">
        <x:v>Call est une synthétique qui rejoint Ripley contre le trajet fatal du vaisseau.</x:v>
      </x:c>
      <x:c r="K215" s="9" t="str">
        <x:v>H2-S21 — Disney+ — guide officiel des films Alien
Source primaire officielle
Portée : Résumé officiel indexé consulté : Call synthétique alliée, David synthétique et expériences létales, Walter androïde. Ouverture directe bloquée, contenu indexé disponible.</x:v>
      </x:c>
      <x:c r="L215" s="22" t="str">
        <x:v>https://www.disneyplus.com/explore/articles/watch-the-alien-saga-in-order</x:v>
      </x:c>
      <x:c r="M215" s="9" t="str">
        <x:v>Absent du catalogue source de 115 fiches. Aucune implémentation individuelle vérifiée.</x:v>
      </x:c>
      <x:c r="N215"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5" s="9" t="str">
        <x:v>Ajouter la correspondance profil → acteur → source. Relever les capacités, modèle et animations ; vérifier le spawn, les identités et la fidélité du preset.</x:v>
      </x:c>
      <x:c r="P215" s="9" t="str">
        <x:v>Alliée du scénario ; identité et capacités propres à documenter, pas soldat WY générique.</x:v>
      </x:c>
      <x:c r="Q215" s="9"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5" s="9" t="str">
        <x:v>Relations et opposition à définir dans le scénario de cette œuvre. Toute rencontre X/Y/H non attestée est une adaptation originale explicitement choisie.</x:v>
      </x:c>
      <x:c r="S215" s="9" t="str">
        <x:v>Lieu de l’œuvre à sélectionner et à documenter ; aucune nouvelle carte construite n’est revendiquée.</x:v>
      </x:c>
      <x:c r="T215" s="9" t="str">
        <x:v>Une identité narrative, jamais une caste ou un contingent de copies. HUM-015 ne vaut pas fiche individuelle. Aucune hostilité commune à tous les synthétiques.</x:v>
      </x:c>
      <x:c r="U215" s="9" t="str">
        <x:v>P1</x:v>
      </x:c>
    </x:row>
    <x:row r="216" ht="60" hidden="0" customHeight="1">
      <x:c r="A216" s="10" t="str">
        <x:v>HUM-083</x:v>
      </x:c>
      <x:c r="B216" s="10" t="str">
        <x:v>Synthétiques</x:v>
      </x:c>
      <x:c r="C216" s="10" t="str">
        <x:v>Andy</x:v>
      </x:c>
      <x:c r="D216" s="10" t="str">
        <x:v>Individu synthétique nommé / rôle narratif</x:v>
      </x:c>
      <x:c r="E216" s="10" t="str">
        <x:v>unique ; aucune réserve de clones</x:v>
      </x:c>
      <x:c r="F216" s="10" t="str">
        <x:v>Alien: Romulus</x:v>
      </x:c>
      <x:c r="G216" s="10" t="str">
        <x:v>Film</x:v>
      </x:c>
      <x:c r="H216" s="10" t="str">
        <x:v>Alien: Romulus</x:v>
      </x:c>
      <x:c r="I216" s="10" t="str">
        <x:v>Confirmé pour le fait cité ; autres détails à vérifier</x:v>
      </x:c>
      <x:c r="J216" s="10" t="str">
        <x:v>Les interprètes décrivent Andy comme frère synthétique de Rain.</x:v>
      </x:c>
      <x:c r="K216" s="10" t="str">
        <x:v>H2-S23 — MovieMaker — entretien direct avec Scott, Álvarez, Spaeny et Jonsson
Source primaire : témoignages directs des créateurs et interprètes
Portée : Scott décrit Ash comme robot dissimulé ; Spaeny et Jonsson décrivent Andy, frère synthétique de Rain ; Álvarez oppose trahison et bienveillance. Seuls témoignages directs utilisés comme preuve.</x:v>
      </x:c>
      <x:c r="L216" s="23" t="str">
        <x:v>https://www.moviemaker.com/alien-romulus-cover-story/</x:v>
      </x:c>
      <x:c r="M216" s="10" t="str">
        <x:v>Absent du catalogue source de 115 fiches. Aucune implémentation individuelle vérifiée.</x:v>
      </x:c>
      <x:c r="N216" s="10"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6" s="10" t="str">
        <x:v>Ajouter la correspondance profil → acteur → source. Relever les capacités, modèle et animations ; vérifier le spawn, les identités et la fidélité du preset.</x:v>
      </x:c>
      <x:c r="P216" s="10" t="str">
        <x:v>Allié de Rain ; priorités variables à scénariser, pas hostilité automatique.</x:v>
      </x:c>
      <x:c r="Q216" s="10"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6" s="10" t="str">
        <x:v>Relations et opposition à définir dans le scénario de cette œuvre. Toute rencontre X/Y/H non attestée est une adaptation originale explicitement choisie.</x:v>
      </x:c>
      <x:c r="S216" s="10" t="str">
        <x:v>Lieu de l’œuvre à sélectionner et à documenter ; aucune nouvelle carte construite n’est revendiquée.</x:v>
      </x:c>
      <x:c r="T216" s="10" t="str">
        <x:v>Une identité narrative, jamais une caste ou un contingent de copies. HUM-015 ne vaut pas fiche individuelle. Aucune hostilité commune à tous les synthétiques.</x:v>
      </x:c>
      <x:c r="U216" s="10" t="str">
        <x:v>P1</x:v>
      </x:c>
    </x:row>
    <x:row r="217" ht="60" hidden="0" customHeight="1">
      <x:c r="A217" s="9" t="str">
        <x:v>HUM-084</x:v>
      </x:c>
      <x:c r="B217" s="9" t="str">
        <x:v>Synthétiques</x:v>
      </x:c>
      <x:c r="C217" s="9" t="str">
        <x:v>Rook</x:v>
      </x:c>
      <x:c r="D217" s="9" t="str">
        <x:v>Individu synthétique nommé / rôle narratif</x:v>
      </x:c>
      <x:c r="E217" s="9" t="str">
        <x:v>unique ; aucune réserve de clones</x:v>
      </x:c>
      <x:c r="F217" s="9" t="str">
        <x:v>Alien: Romulus</x:v>
      </x:c>
      <x:c r="G217" s="9" t="str">
        <x:v>Film</x:v>
      </x:c>
      <x:c r="H217" s="9" t="str">
        <x:v>Alien: Romulus</x:v>
      </x:c>
      <x:c r="I217" s="9" t="str">
        <x:v>Confirmé pour le fait cité ; autres détails à vérifier</x:v>
      </x:c>
      <x:c r="J217" s="9" t="str">
        <x:v>Rook est un robot corporatif distinct d’Ash.</x:v>
      </x:c>
      <x:c r="K217" s="9" t="str">
        <x:v>H2-S24 — Los Angeles Times — entretien direct avec Álvarez et Scott sur Rook
Source primaire : entretien des créateurs
Portée : Scott et Álvarez identifient un robot corporatif distinct.</x:v>
      </x:c>
      <x:c r="L217" s="22" t="str">
        <x:v>https://www.latimes.com/entertainment-arts/movies/story/2024-08-19/fede-alvarez-ridley-scott-resurrected-ian-holm-ai-alien-romulus-interview</x:v>
      </x:c>
      <x:c r="M217" s="9" t="str">
        <x:v>Absent du catalogue source de 115 fiches. Aucune implémentation individuelle vérifiée.</x:v>
      </x:c>
      <x:c r="N217" s="9" t="str">
        <x:v>https://github.com/darknigthmare/Yautja-hive-warriors/blob/39871c450379225de8174711237632e6aa883f04/js/data/BattleCatalog.js#L41-L51
https://github.com/darknigthmare/Yautja-hive-warriors/blob/39871c450379225de8174711237632e6aa883f04/js/entities/Synthetics.js#L298-L307
Registre limité à synthetic, working_joe, weyland_combat ; aucun sous-type ou individu dédié établi ici.</x:v>
      </x:c>
      <x:c r="O217" s="9" t="str">
        <x:v>Ajouter la correspondance profil → acteur → source. Relever les capacités, modèle et animations ; vérifier le spawn, les identités et la fidélité du preset.</x:v>
      </x:c>
      <x:c r="P217" s="9" t="str">
        <x:v>Adversité scénarisée ; pas unité de mêlée de masse par défaut.</x:v>
      </x:c>
      <x:c r="Q217" s="9" t="str">
        <x:v>Une identité narrative, jamais une caste ou un contingent de copies. HUM-015 ne vaut pas fiche individuelle. Aucune hostilité commune à tous les synthétiques. Les ajouts à un groupe remplacent des places allouées. Réserves finies ; aucun renfort créé hors budget.</x:v>
      </x:c>
      <x:c r="R217" s="9" t="str">
        <x:v>Relations et opposition à définir dans le scénario de cette œuvre. Toute rencontre X/Y/H non attestée est une adaptation originale explicitement choisie.</x:v>
      </x:c>
      <x:c r="S217" s="9" t="str">
        <x:v>Lieu de l’œuvre à sélectionner et à documenter ; aucune nouvelle carte construite n’est revendiquée.</x:v>
      </x:c>
      <x:c r="T217" s="9" t="str">
        <x:v>Une identité narrative, jamais une caste ou un contingent de copies. HUM-015 ne vaut pas fiche individuelle. Aucune hostilité commune à tous les synthétiques.</x:v>
      </x:c>
      <x:c r="U217" s="9" t="str">
        <x:v>P1</x:v>
      </x:c>
    </x:row>
    <x:row r="218" ht="48" hidden="0" customHeight="1">
      <x:c r="A218" s="10" t="str">
        <x:v>AUT-001</x:v>
      </x:c>
      <x:c r="B218" s="10" t="str">
        <x:v>Ingénieurs</x:v>
      </x:c>
      <x:c r="C218" s="10" t="str">
        <x:v>Ingénieur — Prometheus</x:v>
      </x:c>
      <x:c r="D218" s="10" t="str">
        <x:v>Espèce humanoïde distincte ; incarnation filmique</x:v>
      </x:c>
      <x:c r="E218" s="10" t="str">
        <x:v>preset de l’œuvre ; acteur dédié à implémenter</x:v>
      </x:c>
      <x:c r="F218" s="10" t="str">
        <x:v>Prometheus (2012)</x:v>
      </x:c>
      <x:c r="G218" s="10" t="str">
        <x:v>Film</x:v>
      </x:c>
      <x:c r="H218" s="10" t="str">
        <x:v>Prometheus ; ne pas transformer les tenues Pressure Suit et Chair Suit en deux espèces.</x:v>
      </x:c>
      <x:c r="I218" s="10" t="str">
        <x:v>Confirmé pour le fait cité ; autres détails à vérifier</x:v>
      </x:c>
      <x:c r="J218" s="10" t="str">
        <x:v>La notice licenciée présente l’Engineer de Prometheus en Pressure Suit et Chair Suit.</x:v>
      </x:c>
      <x:c r="K218" s="10" t="str">
        <x:v>RC-S01 — Prometheus Has Landed! — Engineers, Pressure Suit et Chair Suit
Source primaire licenciée
Portée : Confirme le nom Engineer et les deux tenues du personnage. Dimensions de figurine, pouvoirs et articulation du jouet non transposés en biologie.</x:v>
      </x:c>
      <x:c r="L218" s="23" t="str">
        <x:v>https://store.necaonline.com/blogs/news/prometheus-has-landed</x:v>
      </x:c>
      <x:c r="M218" s="10" t="str">
        <x:v>Absent du catalogue source de 115 fiches. Absent des 115 fiches ; boss awakened_engineer présent avec arsenal explicitement adapté.</x:v>
      </x:c>
      <x:c r="N218" s="10" t="str">
        <x:v>https://github.com/darknigthmare/Yautja-hive-warriors/blob/39871c450379225de8174711237632e6aa883f04/js/data/BattleCatalog.js#L41-L51
https://github.com/darknigthmare/Yautja-hive-warriors/blob/39871c450379225de8174711237632e6aa883f04/js/data/BossRegistry.js#L19</x:v>
      </x:c>
      <x:c r="O218" s="10" t="str">
        <x:v>Ajouter la correspondance profil → acteur → source. Relever les capacités, modèle et animations ; vérifier le spawn, les identités et la fidélité du preset.</x:v>
      </x:c>
      <x:c r="P218" s="10" t="str">
        <x:v>Proposition : rencontre narrative exceptionnelle ; reprendre seulement les capacités vérifiées dans la scène choisie.</x:v>
      </x:c>
      <x:c r="Q218" s="10" t="str">
        <x:v>Une incarnation filmique par reconstitution ; une armée d’Ingénieurs exige un scénario original et des effectifs proposés séparément. Bouclier de phase et vortex du jeu sont des inventions de gameplay. Les ajouts à un groupe remplacent des places allouées. Réserves finies ; aucun renfort créé hors budget.</x:v>
      </x:c>
      <x:c r="R218" s="10" t="str">
        <x:v>Relations et opposition à définir dans le scénario de cette œuvre. Toute rencontre X/Y/H non attestée est une adaptation originale explicitement choisie.</x:v>
      </x:c>
      <x:c r="S218" s="10" t="str">
        <x:v>Lieu de l’œuvre à sélectionner et à documenter ; aucune nouvelle carte construite n’est revendiquée.</x:v>
      </x:c>
      <x:c r="T218" s="10" t="str">
        <x:v>Une incarnation filmique par reconstitution ; une armée d’Ingénieurs exige un scénario original et des effectifs proposés séparément. Bouclier de phase et vortex du jeu sont des inventions de gameplay.</x:v>
      </x:c>
      <x:c r="U218" s="10" t="str">
        <x:v>P1</x:v>
      </x:c>
    </x:row>
    <x:row r="219" ht="72" hidden="0" customHeight="1">
      <x:c r="A219" s="9" t="str">
        <x:v>AUT-002</x:v>
      </x:c>
      <x:c r="B219" s="9" t="str">
        <x:v>Faune / organismes associés</x:v>
      </x:c>
      <x:c r="C219" s="9" t="str">
        <x:v>Predator Hound</x:v>
      </x:c>
      <x:c r="D219" s="9" t="str">
        <x:v>Bête de chasse extraterrestre ; organisme associé</x:v>
      </x:c>
      <x:c r="E219" s="9" t="str">
        <x:v>population_animale_bornée</x:v>
      </x:c>
      <x:c r="F219" s="9" t="str">
        <x:v>Predators (2010)</x:v>
      </x:c>
      <x:c r="G219" s="9" t="str">
        <x:v>Film</x:v>
      </x:c>
      <x:c r="H219" s="9" t="str">
        <x:v>Predators (2010)</x:v>
      </x:c>
      <x:c r="I219" s="9" t="str">
        <x:v>Confirmé pour le fait cité ; autres détails à vérifier</x:v>
      </x:c>
      <x:c r="J219" s="9" t="str">
        <x:v>NECA identifie une créature de sa gamme Predator comme Predator Hound.</x:v>
      </x:c>
      <x:c r="K219" s="9" t="str">
        <x:v>YC-S28 — You Voted — Our 5 Scariest Toys Ever
Source primaire licenciée
Portée : Le fabricant licencié nomme Predator Hound la créature reptilienne de sa gamme. Cette fiche ne documente pas l’ensemble des bêtes de tous les films.</x:v>
      </x:c>
      <x:c r="L219" s="22" t="str">
        <x:v>https://store.necaonline.com/blogs/news/you-voted-our-5-scariest-toys-ever</x:v>
      </x:c>
      <x:c r="M219" s="9" t="str">
        <x:v>Absent du catalogue source de 115 fiches. HellHoundsManager et le maillage de HellHound existent. Vérifier comportement, limites de population et fidélité avant de déclarer le profil terminé.</x:v>
      </x:c>
      <x:c r="N219" s="9" t="str">
        <x:v>https://github.com/darknigthmare/Yautja-hive-warriors/blob/39871c450379225de8174711237632e6aa883f04/js/data/BattleCatalog.js#L41-L51
https://github.com/darknigthmare/Yautja-hive-warriors/blob/39871c450379225de8174711237632e6aa883f04/js/entities/HellHounds.js#L1-L50
https://github.com/darknigthmare/Yautja-hive-warriors/blob/39871c450379225de8174711237632e6aa883f04/js/data/BattleCatalogData.js#L10189</x:v>
      </x:c>
      <x:c r="O219" s="9" t="str">
        <x:v>Ajouter la correspondance profil → acteur → source. Relever les capacités, modèle et animations ; vérifier le spawn, les identités et la fidélité du preset.</x:v>
      </x:c>
      <x:c r="P219" s="9" t="str">
        <x:v>Proposition : petite meute de rabattage, rappel et poursuite ; chaque bête compte dans le budget actif.</x:v>
      </x:c>
      <x:c r="Q219" s="9" t="str">
        <x:v>Ne pas compter comme caste Yautja ou xénomorphe. Ne pas fusionner automatiquement les bêtes de 2010 et celles de The Predator (2018). Les ajouts à un groupe remplacent des places allouées. Réserves finies ; aucun renfort créé hors budget.</x:v>
      </x:c>
      <x:c r="R219" s="9" t="str">
        <x:v>Relations et opposition à définir dans le scénario de cette œuvre. Toute rencontre X/Y/H non attestée est une adaptation originale explicitement choisie.</x:v>
      </x:c>
      <x:c r="S219" s="9" t="str">
        <x:v>Planète réserve de chasse du film ; carte existante du catalogue à adapter selon la scène.</x:v>
      </x:c>
      <x:c r="T219" s="9" t="str">
        <x:v>Ne pas compter comme caste Yautja ou xénomorphe. Ne pas fusionner automatiquement les bêtes de 2010 et celles de The Predator (2018).</x:v>
      </x:c>
      <x:c r="U219" s="9" t="str">
        <x:v>P2</x:v>
      </x:c>
    </x:row>
    <x:row r="220" ht="96" hidden="0" customHeight="1">
      <x:c r="A220" s="10" t="str">
        <x:v>AUT-003</x:v>
      </x:c>
      <x:c r="B220" s="10" t="str">
        <x:v>Faune / organismes associés</x:v>
      </x:c>
      <x:c r="C220" s="10" t="str">
        <x:v>River Ghost</x:v>
      </x:c>
      <x:c r="D220" s="10" t="str">
        <x:v>Autre proie extraterrestre de la réserve ; espèce non nommée taxonomiquement</x:v>
      </x:c>
      <x:c r="E220" s="10" t="str">
        <x:v>unique</x:v>
      </x:c>
      <x:c r="F220" s="10" t="str">
        <x:v>Predators (2010)</x:v>
      </x:c>
      <x:c r="G220" s="10" t="str">
        <x:v>Film</x:v>
      </x:c>
      <x:c r="H220" s="10" t="str">
        <x:v>Predators (2010)</x:v>
      </x:c>
      <x:c r="I220" s="10" t="str">
        <x:v>Confirmé pour le fait cité ; autres détails à vérifier</x:v>
      </x:c>
      <x:c r="J220" s="10" t="str">
        <x:v>Le scénariste Alex Litvak confirme que River Ghost illustre une autre proie extraterrestre de la réserve.</x:v>
      </x:c>
      <x:c r="K220" s="10" t="str">
        <x:v>YC-S29 — Alex Litvak Interview — Predators
Source primaire — entretien avec le scénariste
Portée : Réponse directe du coscénariste Alex Litvak à la question sur River Ghost : autre proie extraterrestre de la réserve, sans histoire détaillée développée. La preuve est son témoignage, pas l’encyclopédie du site.</x:v>
      </x:c>
      <x:c r="L220" s="23" t="str">
        <x:v>https://www.avpgalaxy.net/website/interviews/alex-litvak/</x:v>
      </x:c>
      <x:c r="M220" s="10" t="str">
        <x:v>Absent du catalogue source de 115 fiches. Aucun profil nommé constaté dans les registres personnages, NPC Yautja et boss inspectés ; ce constat n’est pas une preuve d’absence de tout asset.</x:v>
      </x:c>
      <x:c r="N220"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220" s="10" t="str">
        <x:v>Ajouter la correspondance profil → acteur → source. Relever les capacités, modèle et animations ; vérifier le spawn, les identités et la fidélité du preset.</x:v>
      </x:c>
      <x:c r="P220" s="10" t="str">
        <x:v>Proposition : rencontre ponctuelle de faune ou de proie concurrente dans la réserve ; comportement détaillé à relever dans le film.</x:v>
      </x:c>
      <x:c r="Q220" s="10" t="str">
        <x:v>Le nom désigne la créature du film. Ne pas en déduire une caste, une armée, une planète d’origine ou des pouvoirs absents de la source. Les ajouts à un groupe remplacent des places allouées. Réserves finies ; aucun renfort créé hors budget.</x:v>
      </x:c>
      <x:c r="R220" s="10" t="str">
        <x:v>Relations et opposition à définir dans le scénario de cette œuvre. Toute rencontre X/Y/H non attestée est une adaptation originale explicitement choisie.</x:v>
      </x:c>
      <x:c r="S220" s="10" t="str">
        <x:v>Planète réserve de chasse du film ; carte existante du catalogue à adapter selon la scène.</x:v>
      </x:c>
      <x:c r="T220" s="10" t="str">
        <x:v>Le nom désigne la créature du film. Ne pas en déduire une caste, une armée, une planète d’origine ou des pouvoirs absents de la source.</x:v>
      </x:c>
      <x:c r="U220" s="10" t="str">
        <x:v>P2</x:v>
      </x:c>
    </x:row>
    <x:row r="221" ht="96" hidden="0" customHeight="1">
      <x:c r="A221" s="9" t="str">
        <x:v>AUT-004</x:v>
      </x:c>
      <x:c r="B221" s="9" t="str">
        <x:v>Faune / organismes associés</x:v>
      </x:c>
      <x:c r="C221" s="9" t="str">
        <x:v>Kalisk</x:v>
      </x:c>
      <x:c r="D221" s="9" t="str">
        <x:v>Créature extraterrestre cible de chasse ; organisme non Yautja</x:v>
      </x:c>
      <x:c r="E221" s="9" t="str">
        <x:v>unique</x:v>
      </x:c>
      <x:c r="F221" s="9" t="str">
        <x:v>Predator: Badlands (2025)</x:v>
      </x:c>
      <x:c r="G221" s="9" t="str">
        <x:v>Film</x:v>
      </x:c>
      <x:c r="H221" s="9" t="str">
        <x:v>Predator: Badlands (2025)</x:v>
      </x:c>
      <x:c r="I221" s="9" t="str">
        <x:v>Confirmé pour le fait cité ; autres détails à vérifier</x:v>
      </x:c>
      <x:c r="J221" s="9" t="str">
        <x:v>Disney nomme le Kalisk comme la créature que Dek cherche à chasser dans Badlands.</x:v>
      </x:c>
      <x:c r="K221" s="9" t="str">
        <x:v>YC-S30 — How Predator: Badlands Expands the Franchise
Source primaire officielle
Portée : Article officiel du studio nommant le Kalisk comme cible de Dek. Le qualificatif promotionnel unkillable ne prescrit pas une invulnérabilité de gameplay.</x:v>
      </x:c>
      <x:c r="L221" s="22" t="str">
        <x:v>https://thewaltdisneycompany.com/news/predator-badlands/</x:v>
      </x:c>
      <x:c r="M221" s="9" t="str">
        <x:v>Absent du catalogue source de 115 fiches. Aucun profil nommé constaté dans les registres personnages, NPC Yautja et boss inspectés ; ce constat n’est pas une preuve d’absence de tout asset.</x:v>
      </x:c>
      <x:c r="N221"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221" s="9" t="str">
        <x:v>Ajouter la correspondance profil → acteur → source. Relever les capacités, modèle et animations ; vérifier le spawn, les identités et la fidélité du preset.</x:v>
      </x:c>
      <x:c r="P221" s="9" t="str">
        <x:v>Proposition : boss de faune lié à l’opération Genna, avec objectifs, terrain et contre-jeu conçus séparément du récit.</x:v>
      </x:c>
      <x:c r="Q221" s="9" t="str">
        <x:v>Le qualificatif promotionnel unkillable ne constitue pas à lui seul une règle d’invulnérabilité. Ne pas transformer Kalisk en rang Yautja. Les ajouts à un groupe remplacent des places allouées. Réserves finies ; aucun renfort créé hors budget.</x:v>
      </x:c>
      <x:c r="R221" s="9" t="str">
        <x:v>Relations et opposition à définir dans le scénario de cette œuvre. Toute rencontre X/Y/H non attestée est une adaptation originale explicitement choisie.</x:v>
      </x:c>
      <x:c r="S221" s="9" t="str">
        <x:v>LD-30 Genna : cadre proposé déjà catalogué ; scène et parcours de chaque rencontre à construire.</x:v>
      </x:c>
      <x:c r="T221" s="9" t="str">
        <x:v>Le qualificatif promotionnel unkillable ne constitue pas à lui seul une règle d’invulnérabilité. Ne pas transformer Kalisk en rang Yautja.</x:v>
      </x:c>
      <x:c r="U221" s="9" t="str">
        <x:v>P1</x:v>
      </x:c>
    </x:row>
    <x:row r="222" ht="96" hidden="0" customHeight="1">
      <x:c r="A222" s="10" t="str">
        <x:v>AUT-005</x:v>
      </x:c>
      <x:c r="B222" s="10" t="str">
        <x:v>Faune / organismes associés</x:v>
      </x:c>
      <x:c r="C222" s="10" t="str">
        <x:v>Bud</x:v>
      </x:c>
      <x:c r="D222" s="10" t="str">
        <x:v>Individu compagnon de Dek ; relation biologique à qualifier</x:v>
      </x:c>
      <x:c r="E222" s="10" t="str">
        <x:v>unique</x:v>
      </x:c>
      <x:c r="F222" s="10" t="str">
        <x:v>Predator: Badlands (2025)</x:v>
      </x:c>
      <x:c r="G222" s="10" t="str">
        <x:v>Film</x:v>
      </x:c>
      <x:c r="H222" s="10" t="str">
        <x:v>Predator: Badlands (2025)</x:v>
      </x:c>
      <x:c r="I222" s="10" t="str">
        <x:v>Confirmé pour le fait cité ; autres détails à vérifier</x:v>
      </x:c>
      <x:c r="J222" s="10" t="str">
        <x:v>La notice licenciée identifie Bud comme un compagnon de Dek et Thia dans Badlands.</x:v>
      </x:c>
      <x:c r="K222" s="10" t="str">
        <x:v>YC-S31 — Predator: Badlands — Ultimate Thia &amp; Bud
Source primaire licenciée
Portée : Notice licenciée nommant Bud comme compagnon de Dek et Thia ; cette notice ne précise pas sa relation biologique au Kalisk.</x:v>
      </x:c>
      <x:c r="L222" s="23" t="str">
        <x:v>https://store.necaonline.com/products/predator-badlands-ultimate-thia-bud-7-inch-scale-action-figures</x:v>
      </x:c>
      <x:c r="M222" s="10" t="str">
        <x:v>Absent du catalogue source de 115 fiches. Aucun profil nommé constaté dans les registres personnages, NPC Yautja et boss inspectés ; ce constat n’est pas une preuve d’absence de tout asset.</x:v>
      </x:c>
      <x:c r="N222" s="10"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222" s="10" t="str">
        <x:v>Ajouter la correspondance profil → acteur → source. Relever les capacités, modèle et animations ; vérifier le spawn, les identités et la fidélité du preset.</x:v>
      </x:c>
      <x:c r="P222" s="10" t="str">
        <x:v>Proposition : compagnon scénarisé ou objectif de protection ; une occurrence nommée, sans réserve de clones.</x:v>
      </x:c>
      <x:c r="Q222" s="10" t="str">
        <x:v>Ne pas compter Bud comme une espèce supplémentaire. Le lien biologique Bud ↔ Kalisk reste à documenter au-delà de la notice consultée. Les ajouts à un groupe remplacent des places allouées. Réserves finies ; aucun renfort créé hors budget.</x:v>
      </x:c>
      <x:c r="R222" s="10" t="str">
        <x:v>Relations et opposition à définir dans le scénario de cette œuvre. Toute rencontre X/Y/H non attestée est une adaptation originale explicitement choisie.</x:v>
      </x:c>
      <x:c r="S222" s="10" t="str">
        <x:v>LD-30 Genna : cadre proposé déjà catalogué ; scène et parcours de chaque rencontre à construire.</x:v>
      </x:c>
      <x:c r="T222" s="10" t="str">
        <x:v>Ne pas compter Bud comme une espèce supplémentaire. Le lien biologique Bud ↔ Kalisk reste à documenter au-delà de la notice consultée.</x:v>
      </x:c>
      <x:c r="U222" s="10" t="str">
        <x:v>P2</x:v>
      </x:c>
    </x:row>
    <x:row r="223" ht="108" hidden="0" customHeight="1">
      <x:c r="A223" s="9" t="str">
        <x:v>AUT-006</x:v>
      </x:c>
      <x:c r="B223" s="9" t="str">
        <x:v>Faune / organismes associés</x:v>
      </x:c>
      <x:c r="C223" s="9" t="str">
        <x:v>Squirt</x:v>
      </x:c>
      <x:c r="D223" s="9" t="str">
        <x:v>Créature utilisée comme outil vivant ; désignation filmique</x:v>
      </x:c>
      <x:c r="E223" s="9" t="str">
        <x:v>outil_vivant_unique</x:v>
      </x:c>
      <x:c r="F223" s="9" t="str">
        <x:v>Predator: Badlands (2025)</x:v>
      </x:c>
      <x:c r="G223" s="9" t="str">
        <x:v>Film</x:v>
      </x:c>
      <x:c r="H223" s="9" t="str">
        <x:v>Predator: Badlands (2025)</x:v>
      </x:c>
      <x:c r="I223" s="9" t="str">
        <x:v>Confirmé pour le fait cité ; autres détails à vérifier</x:v>
      </x:c>
      <x:c r="J223" s="9" t="str">
        <x:v>Dan Trachtenberg décrit Squirt comme le substitut vivant au canon plasma de Dek.</x:v>
      </x:c>
      <x:c r="K223" s="9" t="str">
        <x:v>YC-S32 — Predator: Badlands — Dek, Bone Bison Armor
Source primaire licenciée
Portée : Notice licenciée nommant Squirt parmi les éléments accompagnant Dek et ses armes organiques. La date de commercialisation de la figurine ne date pas l’existence du personnage filmique.
YC-S33 — Dan Trachtenberg on Predator: Badlands
Source primaire — entretien avec le réalisateur
Portée : Entretien direct du réalisateur : Squirt sert de substitut au canon plasma de Dek. Pas de composition chimique ou de taxonomie détaillée déduite.</x:v>
      </x:c>
      <x:c r="L223" s="22" t="str">
        <x:v>https://store.necaonline.com/collections/featured-at-comic-con/products/predator-badlands-ultimate-dek-bone-bison-armor-7-inch-scale-action-figure
https://filmmakermagazine.com/132542-interview-dan-trachtenberg-predator-badlands/</x:v>
      </x:c>
      <x:c r="M223" s="9" t="str">
        <x:v>Absent du catalogue source de 115 fiches. Aucun profil nommé constaté dans les registres personnages, NPC Yautja et boss inspectés ; ce constat n’est pas une preuve d’absence de tout asset.</x:v>
      </x:c>
      <x:c r="N223" s="9" t="str">
        <x:v>https://github.com/darknigthmare/Yautja-hive-warriors/blob/39871c450379225de8174711237632e6aa883f04/js/data/BattleCatalog.js#L41-L51
https://github.com/darknigthmare/Yautja-hive-warriors/blob/39871c450379225de8174711237632e6aa883f04/js/data/charactersData.js#L49-L162
https://github.com/darknigthmare/Yautja-hive-warriors/blob/39871c450379225de8174711237632e6aa883f04/js/entities/YautjaAllies.js#L74-L80
https://github.com/darknigthmare/Yautja-hive-warriors/blob/39871c450379225de8174711237632e6aa883f04/js/data/BossRegistry.js#L8-L27</x:v>
      </x:c>
      <x:c r="O223" s="9" t="str">
        <x:v>Ajouter la correspondance profil → acteur → source. Relever les capacités, modèle et animations ; vérifier le spawn, les identités et la fidélité du preset.</x:v>
      </x:c>
      <x:c r="P223" s="9" t="str">
        <x:v>Proposition : compagnon-outil porté par Dek, charge limitée et fonction lisible, distinct du boss Kalisk et de Bud.</x:v>
      </x:c>
      <x:c r="Q223" s="9" t="str">
        <x:v>Nom attesté, pas race Yautja. Ne pas déduire une composition chimique ou une filiation ; ne pas le compter simultanément comme arme et troupe. Les ajouts à un groupe remplacent des places allouées. Réserves finies ; aucun renfort créé hors budget.</x:v>
      </x:c>
      <x:c r="R223" s="9" t="str">
        <x:v>Relations et opposition à définir dans le scénario de cette œuvre. Toute rencontre X/Y/H non attestée est une adaptation originale explicitement choisie.</x:v>
      </x:c>
      <x:c r="S223" s="9" t="str">
        <x:v>LD-30 Genna : cadre proposé déjà catalogué ; scène et parcours de chaque rencontre à construire.</x:v>
      </x:c>
      <x:c r="T223" s="9" t="str">
        <x:v>Nom attesté, pas race Yautja. Ne pas déduire une composition chimique ou une filiation ; ne pas le compter simultanément comme arme et troupe.</x:v>
      </x:c>
      <x:c r="U223" s="9" t="str">
        <x:v>P2</x:v>
      </x:c>
    </x:row>
  </x:sheetData>
  <x:conditionalFormatting sqref="U122:U223">
    <x:cfRule type="cellIs" dxfId="55" priority="4" operator="equal">
      <x:formula>"P0"</x:formula>
    </x:cfRule>
    <x:cfRule type="cellIs" dxfId="56" priority="5" operator="equal">
      <x:formula>"P1"</x:formula>
    </x:cfRule>
    <x:cfRule type="cellIs" dxfId="57" priority="6" operator="equal">
      <x:formula>"P2"</x:formula>
    </x:cfRule>
  </x:conditionalFormatting>
  <x:conditionalFormatting sqref="U7:U121">
    <x:cfRule type="cellIs" dxfId="70" priority="7" operator="equal">
      <x:formula>"P0"</x:formula>
    </x:cfRule>
    <x:cfRule type="cellIs" dxfId="71" priority="8" operator="equal">
      <x:formula>"P1"</x:formula>
    </x:cfRule>
    <x:cfRule type="cellIs" dxfId="72" priority="9" operator="equal">
      <x:formula>"P2"</x:formula>
    </x:cfRule>
  </x:conditionalFormatting>
  <x:dataValidations count="2">
    <x:dataValidation type="list" sqref="U7:U121">
      <x:formula1>"P0,P1,P2,P3"</x:formula1>
    </x:dataValidation>
    <x:dataValidation type="list" sqref="U122:U223">
      <x:formula1>"P0,P1,P2,P3"</x:formula1>
    </x:dataValidation>
  </x:dataValidations>
  <x:pageMargins left="0.7" right="0.7" top="0.75" bottom="0.75" header="0.3" footer="0.3"/>
  <x:tableParts count="1">
    <x:tablePart xmlns:r="http://schemas.openxmlformats.org/officeDocument/2006/relationships" r:id="R0fdca064ec204a61"/>
  </x:tableParts>
</x:worksheet>
</file>

<file path=xl/worksheets/sheet15.xml><?xml version="1.0" encoding="utf-8"?>
<x:worksheet xmlns:x="http://schemas.openxmlformats.org/spreadsheetml/2006/main">
  <x:sheetPr>
    <x:tabColor rgb="FF5E7154"/>
  </x:sheetPr>
  <x:sheetViews>
    <x:sheetView showGridLines="0" workbookViewId="0">
      <x:pane xSplit="2" ySplit="6" topLeftCell="C7" activePane="bottomRight" state="frozen"/>
    </x:sheetView>
  </x:sheetViews>
  <x:sheetFormatPr defaultRowHeight="15"/>
  <x:cols>
    <x:col min="1" max="1" width="14" hidden="0" customWidth="1"/>
    <x:col min="2" max="2" width="43" hidden="0" customWidth="1"/>
    <x:col min="3" max="3" width="49" hidden="0" customWidth="1"/>
    <x:col min="4" max="4" width="22" hidden="0" customWidth="1"/>
    <x:col min="5" max="5" width="69" hidden="0" customWidth="1"/>
    <x:col min="6" max="6" width="32" hidden="0" customWidth="1"/>
    <x:col min="7" max="7" width="86" hidden="0" customWidth="1"/>
    <x:col min="8" max="8" width="75" hidden="0" customWidth="1"/>
    <x:col min="9" max="9" width="70" hidden="0" customWidth="1"/>
    <x:col min="10" max="10" width="72" hidden="0" customWidth="1"/>
    <x:col min="11" max="11" width="96" hidden="0" customWidth="1"/>
    <x:col min="12" max="12" width="97" hidden="0" customWidth="1"/>
  </x:cols>
  <x:sheetData>
    <x:row r="1" ht="12" customHeight="1">
      <x:c r="A1" s="78"/>
      <x:c r="B1" s="78"/>
      <x:c r="C1" s="78"/>
      <x:c r="D1" s="78"/>
      <x:c r="E1" s="78"/>
      <x:c r="F1" s="78"/>
      <x:c r="G1" s="78"/>
      <x:c r="H1" s="78"/>
      <x:c r="I1" s="78"/>
      <x:c r="J1" s="78"/>
      <x:c r="K1" s="78"/>
      <x:c r="L1" s="78"/>
    </x:row>
    <x:row r="2" ht="29" customHeight="1">
      <x:c r="A2" s="79" t="str">
        <x:v>Références de lieux et conditions d’adaptation</x:v>
      </x:c>
      <x:c r="B2" s="78"/>
      <x:c r="C2" s="78"/>
      <x:c r="D2" s="78"/>
      <x:c r="E2" s="78"/>
      <x:c r="F2" s="78"/>
      <x:c r="G2" s="78"/>
      <x:c r="H2" s="78"/>
      <x:c r="I2" s="78"/>
      <x:c r="J2" s="78"/>
      <x:c r="K2" s="78"/>
      <x:c r="L2" s="78"/>
    </x:row>
    <x:row r="3" ht="8" customHeight="1">
      <x:c r="A3" s="80"/>
      <x:c r="B3" s="80"/>
      <x:c r="C3" s="80"/>
      <x:c r="D3" s="80"/>
      <x:c r="E3" s="80"/>
      <x:c r="F3" s="80"/>
      <x:c r="G3" s="80"/>
      <x:c r="H3" s="80"/>
      <x:c r="I3" s="80"/>
      <x:c r="J3" s="80"/>
      <x:c r="K3" s="80"/>
      <x:c r="L3" s="80"/>
    </x:row>
    <x:row r="4">
      <x:c r="A4" s="81" t="str">
        <x:v>Plusieurs références peuvent décrire un même site. La provenance ne certifie pas la topographie jouable ; implantation et affrontements doivent respecter l’œuvre et sa continuité.</x:v>
      </x:c>
      <x:c r="B4" s="78"/>
      <x:c r="C4" s="78"/>
      <x:c r="D4" s="78"/>
      <x:c r="E4" s="78"/>
      <x:c r="F4" s="78"/>
      <x:c r="G4" s="78"/>
      <x:c r="H4" s="78"/>
      <x:c r="I4" s="78"/>
      <x:c r="J4" s="78"/>
      <x:c r="K4" s="78"/>
      <x:c r="L4" s="78"/>
    </x:row>
    <x:row r="5">
      <x:c r="A5" s="94" t="str">
        <x:v>27 lignes</x:v>
      </x:c>
      <x:c r="B5" s="78"/>
      <x:c r="C5" s="78"/>
      <x:c r="D5" s="78"/>
      <x:c r="E5" s="78"/>
      <x:c r="F5" s="78"/>
      <x:c r="G5" s="78"/>
      <x:c r="H5" s="78"/>
      <x:c r="I5" s="78"/>
      <x:c r="J5" s="78"/>
      <x:c r="K5" s="78"/>
      <x:c r="L5" s="78"/>
    </x:row>
    <x:row r="6" ht="36" customHeight="1">
      <x:c r="A6" s="91" t="str">
        <x:v>ID</x:v>
      </x:c>
      <x:c r="B6" s="92" t="str">
        <x:v>Lieu documenté</x:v>
      </x:c>
      <x:c r="C6" s="92" t="str">
        <x:v>Œuvre de référence</x:v>
      </x:c>
      <x:c r="D6" s="92" t="str">
        <x:v>Média</x:v>
      </x:c>
      <x:c r="E6" s="92" t="str">
        <x:v>Continuité / périmètre</x:v>
      </x:c>
      <x:c r="F6" s="92" t="str">
        <x:v>Niveau de preuve</x:v>
      </x:c>
      <x:c r="G6" s="92" t="str">
        <x:v>Fait établi par la source</x:v>
      </x:c>
      <x:c r="H6" s="92" t="str">
        <x:v>Source et portée</x:v>
      </x:c>
      <x:c r="I6" s="92" t="str">
        <x:v>URL de la source</x:v>
      </x:c>
      <x:c r="J6" s="92" t="str">
        <x:v>Affrontements compatibles</x:v>
      </x:c>
      <x:c r="K6" s="92" t="str">
        <x:v>Implantation proposée</x:v>
      </x:c>
      <x:c r="L6" s="93" t="str">
        <x:v>Restrictions de cohérence</x:v>
      </x:c>
    </x:row>
    <x:row r="7" ht="103.5" customHeight="1">
      <x:c r="A7" s="70" t="str">
        <x:v>X-L01</x:v>
      </x:c>
      <x:c r="B7" s="70" t="str">
        <x:v>LV-742 — zones de guerre d’Extinction</x:v>
      </x:c>
      <x:c r="C7" s="70" t="str">
        <x:v>Aliens versus Predator: Extinction</x:v>
      </x:c>
      <x:c r="D7" s="70" t="str">
        <x:v>Jeu</x:v>
      </x:c>
      <x:c r="E7" s="70" t="str">
        <x:v>Théâtre du RTS AVP.</x:v>
      </x:c>
      <x:c r="F7" s="70" t="str">
        <x:v>Lieu confirmé dans la source ; géométrie, dimensions et fronts proposés</x:v>
      </x:c>
      <x:c r="G7" s="70" t="str">
        <x:v>LV-742 réunit Marines, Aliens et Predators.</x:v>
      </x:c>
      <x:c r="H7" s="70" t="str">
        <x:v>X-S01 — Aliens versus Predator: Extinction — manuel officiel PS2
EA Games / Fox Interactive ; Manuel primaire ; copie archivée par Gaming Alexandria
Portée : Extraits indexés du document officiel ; PDF trop volumineux pour open. Biologie et transformations limitées à Extinction ; aucune règle universelle déduite.
Consulté le 2026-10-26</x:v>
      </x:c>
      <x:c r="I7" s="77" t="str">
        <x:v>https://gamingalexandria.com/ps2/Aliens%20Versus%20Predator%20Extinction/Aliens%20Versus%20Predator%20Extinction%20-%20Manual.pdf</x:v>
      </x:c>
      <x:c r="J7" s="70" t="str">
        <x:v>X/Y/H natif ; rivalités internes seulement si établies par l’opération.</x:v>
      </x:c>
      <x:c r="K7" s="70" t="str">
        <x:v>Proposition originale de level design : macro-carte 1 400 × 1 000 m ; trois fronts reliés : colonie/atmos, route forestière, ruche/cavernes ; une boucle logistique et deux routes de contournement par front.</x:v>
      </x:c>
      <x:c r="L7" s="70" t="str">
        <x:v>Dimensions et tracé proposés, non extraits du jeu. Filtrer les castes sur le profil Extinction ; aucun ajout automatique du roster Pathogen ou des individus de films.</x:v>
      </x:c>
    </x:row>
    <x:row r="8" ht="90" customHeight="1">
      <x:c r="A8" s="71" t="str">
        <x:v>X-L02</x:v>
      </x:c>
      <x:c r="B8" s="71" t="str">
        <x:v>Katanga — secteur industriel</x:v>
      </x:c>
      <x:c r="C8" s="71" t="str">
        <x:v>Aliens: Fireteam Elite</x:v>
      </x:c>
      <x:c r="D8" s="71" t="str">
        <x:v>Jeu</x:v>
      </x:c>
      <x:c r="E8" s="71" t="str">
        <x:v>Cadre de la campagne de base Fireteam Elite.</x:v>
      </x:c>
      <x:c r="F8" s="71" t="str">
        <x:v>Lieu confirmé dans la source ; géométrie, dimensions et fronts proposés</x:v>
      </x:c>
      <x:c r="G8" s="71" t="str">
        <x:v>Les développeurs situent une partie de la campagne sur Katanga.</x:v>
      </x:c>
      <x:c r="H8" s="71"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x:v>
      </x:c>
      <x:c r="I8" s="76" t="str">
        <x:v>https://www.aliensfireteamelite.com/en/community/pathogen-deep-dive-an-exhilarating-new-story/</x:v>
      </x:c>
      <x:c r="J8" s="71" t="str">
        <x:v>X/H natif ; X/Y/H en opération crossover déclarée.</x:v>
      </x:c>
      <x:c r="K8" s="71" t="str">
        <x:v>Proposition originale de level design : installation 900 × 600 m distribuée sur trois niveaux ; fronts docks, production, évacuation ; passerelles reliées par ascenseurs doublés de rampes ; conduits utilisables par groupes compatibles.</x:v>
      </x:c>
      <x:c r="L8" s="71" t="str">
        <x:v>Géométrie proposée ; ne pas présenter un plan fidèle 1:1. Plafonner les acteurs actifs dans les couloirs et simuler les autres fronts à distance.</x:v>
      </x:c>
    </x:row>
    <x:row r="9" ht="171" customHeight="1">
      <x:c r="A9" s="70" t="str">
        <x:v>X-L03</x:v>
      </x:c>
      <x:c r="B9" s="70" t="str">
        <x:v>LV-895 — ruines des Engineers et foyer Pathogen</x:v>
      </x:c>
      <x:c r="C9" s="70" t="str">
        <x:v>Aliens: Fireteam Elite — Pathogen</x:v>
      </x:c>
      <x:c r="D9" s="70" t="str">
        <x:v>Jeu</x:v>
      </x:c>
      <x:c r="E9" s="70" t="str">
        <x:v>Campagne Pathogen après les missions initiales.</x:v>
      </x:c>
      <x:c r="F9" s="70" t="str">
        <x:v>Lieu confirmé dans la source ; géométrie, dimensions et fronts proposés</x:v>
      </x:c>
      <x:c r="G9" s="70" t="str">
        <x:v>L’expansion explore des ruines d’Engineers et une ruche infectée sur LV-895.</x:v>
      </x:c>
      <x:c r="H9" s="70" t="str">
        <x:v>X-S03 — Pathogen Deep Dive: An Exhilarating New Story
Cold Iron Studios ; Article officiel et entretien avec les créateurs
Portée : Source directe pour Runner muté, Blight, Brute, Stalker, Popper, reine et lieux. Le Blight est décrit comme une créature d’origine inconnue.
Consulté le 2026-10-26
X-S26 — The Aliens: Fireteam Elite Pathogen Expansion Is Available Now
Xbox Wire / Cold Iron Studios ; Article officiel avec les développeurs
Portée : Conception de la Pathogen Queen et expédition dans les cavernes de LV-895 ; mécaniques limitées à cette expansion.
Consulté le 2026-10-26</x:v>
      </x:c>
      <x:c r="I9" s="77" t="str">
        <x:v>https://www.aliensfireteamelite.com/en/community/pathogen-deep-dive-an-exhilarating-new-story/
https://news.xbox.com/en-us/2022/08/30/the-aliens-fireteam-elite-pathogen-expansion-is-available-now/</x:v>
      </x:c>
      <x:c r="J9" s="70" t="str">
        <x:v>H/X/Pathogen ; ajouter Yautja impose une adaptation annoncée.</x:v>
      </x:c>
      <x:c r="K9" s="70" t="str">
        <x:v>Proposition originale de level design : vallée 1 600 × 1 100 m ; quatre secteurs : canyon, entrée de ruines, ruche contaminée, zone d’extraction ; trois fronts actifs et une arène finale séparée ; voie d’évacuation non traversée par le boss.</x:v>
      </x:c>
      <x:c r="L9" s="70" t="str">
        <x:v>Pathogène et Xénomorphes non infectés ne forment pas automatiquement une seule faction. Foyers, surfaces acides et réserves sont persistants.</x:v>
      </x:c>
    </x:row>
    <x:row r="10" ht="76.5" customHeight="1">
      <x:c r="A10" s="71" t="str">
        <x:v>X-L04</x:v>
      </x:c>
      <x:c r="B10" s="71" t="str">
        <x:v>Lethe — colonie et liaison Pioneer</x:v>
      </x:c>
      <x:c r="C10" s="71" t="str">
        <x:v>Aliens: Dark Descent</x:v>
      </x:c>
      <x:c r="D10" s="71" t="str">
        <x:v>Jeu</x:v>
      </x:c>
      <x:c r="E10" s="71" t="str">
        <x:v>Scénario de Dark Descent ; Pioneer est une station distincte de la surface.</x:v>
      </x:c>
      <x:c r="F10" s="71" t="str">
        <x:v>Lieu confirmé dans la source ; géométrie, dimensions et fronts proposés</x:v>
      </x:c>
      <x:c r="G10" s="71" t="str">
        <x:v>La FAQ situe les opérations sur Lethe et présente Pioneer Station.</x:v>
      </x:c>
      <x:c r="H10" s="71" t="str">
        <x:v>X-S20 — Aliens: Dark Descent — Frequently Asked Questions
Focus Entertainment ; FAQ officielle de l’éditeur
Portée : Lethe, Pioneer, Marines et menace Xéno ; référence utile pour opérations persistantes, sans importer les effectifs du jeu.
Consulté le 2026-10-26</x:v>
      </x:c>
      <x:c r="I10" s="76" t="str">
        <x:v>https://support.focus-entmt.com/hc/en-us/articles/16126166561425-FREQUENTLY-ASKED-QUESTIONS-JUNE-13-2023</x:v>
      </x:c>
      <x:c r="J10" s="71" t="str">
        <x:v>X/H et factions humaines du jeu ; Yautja uniquement en crossover.</x:v>
      </x:c>
      <x:c r="K10" s="71" t="str">
        <x:v>Proposition originale de level design : surface 1 500 × 1 200 m à trois fronts : colonie, infrastructure industrielle, accès de ruche ; Pioneer forme un chapitre séparé relié par transfert, pas une rue du même quartier.</x:v>
      </x:c>
      <x:c r="L10" s="71" t="str">
        <x:v>Ne pas relier physiquement la station et la surface sans transport. Portes, pertes, réserves et routes doivent persister entre les sorties.</x:v>
      </x:c>
    </x:row>
    <x:row r="11" ht="76.5" customHeight="1">
      <x:c r="A11" s="70" t="str">
        <x:v>X-L05</x:v>
      </x:c>
      <x:c r="B11" s="70" t="str">
        <x:v>Sevastopol</x:v>
      </x:c>
      <x:c r="C11" s="70" t="str">
        <x:v>Alien: Isolation</x:v>
      </x:c>
      <x:c r="D11" s="70" t="str">
        <x:v>Jeu</x:v>
      </x:c>
      <x:c r="E11" s="70" t="str">
        <x:v>Station du récit d’Amanda Ripley.</x:v>
      </x:c>
      <x:c r="F11" s="70" t="str">
        <x:v>Lieu confirmé dans la source ; géométrie, dimensions et fronts proposés</x:v>
      </x:c>
      <x:c r="G11" s="70" t="str">
        <x:v>Amanda cherche des réponses sur la station Sevastopol.</x:v>
      </x:c>
      <x:c r="H11" s="70" t="str">
        <x:v>X-S19 — Alien: Isolation — manuel officiel
Feral Interactive / SEGA ; Manuel officiel du portage
Portée : Cadre Sevastopol, Amanda, survivants, systèmes et menace Alien ; ne justifie pas d’y installer une armée Yautja historique.
Consulté le 2026-10-26</x:v>
      </x:c>
      <x:c r="I11" s="77" t="str">
        <x:v>https://www.feralinteractive.com/en/manuals/alienisolation/latest/steam/</x:v>
      </x:c>
      <x:c r="J11" s="70" t="str">
        <x:v>Alien/H et survivants/systèmes ; Yautja en adaptation explicitement non historique.</x:v>
      </x:c>
      <x:c r="K11" s="70" t="str">
        <x:v>Proposition originale de level design : réseau de modules à trois boucles : transit, maintenance, évacuation ; progression par énergie et portes ; surfaces jouables limitées par secteur, fronts distants centrés sur objectifs et survie.</x:v>
      </x:c>
      <x:c r="L11" s="70" t="str">
        <x:v>Préserver la menace de traque. Pas de milliers de combattants entassés dans un corridor ; une version guerre massive doit être présentée comme adaptation du lieu.</x:v>
      </x:c>
    </x:row>
    <x:row r="12" ht="76.5" customHeight="1">
      <x:c r="A12" s="71" t="str">
        <x:v>X-L06</x:v>
      </x:c>
      <x:c r="B12" s="71" t="str">
        <x:v>Station abandonnée de Romulus — évacuation et laboratoires</x:v>
      </x:c>
      <x:c r="C12" s="71" t="str">
        <x:v>Alien: Romulus</x:v>
      </x:c>
      <x:c r="D12" s="71" t="str">
        <x:v>Film</x:v>
      </x:c>
      <x:c r="E12" s="71" t="str">
        <x:v>Cadre filmique ; romulus_station existe nominalement dans le registre au SHA audité.</x:v>
      </x:c>
      <x:c r="F12" s="71" t="str">
        <x:v>Lieu confirmé dans la source ; géométrie, dimensions et fronts proposés</x:v>
      </x:c>
      <x:c r="G12" s="71" t="str">
        <x:v>Le synopsis place l’expédition dans une station spatiale abandonnée.</x:v>
      </x:c>
      <x:c r="H12" s="71" t="str">
        <x:v>X-S22 — Alien: Romulus — synopsis officiel
20th Century Studios ; Page officielle du film
Portée : Établit le cadre d’une station spatiale abandonnée ; ne décrit pas un plan coté complet.
Consulté le 2026-10-26</x:v>
      </x:c>
      <x:c r="I12" s="76" t="str">
        <x:v>https://www.20thcenturystudios.com/movies/alien-romulus</x:v>
      </x:c>
      <x:c r="J12" s="71" t="str">
        <x:v>X/H ; X/Y/H en adaptation crossover.</x:v>
      </x:c>
      <x:c r="K12" s="71" t="str">
        <x:v>Proposition originale de level design : modules 1 000 × 700 m sur trois niveaux ; fronts laboratoire, énergie, hangar ; portes et cycles d’énergie modifient les routes ; séquence Offspring unique isolée dans l’évacuation.</x:v>
      </x:c>
      <x:c r="L12" s="71" t="str">
        <x:v>Le plan est proposé. Le nom Renaissance et les détails des secteurs du code nécessitent des preuves spécifiques supplémentaires ; ne pas multiplier Offspring.</x:v>
      </x:c>
    </x:row>
    <x:row r="13" ht="171" customHeight="1">
      <x:c r="A13" s="70" t="str">
        <x:v>X-L07</x:v>
      </x:c>
      <x:c r="B13" s="70" t="str">
        <x:v>Charon — complexe expérimental et ruche souterraine</x:v>
      </x:c>
      <x:c r="C13" s="70" t="str">
        <x:v>Roman Rogue ; Aliens: Rogue comme référence séparée</x:v>
      </x:c>
      <x:c r="D13" s="70" t="str">
        <x:v>Roman ; comic</x:v>
      </x:c>
      <x:c r="E13" s="70" t="str">
        <x:v>Les éléments Charon ci-dessous sont attestés dans la notice du roman, pas attribués indistinctement à toutes les éditions.</x:v>
      </x:c>
      <x:c r="F13" s="70" t="str">
        <x:v>Lieu confirmé dans la source ; géométrie, dimensions et fronts proposés</x:v>
      </x:c>
      <x:c r="G13" s="70" t="str">
        <x:v>La notice Rogue décrit Charon, Kleist et une ruche souterraine.</x:v>
      </x:c>
      <x:c r="H13" s="70" t="str">
        <x:v>X-S17 — The Complete Aliens Omnibus Volume Three: Rogue / Labyrinth
Titan Books / Penguin Random House ; Notice officielle d’éditeur-distributeur de romans
Portée : Roman Rogue : Charon, Kleist, hive souterraine et créature appelée Rogue. L’adaptation romanesque ne prouve pas chaque détail du comic.
Consulté le 2026-10-26
X-S16 — Aliens Epic Collection: The Original Years Vol. 3
Marvel ; Notice officielle d’une réédition de comics Dark Horse
Portée : Confirme la réédition Rogue #1–4 et les expériences de Kleist. Les détails du roman sont référencés séparément.
Consulté le 2026-10-26</x:v>
      </x:c>
      <x:c r="I13" s="77" t="str">
        <x:v>https://www.penguinrandomhouse.com/books/539667/the-complete-aliens-omnibus-volume-three-rogue-labyrinth-by-sandy-schofield/
https://www.marvel.com/comics/collection/127157/aliens_epic_collection_the_original_years_vol_3_trade_paperback</x:v>
      </x:c>
      <x:c r="J13" s="70" t="str">
        <x:v>H/X et expérience Rogue ; Yautja ajouté dans une opération crossover.</x:v>
      </x:c>
      <x:c r="K13" s="70" t="str">
        <x:v>Proposition originale de level design : complexe 1 200 × 900 m ; fronts laboratoire, périmètre, sous-sol ; un ascenseur de fret et deux galeries relient surface et ruche ; libération de Rogue change les cibles de plusieurs groupes.</x:v>
      </x:c>
      <x:c r="L13" s="70" t="str">
        <x:v>Créer un seul Rogue. Le projet a déjà charon_rogue_base, mais son descriptif King Prime n’est pas une preuve d’identité officielle.</x:v>
      </x:c>
    </x:row>
    <x:row r="14" ht="76.5" customHeight="1">
      <x:c r="A14" s="71" t="str">
        <x:v>X-L08</x:v>
      </x:c>
      <x:c r="B14" s="71" t="str">
        <x:v>USCSS Maginot — confinement des spécimens</x:v>
      </x:c>
      <x:c r="C14" s="71" t="str">
        <x:v>Alien: Earth</x:v>
      </x:c>
      <x:c r="D14" s="71" t="str">
        <x:v>Série</x:v>
      </x:c>
      <x:c r="E14" s="71" t="str">
        <x:v>Vaisseau et organismes discutés dans le podcast officiel.</x:v>
      </x:c>
      <x:c r="F14" s="71" t="str">
        <x:v>Lieu confirmé dans la source ; géométrie, dimensions et fronts proposés</x:v>
      </x:c>
      <x:c r="G14" s="71" t="str">
        <x:v>Le podcast officiel situe des spécimens extraterrestres à bord du Maginot.</x:v>
      </x:c>
      <x:c r="H14" s="71" t="str">
        <x:v>X-S18 — Alien: Earth — Official Podcast, Episode 5
FX ; Entretien officiel avec Noah Hawley
Portée : Nomme Eye Midge et Maginot ; le créateur décrit le parasite oculaire. Ne l’identifie pas comme Xénomorphe.
Consulté le 2026-10-26</x:v>
      </x:c>
      <x:c r="I14" s="76" t="str">
        <x:v>https://www.fxnetworks.com/shows/alien-earth/podcast/episode-5</x:v>
      </x:c>
      <x:c r="J14" s="71" t="str">
        <x:v>H/organismes distincts ; rencontre Yautja ou guerre X/Y/H proposée seulement.</x:v>
      </x:c>
      <x:c r="K14" s="71" t="str">
        <x:v>Proposition originale de level design : trois modules d’opération : confinement, communications, évacuation ; couloirs courts et chemins de maintenance ; fronts simultanés fondés sur sabotage, possession et protection de groupes.</x:v>
      </x:c>
      <x:c r="L14" s="71" t="str">
        <x:v>Ne pas traiter tous les spécimens comme une ruche Xénomorphe. Dimensions, secteurs et opérations proposés ; pas un plan certifié du vaisseau.</x:v>
      </x:c>
    </x:row>
    <x:row r="15" ht="76.5" customHeight="1">
      <x:c r="A15" s="70" t="str">
        <x:v>X-L09</x:v>
      </x:c>
      <x:c r="B15" s="70" t="str">
        <x:v>Pyramide antarctique</x:v>
      </x:c>
      <x:c r="C15" s="70" t="str">
        <x:v>Alien vs. Predator</x:v>
      </x:c>
      <x:c r="D15" s="70" t="str">
        <x:v>Film</x:v>
      </x:c>
      <x:c r="E15" s="70" t="str">
        <x:v>Lieu natif de confrontation des trois camps ; antarctic_pyramid existe dans levelsData.</x:v>
      </x:c>
      <x:c r="F15" s="70" t="str">
        <x:v>Lieu confirmé dans la source ; géométrie, dimensions et fronts proposés</x:v>
      </x:c>
      <x:c r="G15" s="70" t="str">
        <x:v>Une pyramide sous l’Antarctique réunit humains, Aliens et Predators.</x:v>
      </x:c>
      <x:c r="H15" s="70" t="str">
        <x:v>X-S23 — Alien vs. Predator — synopsis officiel
20th Century Studios ; Page officielle du film
Portée : Établit la pyramide antarctique et la rencontre des trois camps ; alliance humaine/Yautja circonstancielle, non automatique.
Consulté le 2026-10-26</x:v>
      </x:c>
      <x:c r="I15" s="77" t="str">
        <x:v>https://www.20thcenturystudios.com/movies/alien-vs-predator</x:v>
      </x:c>
      <x:c r="J15" s="70" t="str">
        <x:v>X/Y/H natif ; alliances ponctuelles réglées par scénario et objectifs.</x:v>
      </x:c>
      <x:c r="K15" s="70" t="str">
        <x:v>Proposition originale de level design : complexe 1 100 × 900 m en profondeur ; fronts puits d’accès, chambres mobiles, sanctuaire ; cycles de portes créent des détours mais garantissent toujours une route de secours valide.</x:v>
      </x:c>
      <x:c r="L15" s="70" t="str">
        <x:v>Tracé et tailles proposés. Grid unique ; Predalien absent du roster historique de ce film, admissible seulement dans une variante crossover déclarée.</x:v>
      </x:c>
    </x:row>
    <x:row r="16" ht="76.5" customHeight="1">
      <x:c r="A16" s="71" t="str">
        <x:v>X-L10</x:v>
      </x:c>
      <x:c r="B16" s="71" t="str">
        <x:v>Monde exploré par Covenant</x:v>
      </x:c>
      <x:c r="C16" s="71" t="str">
        <x:v>Alien: Covenant</x:v>
      </x:c>
      <x:c r="D16" s="71" t="str">
        <x:v>Film</x:v>
      </x:c>
      <x:c r="E16" s="71" t="str">
        <x:v>Planète du film ; appellation précise non établie par le synopsis utilisé.</x:v>
      </x:c>
      <x:c r="F16" s="71" t="str">
        <x:v>Lieu confirmé dans la source ; géométrie, dimensions et fronts proposés</x:v>
      </x:c>
      <x:c r="G16" s="71" t="str">
        <x:v>L’équipage de Covenant explore un monde éloigné devenu dangereux.</x:v>
      </x:c>
      <x:c r="H16" s="71" t="str">
        <x:v>X-S24 — Alien: Covenant — synopsis officiel
20th Century Studios ; Page officielle du film
Portée : Monde éloigné exploré par Covenant ; le nom précis de la planète n’est pas fixé par cet extrait.
Consulté le 2026-10-26</x:v>
      </x:c>
      <x:c r="I16" s="76" t="str">
        <x:v>https://www.20thcenturystudios.com/movies/alien-covenant</x:v>
      </x:c>
      <x:c r="J16" s="71" t="str">
        <x:v>H/Neomorph/Xénomorphe de Covenant ; ajout Yautja en crossover.</x:v>
      </x:c>
      <x:c r="K16" s="71" t="str">
        <x:v>Proposition originale de level design : terrain 1 800 × 1 300 m à trois fronts : débarquement, vallée humide, structures fermées ; une route de retraite et deux accès latéraux ; transitions de végétation et de visibilité.</x:v>
      </x:c>
      <x:c r="L16" s="71" t="str">
        <x:v>Filtrer les profils biologiques ; pas de reine, Warriors rouges ou Pathogen Queen ajoutés par défaut. Formes d’infection à documenter séparément.</x:v>
      </x:c>
    </x:row>
    <x:row r="17" ht="76.5" customHeight="1">
      <x:c r="A17" s="70" t="str">
        <x:v>X-L11</x:v>
      </x:c>
      <x:c r="B17" s="70" t="str">
        <x:v>LV-223 — structures des Engineers</x:v>
      </x:c>
      <x:c r="C17" s="70" t="str">
        <x:v>Prometheus</x:v>
      </x:c>
      <x:c r="D17" s="70" t="str">
        <x:v>Film</x:v>
      </x:c>
      <x:c r="E17" s="70" t="str">
        <x:v>Cadre Prometheus ; pas un monde-ruche Xénomorphe interchangeable.</x:v>
      </x:c>
      <x:c r="F17" s="70" t="str">
        <x:v>Lieu confirmé dans la source ; géométrie, dimensions et fronts proposés</x:v>
      </x:c>
      <x:c r="G17" s="70" t="str">
        <x:v>Le matériel officiel Prometheus situe les hologrammes d’Engineers sur LV-223.</x:v>
      </x:c>
      <x:c r="H17" s="70" t="str">
        <x:v>X-S25 — Prometheus Series 3 — LV-223
NECA ; Présentation officielle de produits licenciés
Portée : Le descriptif rattache les hologrammes d’Engineers à LV-223 ; il ne fournit ni dimensions ni topologie exhaustive.
Consulté le 2026-10-26</x:v>
      </x:c>
      <x:c r="I17" s="77" t="str">
        <x:v>https://store.necaonline.com/blogs/news/174241607-announcing-prometheus-series-3-action-figures</x:v>
      </x:c>
      <x:c r="J17" s="70" t="str">
        <x:v>H/organismes de Prometheus ; confrontation X/Y/H nécessairement adaptée.</x:v>
      </x:c>
      <x:c r="K17" s="70" t="str">
        <x:v>Proposition originale de level design : site 1 400 × 1 100 m ; fronts temple, zone d’atterrissage, sortie de secours ; espaces clos pour la tension et grands extérieurs pour les déplacements ; finale biologique unique.</x:v>
      </x:c>
      <x:c r="L17" s="70" t="str">
        <x:v>Aucune armée Deacon ou Trilobite. Ne pas généraliser une unique scène biologique en cycle reproducteur de masse.</x:v>
      </x:c>
    </x:row>
    <x:row r="18" ht="157.5" customHeight="1">
      <x:c r="A18" s="71" t="str">
        <x:v>Y-L01</x:v>
      </x:c>
      <x:c r="B18" s="71" t="str">
        <x:v>Genna</x:v>
      </x:c>
      <x:c r="C18" s="71" t="str">
        <x:v>Predator: Badlands (2025)</x:v>
      </x:c>
      <x:c r="D18" s="71" t="str">
        <x:v>Film</x:v>
      </x:c>
      <x:c r="E18" s="71" t="str">
        <x:v>Lieu nommé du film ; topologie et dimensions de la conversion restent des propositions.</x:v>
      </x:c>
      <x:c r="F18" s="71" t="str">
        <x:v>Confirmé dans l’œuvre</x:v>
      </x:c>
      <x:c r="G18" s="71" t="str">
        <x:v>Disney+ situe Badlands sur Genna et décrit la coopération de Dek avec une synthétique Weyland-Yutani.</x:v>
      </x:c>
      <x:c r="H18" s="71" t="str">
        <x:v>Y-S16 — Predator: Badlands — fiche officielle du film
20th Century Studios ; Studio / synopsis et légendes
Portée : Sortie le 7 novembre 2025 ; Dek jeune exilé, alliance avec Thia. Kwei identifié dans les légendes ; aucune hiérarchie complète validée.
Consulté le 2026-10-26
Y-S17 — Predator: Badlands — personnages et intrigue
Disney+ ; Diffuseur officiel / article révisé le 12 février 2026
Portée : Genna, Dek, Thia synthétique Weyland-Yutani, Kwei frère aîné ; futur lointain sans année précise.
Consulté le 2026-10-26</x:v>
      </x:c>
      <x:c r="I18" s="76" t="str">
        <x:v>https://www.20thcenturystudios.com/movies/predator-badlands
https://www.disneyplus.com/explore/articles/predator-badlands-movie</x:v>
      </x:c>
      <x:c r="J18" s="71" t="str">
        <x:v>Contexte attesté : Yautja, faune et synthétique alliée. Y/H biologiques, X ou trois camps : scénario original distinct, non validé par cette notice.</x:v>
      </x:c>
      <x:c r="K18" s="71" t="str">
        <x:v>Proposition : secteurs de relief, cours d’eau, grottes et zones de danger après relevé des scènes ; chemins alternatifs et refuges adaptés au duo ; aucune taille réelle revendiquée.</x:v>
      </x:c>
      <x:c r="L18" s="71" t="str">
        <x:v>Ne pas transformer Genna en ruche ou réserve de Predators par simple ressemblance. Plans et espèces à documenter ; pas de nombre canonique d’habitants.</x:v>
      </x:c>
    </x:row>
    <x:row r="19" ht="76.5" customHeight="1">
      <x:c r="A19" s="70" t="str">
        <x:v>Y-L02</x:v>
      </x:c>
      <x:c r="B19" s="70" t="str">
        <x:v>Freya Prospect et environs</x:v>
      </x:c>
      <x:c r="C19" s="70" t="str">
        <x:v>Aliens vs. Predator (2010)</x:v>
      </x:c>
      <x:c r="D19" s="70" t="str">
        <x:v>Jeu</x:v>
      </x:c>
      <x:c r="E19" s="70" t="str">
        <x:v>Lieu confirmé dans le jeu SEGA/Rebellion ; carte tactique étendue originale.</x:v>
      </x:c>
      <x:c r="F19" s="70" t="str">
        <x:v>Confirmé dans l’œuvre</x:v>
      </x:c>
      <x:c r="G19" s="70" t="str">
        <x:v>SEGA situe l’action autour de Freya Prospect, entourée de jungles et de marécages, avec trois campagnes.</x:v>
      </x:c>
      <x:c r="H19" s="70" t="str">
        <x:v>Y-S24 — Aliens vs. Predator — fiche Steam officielle
SEGA / Rebellion, distribution Steam ; Éditeur / présentation du jeu
Portée : Freya Prospect, jungles, marécages et trois campagnes/factions ; identité Dark et code planétaire non établis par cette seule fiche.
Consulté le 2026-10-26</x:v>
      </x:c>
      <x:c r="I19" s="77" t="str">
        <x:v>https://store.steampowered.com/app/10680/Aliens_vs_Predator/?l=french</x:v>
      </x:c>
      <x:c r="J19" s="70" t="str">
        <x:v>Y/X, Y/H et X/H : factions du jeu. Guerre à trois camps simultanés : proposition compatible, pas promesse de reproduction exacte de chaque campagne.</x:v>
      </x:c>
      <x:c r="K19" s="70" t="str">
        <x:v>Proposition : colonie, anneau de jungle et traversées marécageuses reliés par plusieurs routes ; fronts de récupération technologique, confinement et évacuation ; relever le jeu pour les bâtiments.</x:v>
      </x:c>
      <x:c r="L19" s="70" t="str">
        <x:v>La fiche ne confirme pas à elle seule Dark, BG-386, chaque bâtiment ni une surface métrique. Ne pas fusionner cette colonie avec LV-426.</x:v>
      </x:c>
    </x:row>
    <x:row r="20" ht="157.5" customHeight="1">
      <x:c r="A20" s="71" t="str">
        <x:v>Y-L03</x:v>
      </x:c>
      <x:c r="B20" s="71" t="str">
        <x:v>Neonopolis / secteurs Borgia</x:v>
      </x:c>
      <x:c r="C20" s="71" t="str">
        <x:v>Predator: Concrete Jungle (2005)</x:v>
      </x:c>
      <x:c r="D20" s="71" t="str">
        <x:v>Jeu</x:v>
      </x:c>
      <x:c r="E20" s="71" t="str">
        <x:v>Ville et organisation attestées par les notices licenciées ; découpage de guerre proposé.</x:v>
      </x:c>
      <x:c r="F20" s="71" t="str">
        <x:v>Confirmé dans l’œuvre</x:v>
      </x:c>
      <x:c r="G20" s="71" t="str">
        <x:v>NECA situe la récupération technologique de Scarface à Neonopolis et rattache Stone Heart aux augmentations de Borgia.</x:v>
      </x:c>
      <x:c r="H20" s="71" t="str">
        <x:v>Y-S22 — Ultimate Scarface — Concrete Jungle
NECA ; Catalogue licencié
Portée : Scarface, exil puis récupération de technologie à Neonopolis dans le jeu 2005 ; noms et prémisse, pas plan spatial certifié.
Consulté le 2026-10-26
Y-S23 — Concrete Jungle — Stone Heart
NECA ; Catalogue licencié
Portée : Stone Heart capturé, augmenté et conditionné par Borgia Industries ; cyborg individuel, pas sous-espèce naturelle.
Consulté le 2026-10-26</x:v>
      </x:c>
      <x:c r="I20" s="76" t="str">
        <x:v>https://store.necaonline.com/blogs/behind-the-scenes/closer-look-video-game-appearance-ultimate-scarface-predator
https://store.necaonline.com/products/predator-7-scale-action-figure-concrete-jungle-stone-heart-predator</x:v>
      </x:c>
      <x:c r="J20" s="71" t="str">
        <x:v>Y/H attesté ; Y/Y autour des captifs augmentés à vérifier dans le jeu. X et trois camps : documenter la séquence ou choisir un crossover original.</x:v>
      </x:c>
      <x:c r="K20" s="71" t="str">
        <x:v>Proposition : rues, toits et accès industriels avec convoyage de technologies entre secteurs ; verrouiller chaque transfert détruit/capturé ; lire les niveaux originaux avant de figer les itinéraires.</x:v>
      </x:c>
      <x:c r="L20" s="71" t="str">
        <x:v>Ne pas confondre Neonopolis avec Los Angeles ni déduire une date précise des seules notices. Dimensions, voies et équipements de sécurité non cotés par la source.</x:v>
      </x:c>
    </x:row>
    <x:row r="21" ht="76.5" customHeight="1">
      <x:c r="A21" s="70" t="str">
        <x:v>Y-L04</x:v>
      </x:c>
      <x:c r="B21" s="70" t="str">
        <x:v>Réserve de captifs — The Last Hunt</x:v>
      </x:c>
      <x:c r="C21" s="70" t="str">
        <x:v>Predator: The Last Hunt (2024)</x:v>
      </x:c>
      <x:c r="D21" s="70" t="str">
        <x:v>Comic</x:v>
      </x:c>
      <x:c r="E21" s="70" t="str">
        <x:v>Périmètre de la série Marvel ; nom planétaire et emplacements exacts à documenter dans les pages.</x:v>
      </x:c>
      <x:c r="F21" s="70" t="str">
        <x:v>Confirmé dans l’œuvre</x:v>
      </x:c>
      <x:c r="G21" s="70" t="str">
        <x:v>Marvel décrit une réserve de captifs humains et une planète de chasse au cœur de The Last Hunt.</x:v>
      </x:c>
      <x:c r="H21" s="70" t="str">
        <x:v>Y-S21 — Predator: The Last Hunt — recueil officiel
Marvel ; Éditeur / synopsis de recueil
Portée : Recueil du 16 octobre 2024 ; Theta, réserve de captifs humains et Super Predator. Notice indexée consultée ; ouverture directe HTTP 403.
Consulté le 2026-10-26</x:v>
      </x:c>
      <x:c r="I21" s="77" t="str">
        <x:v>https://www.marvel.com/comics/collection/110461/predator_the_last_hunt_trade_paperback</x:v>
      </x:c>
      <x:c r="J21" s="70" t="str">
        <x:v>Y/H : contexte de libération de captifs. Y/X ou X/Y/H : crossover original, pas contenu attesté par le résumé.</x:v>
      </x:c>
      <x:c r="K21" s="70" t="str">
        <x:v>Proposition : zone d’approche, rétention de captifs, chemins de fuite et point d’extraction ; réseaux d’alerte limités ; plusieurs sites du récit ne sont pas fusionnés avant vérification.</x:v>
      </x:c>
      <x:c r="L21" s="70" t="str">
        <x:v>Ne pas déclarer cette réserve identique à la planète de Predators (2010). Ne pas inventer ici Glenelg, Mabou, stase, dimensions ou population sans consulter les pages pertinentes.</x:v>
      </x:c>
    </x:row>
    <x:row r="22" ht="90" customHeight="1">
      <x:c r="A22" s="71" t="str">
        <x:v>Y-L05</x:v>
      </x:c>
      <x:c r="B22" s="71" t="str">
        <x:v>Japon féodal — épisode de Killer of Killers</x:v>
      </x:c>
      <x:c r="C22" s="71" t="str">
        <x:v>Predator: Killer of Killers (2025)</x:v>
      </x:c>
      <x:c r="D22" s="71" t="str">
        <x:v>Film d’animation</x:v>
      </x:c>
      <x:c r="E22" s="71" t="str">
        <x:v>Période et conflit fraternel attestés ; lieux précis et chasseur encore à vérifier.</x:v>
      </x:c>
      <x:c r="F22" s="71" t="str">
        <x:v>Confirmé dans l’œuvre</x:v>
      </x:c>
      <x:c r="G22" s="71" t="str">
        <x:v>Le synopsis officiel évoque au Japon féodal un ninja opposé à son frère samouraï.</x:v>
      </x:c>
      <x:c r="H22" s="71" t="str">
        <x:v>Y-S18 — Predator: Killer of Killers — fiche officielle
20th Century Studios ; Studio / synopsis de film d’animation
Portée : Sortie le 6 juin 2025 ; épisodes viking, Japon féodal et aviation de la Seconde Guerre mondiale. Noms, rangs et arsenaux Yautja non détaillés.
Consulté le 2026-10-26</x:v>
      </x:c>
      <x:c r="I22" s="76" t="str">
        <x:v>https://www.20thcenturystudios.com/movies/predator-killer-of-killers</x:v>
      </x:c>
      <x:c r="J22" s="71" t="str">
        <x:v>Y/H dans le périmètre de l’anthologie ; factions humaines opposées possibles après relevé. X ou guerre de clans : variante originale.</x:v>
      </x:c>
      <x:c r="K22" s="71" t="str">
        <x:v>Proposition après relevé : réseau vertical d’approches discrètes, cours et issues alternatives ; deux groupes humains gardent leurs objectifs lorsque le chasseur intervient ; nombre de fronts réglé par le gameplay.</x:v>
      </x:c>
      <x:c r="L22" s="71" t="str">
        <x:v>Ne pas attribuer automatiquement ce théâtre au Samurai DLC PHG. Aucun nom de ville, année exacte, plan de château ou caste Yautja confirmé par cette fiche ; roster spécifique hors spawn avant preuve.</x:v>
      </x:c>
    </x:row>
    <x:row r="23" ht="90" customHeight="1">
      <x:c r="A23" s="70" t="str">
        <x:v>Y-L06</x:v>
      </x:c>
      <x:c r="B23" s="70" t="str">
        <x:v>Théâtre aérien — épisode de la Seconde Guerre mondiale</x:v>
      </x:c>
      <x:c r="C23" s="70" t="str">
        <x:v>Predator: Killer of Killers (2025)</x:v>
      </x:c>
      <x:c r="D23" s="70" t="str">
        <x:v>Film d’animation</x:v>
      </x:c>
      <x:c r="E23" s="70" t="str">
        <x:v>Contexte aérien attesté ; théâtre géographique et matériel exact à relever dans le film.</x:v>
      </x:c>
      <x:c r="F23" s="70" t="str">
        <x:v>Confirmé dans l’œuvre</x:v>
      </x:c>
      <x:c r="G23" s="70" t="str">
        <x:v>Le synopsis suit un pilote de la Seconde Guerre mondiale enquêtant sur une menace aérienne extraterrestre.</x:v>
      </x:c>
      <x:c r="H23" s="70" t="str">
        <x:v>Y-S18 — Predator: Killer of Killers — fiche officielle
20th Century Studios ; Studio / synopsis de film d’animation
Portée : Sortie le 6 juin 2025 ; épisodes viking, Japon féodal et aviation de la Seconde Guerre mondiale. Noms, rangs et arsenaux Yautja non détaillés.
Consulté le 2026-10-26</x:v>
      </x:c>
      <x:c r="I23" s="77" t="str">
        <x:v>https://www.20thcenturystudios.com/movies/predator-killer-of-killers</x:v>
      </x:c>
      <x:c r="J23" s="70" t="str">
        <x:v>Y/H avec appareils et équipages comptés séparément ; X/Y/H non attesté, uniquement crossover original.</x:v>
      </x:c>
      <x:c r="K23" s="70" t="str">
        <x:v>Proposition : couloirs aériens, points de rendez-vous et fenêtres d’interception ; éventuel module au sol distinct après vérification ; réserve aérienne finie et équipage inclus une seule fois.</x:v>
      </x:c>
      <x:c r="L23" s="70" t="str">
        <x:v>Ne pas convertir les appareils en PNJ humains supplémentaires ni faire marcher des combattants terrestres dans l’arène aérienne. Aucun porte-avions, lieu ou gabarit précis déduit du résumé.</x:v>
      </x:c>
    </x:row>
    <x:row r="24" ht="76.5" customHeight="1">
      <x:c r="A24" s="71" t="str">
        <x:v>H-L01</x:v>
      </x:c>
      <x:c r="B24" s="71" t="str">
        <x:v>Sevastopol</x:v>
      </x:c>
      <x:c r="C24" s="71" t="str">
        <x:v>Alien: Isolation — The Trigger</x:v>
      </x:c>
      <x:c r="D24" s="71" t="str">
        <x:v>Jeu</x:v>
      </x:c>
      <x:c r="E24" s="71" t="str">
        <x:v>Alien / Isolation</x:v>
      </x:c>
      <x:c r="F24" s="71" t="str">
        <x:v>Lieu attesté ; topologie et bataille proposées</x:v>
      </x:c>
      <x:c r="G24" s="71" t="str">
        <x:v>Le contenu officiel situe la menace à Sevastopol.</x:v>
      </x:c>
      <x:c r="H24" s="71" t="str">
        <x:v>H-S06 — Alien: Isolation — The Trigger
SEGA / page éditeur Epic Games Store ; Source primaire officielle
Portée : Sevastopol et Working Joes dans le texte commercial du contenu officiel ; ne prouve pas toutes leurs règles d’IA.
Consulté le 2026-10-26</x:v>
      </x:c>
      <x:c r="I24" s="76" t="str">
        <x:v>https://store.epicgames.com/p/alien-isolation--the-trigger?lang=en-US</x:v>
      </x:c>
      <x:c r="J24" s="71" t="str">
        <x:v>X-H ; ajout Y-X-H exclusivement crossover original</x:v>
      </x:c>
      <x:c r="K24" s="71" t="str">
        <x:v>Trois réseaux : circulation publique, maintenance et accès verticaux. Trois urgences parallèles, faible population active.</x:v>
      </x:c>
      <x:c r="L24" s="71" t="str">
        <x:v>Ne pas transformer le rythme de survie en vagues de milliers d’adultes ; plans, zones ajoutées et présence Yautja originaux.</x:v>
      </x:c>
    </x:row>
    <x:row r="25" ht="76.5" customHeight="1">
      <x:c r="A25" s="70" t="str">
        <x:v>H-L02</x:v>
      </x:c>
      <x:c r="B25" s="70" t="str">
        <x:v>Lethe</x:v>
      </x:c>
      <x:c r="C25" s="70" t="str">
        <x:v>Aliens: Dark Descent</x:v>
      </x:c>
      <x:c r="D25" s="70" t="str">
        <x:v>Jeu</x:v>
      </x:c>
      <x:c r="E25" s="70" t="str">
        <x:v>Alien / Dark Descent</x:v>
      </x:c>
      <x:c r="F25" s="70" t="str">
        <x:v>Lieu attesté ; topologie et bataille proposées</x:v>
      </x:c>
      <x:c r="G25" s="70" t="str">
        <x:v>L’Otago s’écrase sur Lethe lors de la crise.</x:v>
      </x:c>
      <x:c r="H25" s="70" t="str">
        <x:v>H-S04 — Dark Descent — bande-annonce de l’histoire
Focus Entertainment / Tindalos ; Source primaire officielle
Portée : Lethe, Otago, Pioneer Station, commandos humains rebelles et fonctions des personnages cités.
Consulté le 2026-10-26</x:v>
      </x:c>
      <x:c r="I25" s="77" t="str">
        <x:v>https://www.focus-entmt.com/en/news/tindalos-and-focus-reveal-story-trailer-for-aliens-dark-descent</x:v>
      </x:c>
      <x:c r="J25" s="70" t="str">
        <x:v>X-H ; ajout Y-X ou X-Y-H original</x:v>
      </x:c>
      <x:c r="K25" s="70" t="str">
        <x:v>Colonie en surface, infrastructure industrielle et tunnels ; portes, positions des survivants et réserves persistent.</x:v>
      </x:c>
      <x:c r="L25" s="70" t="str">
        <x:v>La géographie complète et les distances de la version musou sont une proposition, pas le plan du jeu.</x:v>
      </x:c>
    </x:row>
    <x:row r="26" ht="76.5" customHeight="1">
      <x:c r="A26" s="71" t="str">
        <x:v>H-L03</x:v>
      </x:c>
      <x:c r="B26" s="71" t="str">
        <x:v>Pioneer Station</x:v>
      </x:c>
      <x:c r="C26" s="71" t="str">
        <x:v>Aliens: Dark Descent</x:v>
      </x:c>
      <x:c r="D26" s="71" t="str">
        <x:v>Jeu</x:v>
      </x:c>
      <x:c r="E26" s="71" t="str">
        <x:v>Alien / Dark Descent</x:v>
      </x:c>
      <x:c r="F26" s="71" t="str">
        <x:v>Lieu attesté ; topologie et bataille proposées</x:v>
      </x:c>
      <x:c r="G26" s="71" t="str">
        <x:v>Maeko Hayes est administratrice adjointe de Pioneer Station.</x:v>
      </x:c>
      <x:c r="H26" s="71" t="str">
        <x:v>H-S05 — Dark Descent — FAQ du 13 juin 2023
Focus Entertainment ; Source primaire officielle
Portée : Cadre Lethe, colonies, personnages et campagne ; les effectifs musou proposés ne sont pas ceux du jeu.
Consulté le 2026-10-26</x:v>
      </x:c>
      <x:c r="I26" s="76" t="str">
        <x:v>https://support.focus-entmt.com/hc/en-us/articles/16126166561425-FREQUENTLY-ASKED-QUESTIONS-JUNE-13-2023</x:v>
      </x:c>
      <x:c r="J26" s="71" t="str">
        <x:v>X-H ; ajout Y-H ou X-Y-H original</x:v>
      </x:c>
      <x:c r="K26" s="71" t="str">
        <x:v>Site orbital distinct de Lethe ; liaison de transport scénarisée, pas un couloir direct planète-station.</x:v>
      </x:c>
      <x:c r="L26" s="71" t="str">
        <x:v>Ne pas fusionner cette station avec le lieu du crash de l’Otago ; chronologie et population à relever.</x:v>
      </x:c>
    </x:row>
    <x:row r="27" ht="76.5" customHeight="1">
      <x:c r="A27" s="70" t="str">
        <x:v>H-L04</x:v>
      </x:c>
      <x:c r="B27" s="70" t="str">
        <x:v>USS Otago</x:v>
      </x:c>
      <x:c r="C27" s="70" t="str">
        <x:v>Aliens: Dark Descent</x:v>
      </x:c>
      <x:c r="D27" s="70" t="str">
        <x:v>Jeu</x:v>
      </x:c>
      <x:c r="E27" s="70" t="str">
        <x:v>Alien / Dark Descent</x:v>
      </x:c>
      <x:c r="F27" s="70" t="str">
        <x:v>Lieu attesté ; topologie et bataille proposées</x:v>
      </x:c>
      <x:c r="G27" s="70" t="str">
        <x:v>L’Otago sert de base à la campagne sur Lethe.</x:v>
      </x:c>
      <x:c r="H27" s="70" t="str">
        <x:v>H-S05 — Dark Descent — FAQ du 13 juin 2023
Focus Entertainment ; Source primaire officielle
Portée : Cadre Lethe, colonies, personnages et campagne ; les effectifs musou proposés ne sont pas ceux du jeu.
Consulté le 2026-10-26</x:v>
      </x:c>
      <x:c r="I27" s="77" t="str">
        <x:v>https://support.focus-entmt.com/hc/en-us/articles/16126166561425-FREQUENTLY-ASKED-QUESTIONS-JUNE-13-2023</x:v>
      </x:c>
      <x:c r="J27" s="70" t="str">
        <x:v>Base humaine ; défense X-H ou crossover original</x:v>
      </x:c>
      <x:c r="K27" s="70" t="str">
        <x:v>Base de préparation avec infirmerie, réparation et sorties vers le théâtre ; couloirs dimensionnés à un vaisseau.</x:v>
      </x:c>
      <x:c r="L27" s="70" t="str">
        <x:v>Ne pas étendre arbitrairement chaque salle en champ de bataille géant ; séparer base et secteurs de mission.</x:v>
      </x:c>
    </x:row>
    <x:row r="28" ht="76.5" customHeight="1">
      <x:c r="A28" s="71" t="str">
        <x:v>H-L05</x:v>
      </x:c>
      <x:c r="B28" s="71" t="str">
        <x:v>Prodigy City et épave de l’USCSS Maginot</x:v>
      </x:c>
      <x:c r="C28" s="71" t="str">
        <x:v>Alien: Earth</x:v>
      </x:c>
      <x:c r="D28" s="71" t="str">
        <x:v>Série</x:v>
      </x:c>
      <x:c r="E28" s="71" t="str">
        <x:v>Alien / Earth, 2120</x:v>
      </x:c>
      <x:c r="F28" s="71" t="str">
        <x:v>Lieu attesté ; topologie et bataille proposées</x:v>
      </x:c>
      <x:c r="G28" s="71" t="str">
        <x:v>Le Maginot s’écrase à Prodigy City.</x:v>
      </x:c>
      <x:c r="H28" s="71" t="str">
        <x:v>H-S09 — Alien: Earth — présentation de la série
ABC / Disney ; Source primaire officielle
Portée : Année 2120, cinq corporations, cyborgs/synthétiques/hybrides, Maginot et Prodigy City.
Consulté le 2026-10-26</x:v>
      </x:c>
      <x:c r="I28" s="76" t="str">
        <x:v>https://abc.com/show/95f00a9c-4cd4-4307-8eac-1485d9e439ea/about-the-show</x:v>
      </x:c>
      <x:c r="J28" s="71" t="str">
        <x:v>X-H ; corporations H-H ; X-Y-H uniquement scénario original</x:v>
      </x:c>
      <x:c r="K28" s="71" t="str">
        <x:v>Ville avec cordon, épave, axe d’évacuation et accès techniques. Les enjeux de récupération et secours évoluent indépendamment.</x:v>
      </x:c>
      <x:c r="L28" s="71" t="str">
        <x:v>Yautja ajoutés = crossover original ; pas d’USCM importés par défaut. Topologie agrandie non certifiée par les images.</x:v>
      </x:c>
    </x:row>
    <x:row r="29" ht="76.5" customHeight="1">
      <x:c r="A29" s="70" t="str">
        <x:v>H-L06</x:v>
      </x:c>
      <x:c r="B29" s="70" t="str">
        <x:v>Tobler-9</x:v>
      </x:c>
      <x:c r="C29" s="70" t="str">
        <x:v>Alien (2022) #2–3</x:v>
      </x:c>
      <x:c r="D29" s="70" t="str">
        <x:v>Comic</x:v>
      </x:c>
      <x:c r="E29" s="70" t="str">
        <x:v>Alien / série Marvel 2022</x:v>
      </x:c>
      <x:c r="F29" s="70" t="str">
        <x:v>Lieu attesté ; topologie et bataille proposées</x:v>
      </x:c>
      <x:c r="G29" s="70" t="str">
        <x:v>Tobler-9 abrite des Xénomorphes et des survivants humains.</x:v>
      </x:c>
      <x:c r="H29" s="70" t="str">
        <x:v>H-S11 — Alien (2022) #3
Marvel ; Source primaire officielle
Portée : Steel Team, survivants de Tobler-9 et coopération conditionnelle ; pas un effectif de bataille certifié.
Consulté le 2026-10-26</x:v>
      </x:c>
      <x:c r="I29" s="77" t="str">
        <x:v>https://www.marvel.com/comics/issue/103780/read</x:v>
      </x:c>
      <x:c r="J29" s="70" t="str">
        <x:v>X-H avec synthétiques ; extension X-Y-H originale</x:v>
      </x:c>
      <x:c r="K29" s="70" t="str">
        <x:v>Avant-poste, refuge et nid souterrain reliés ; pacte local, réseaux industriels et accès d’évacuation.</x:v>
      </x:c>
      <x:c r="L29" s="70" t="str">
        <x:v>Les survivants et Steel Team ne forment pas une armée homogène ; aucune population chiffrée déduite.</x:v>
      </x:c>
    </x:row>
    <x:row r="30" ht="76.5" customHeight="1">
      <x:c r="A30" s="71" t="str">
        <x:v>H-L07</x:v>
      </x:c>
      <x:c r="B30" s="71" t="str">
        <x:v>Station Epsilon</x:v>
      </x:c>
      <x:c r="C30" s="71" t="str">
        <x:v>Alien (2021) #2–3</x:v>
      </x:c>
      <x:c r="D30" s="71" t="str">
        <x:v>Comic</x:v>
      </x:c>
      <x:c r="E30" s="71" t="str">
        <x:v>Alien / série Marvel 2021</x:v>
      </x:c>
      <x:c r="F30" s="71" t="str">
        <x:v>Lieu attesté ; topologie et bataille proposées</x:v>
      </x:c>
      <x:c r="G30" s="71" t="str">
        <x:v>Cruz retourne à la station Epsilon.</x:v>
      </x:c>
      <x:c r="H30" s="71" t="str">
        <x:v>H-S13 — Alien (2021) #3
Marvel ; Source primaire officielle
Portée : Cruz, soldats et station Epsilon ; ne certifie pas son plan intégral.
Consulté le 2026-10-26</x:v>
      </x:c>
      <x:c r="I30" s="76" t="str">
        <x:v>https://www.marvel.com/comics/issue/89571/alien_2021_3</x:v>
      </x:c>
      <x:c r="J30" s="71" t="str">
        <x:v>X-H ; extension X-Y-H originale</x:v>
      </x:c>
      <x:c r="K30" s="71" t="str">
        <x:v>Station en secteurs avec axe de secours, laboratoire, services et extraction ; routes fixes et états persistants.</x:v>
      </x:c>
      <x:c r="L30" s="71" t="str">
        <x:v>Nom et cadre attestés ; secteurs, dimension et trio de camps de la version musou sont originaux.</x:v>
      </x:c>
    </x:row>
    <x:row r="31" ht="76.5" customHeight="1">
      <x:c r="A31" s="70" t="str">
        <x:v>H-L08</x:v>
      </x:c>
      <x:c r="B31" s="70" t="str">
        <x:v>Lune des Spinners — nom à confirmer</x:v>
      </x:c>
      <x:c r="C31" s="70" t="str">
        <x:v>Alien (2021) #7</x:v>
      </x:c>
      <x:c r="D31" s="70" t="str">
        <x:v>Comic</x:v>
      </x:c>
      <x:c r="E31" s="70" t="str">
        <x:v>Alien / série Marvel 2021</x:v>
      </x:c>
      <x:c r="F31" s="70" t="str">
        <x:v>Lieu attesté ; topologie et bataille proposées</x:v>
      </x:c>
      <x:c r="G31" s="70" t="str">
        <x:v>Une lune en terraformation accueille la communauté des Spinners.</x:v>
      </x:c>
      <x:c r="H31" s="70" t="str">
        <x:v>H-S12 — Alien (2021) #7 — fiche officielle
Marvel ; Source primaire officielle
Portée : Communauté des Spinners sur une lune en terraformation ; nom précis non confirmé par la fiche consultée.
Consulté le 2026-10-26</x:v>
      </x:c>
      <x:c r="I31" s="77" t="str">
        <x:v>https://www.marvel.com/comics/issue/96969/alien_2021_7_variant/variant</x:v>
      </x:c>
      <x:c r="J31" s="70" t="str">
        <x:v>X-H ; extension Y-X ou X-Y-H originale</x:v>
      </x:c>
      <x:c r="K31" s="70" t="str">
        <x:v>Habitat, chantier de terraformation, trajet de secours et brèche d’infestation ; civilisation et logistique lisibles.</x:v>
      </x:c>
      <x:c r="L31" s="70" t="str">
        <x:v>N’afficher aucun nom géographique non confirmé ; guerre Yautja et plan détaillé explicitement originaux.</x:v>
      </x:c>
    </x:row>
    <x:row r="32" ht="76.5" customHeight="1">
      <x:c r="A32" s="71" t="str">
        <x:v>H-L09</x:v>
      </x:c>
      <x:c r="B32" s="71" t="str">
        <x:v>Planète de toundra de Theta — nom non donné</x:v>
      </x:c>
      <x:c r="C32" s="71" t="str">
        <x:v>Predator (2022) #2</x:v>
      </x:c>
      <x:c r="D32" s="71" t="str">
        <x:v>Comic</x:v>
      </x:c>
      <x:c r="E32" s="71" t="str">
        <x:v>Predator / série Marvel 2022</x:v>
      </x:c>
      <x:c r="F32" s="71" t="str">
        <x:v>Lieu attesté ; topologie et bataille proposées</x:v>
      </x:c>
      <x:c r="G32" s="71" t="str">
        <x:v>Theta s’écrase sur une planète de toundra puis cherche l’avant-poste le plus proche.</x:v>
      </x:c>
      <x:c r="H32" s="71" t="str">
        <x:v>H-S16 — Predator (2022) #2
Marvel ; Source primaire officielle
Portée : Crash de Theta sur une planète de toundra et trajet vers un avant-poste ; planète non nommée dans la fiche.
Consulté le 2026-10-26</x:v>
      </x:c>
      <x:c r="I32" s="76" t="str">
        <x:v>https://www.marvel.com/comics/issue/89619/predator</x:v>
      </x:c>
      <x:c r="J32" s="71" t="str">
        <x:v>Y-H ; Y-Y seulement scénario original</x:v>
      </x:c>
      <x:c r="K32" s="71" t="str">
        <x:v>Epave, vallons exposés, passages abrités et avant-poste ; faible densité, froid et trajectoire de poursuite.</x:v>
      </x:c>
      <x:c r="L32" s="71" t="str">
        <x:v>Ne pas inventer le nom officiel de la planète ; forces d’avant-poste et relief détaillé sont des choix de conception.</x:v>
      </x:c>
    </x:row>
    <x:row r="33" ht="76.5" customHeight="1">
      <x:c r="A33" s="70" t="str">
        <x:v>H-L10</x:v>
      </x:c>
      <x:c r="B33" s="70" t="str">
        <x:v>Grandes Plaines du Nord, territoire de Prey</x:v>
      </x:c>
      <x:c r="C33" s="70" t="str">
        <x:v>Prey</x:v>
      </x:c>
      <x:c r="D33" s="70" t="str">
        <x:v>Film</x:v>
      </x:c>
      <x:c r="E33" s="70" t="str">
        <x:v>Predator / Prey, 1719</x:v>
      </x:c>
      <x:c r="F33" s="70" t="str">
        <x:v>Lieu attesté ; topologie et bataille proposées</x:v>
      </x:c>
      <x:c r="G33" s="70" t="str">
        <x:v>Le film se déroule dans les Grandes Plaines du Nord en 1719.</x:v>
      </x:c>
      <x:c r="H33" s="70" t="str">
        <x:v>H-S17 — Prey — notes de production officielles
20th Century Studios / Disney ; Source primaire officielle
Portée : Film : Grandes Plaines du Nord en 1719, Naru, Taabe, chasseurs comanches et trappeurs. Lieux de tournage distincts du lieu diégétique.
Consulté le 2026-10-26</x:v>
      </x:c>
      <x:c r="I33" s="77" t="str">
        <x:v>https://lumiere-a.akamaihd.net/v1/documents/prey_final_production_notes_bios_59_82be4e25.pdf</x:v>
      </x:c>
      <x:c r="J33" s="70" t="str">
        <x:v>Y-H ; H-H ; aucune ruche par défaut</x:v>
      </x:c>
      <x:c r="K33" s="70" t="str">
        <x:v>Camp, forêt, rivière et pistes reliés ; routes de chasse distinctes des chemins civils.</x:v>
      </x:c>
      <x:c r="L33" s="70" t="str">
        <x:v>Canada de tournage et lieu du récit ne sont pas interchangeables ; étendue et affrontements de guerre originaux.</x:v>
      </x:c>
    </x:row>
  </x:sheetData>
  <x:pageMargins left="0.7" right="0.7" top="0.75" bottom="0.75" header="0.3" footer="0.3"/>
  <x:tableParts count="1">
    <x:tablePart xmlns:r="http://schemas.openxmlformats.org/officeDocument/2006/relationships" r:id="R3c433fc0678d4055"/>
  </x:tableParts>
</x:worksheet>
</file>

<file path=xl/worksheets/sheet16.xml><?xml version="1.0" encoding="utf-8"?>
<x:worksheet xmlns:x="http://schemas.openxmlformats.org/spreadsheetml/2006/main">
  <x:sheetPr>
    <x:tabColor rgb="FF66705F"/>
  </x:sheetPr>
  <x:sheetViews>
    <x:sheetView showGridLines="0" workbookViewId="0">
      <x:pane xSplit="3" ySplit="6" topLeftCell="D7" activePane="bottomRight" state="frozen"/>
    </x:sheetView>
  </x:sheetViews>
  <x:sheetFormatPr defaultRowHeight="15"/>
  <x:cols>
    <x:col min="1" max="1" width="14" hidden="0" customWidth="1"/>
    <x:col min="2" max="2" width="28" hidden="0" customWidth="1"/>
    <x:col min="3" max="3" width="49" hidden="0" customWidth="1"/>
    <x:col min="4" max="4" width="85" hidden="0" customWidth="1"/>
    <x:col min="5" max="5" width="87" hidden="0" customWidth="1"/>
    <x:col min="6" max="6" width="11" hidden="0" customWidth="1"/>
    <x:col min="7" max="7" width="27" hidden="0" customWidth="1"/>
    <x:col min="8" max="8" width="54" hidden="0" customWidth="1"/>
    <x:col min="9" max="9" width="72" hidden="0" customWidth="1"/>
    <x:col min="10" max="10" width="80" hidden="0" customWidth="1"/>
    <x:col min="11" max="11" width="38" hidden="0" customWidth="1"/>
    <x:col min="12" max="12" width="18" hidden="0" customWidth="1"/>
  </x:cols>
  <x:sheetData>
    <x:row r="1" ht="12" customHeight="1">
      <x:c r="A1" s="113"/>
      <x:c r="B1" s="113"/>
      <x:c r="C1" s="113"/>
      <x:c r="D1" s="113"/>
      <x:c r="E1" s="113"/>
      <x:c r="F1" s="113"/>
      <x:c r="G1" s="113"/>
      <x:c r="H1" s="113"/>
      <x:c r="I1" s="113"/>
      <x:c r="J1" s="113"/>
      <x:c r="K1" s="113"/>
      <x:c r="L1" s="113"/>
    </x:row>
    <x:row r="2" ht="29" customHeight="1">
      <x:c r="A2" s="114" t="str">
        <x:v>Contrôle de complétude du catalogue</x:v>
      </x:c>
      <x:c r="B2" s="113"/>
      <x:c r="C2" s="113"/>
      <x:c r="D2" s="113"/>
      <x:c r="E2" s="113"/>
      <x:c r="F2" s="113"/>
      <x:c r="G2" s="113"/>
      <x:c r="H2" s="113"/>
      <x:c r="I2" s="113"/>
      <x:c r="J2" s="113"/>
      <x:c r="K2" s="113"/>
      <x:c r="L2" s="113"/>
    </x:row>
    <x:row r="3" ht="8" customHeight="1">
      <x:c r="A3" s="113"/>
      <x:c r="B3" s="113"/>
      <x:c r="C3" s="113"/>
      <x:c r="D3" s="113"/>
      <x:c r="E3" s="113"/>
      <x:c r="F3" s="113"/>
      <x:c r="G3" s="113"/>
      <x:c r="H3" s="113"/>
      <x:c r="I3" s="113"/>
      <x:c r="J3" s="113"/>
      <x:c r="K3" s="113"/>
      <x:c r="L3" s="113"/>
    </x:row>
    <x:row r="4">
      <x:c r="A4" s="115" t="str">
        <x:v>Contrôle du 27/10/2026. Les faits, les anomalies de code et les dossiers à documenter restent distincts.</x:v>
      </x:c>
      <x:c r="B4" s="113"/>
      <x:c r="C4" s="113"/>
      <x:c r="D4" s="113"/>
      <x:c r="E4" s="113"/>
      <x:c r="F4" s="113"/>
      <x:c r="G4" s="113"/>
      <x:c r="H4" s="113"/>
      <x:c r="I4" s="113"/>
      <x:c r="J4" s="113"/>
      <x:c r="K4" s="113"/>
      <x:c r="L4" s="113"/>
    </x:row>
    <x:row r="5">
      <x:c r="A5" s="116" t="str">
        <x:v>80 contrôles. Les candidats non confirmés restent hors des listes de spawn.</x:v>
      </x:c>
      <x:c r="B5" s="113"/>
      <x:c r="C5" s="113"/>
      <x:c r="D5" s="113"/>
      <x:c r="E5" s="113"/>
      <x:c r="F5" s="113"/>
      <x:c r="G5" s="113"/>
      <x:c r="H5" s="113"/>
      <x:c r="I5" s="113"/>
      <x:c r="J5" s="113"/>
      <x:c r="K5" s="113"/>
      <x:c r="L5" s="113"/>
    </x:row>
    <x:row r="6" ht="36" customHeight="1">
      <x:c r="A6" s="128" t="str">
        <x:v>ID</x:v>
      </x:c>
      <x:c r="B6" s="129" t="str">
        <x:v>Domaine</x:v>
      </x:c>
      <x:c r="C6" s="129" t="str">
        <x:v>Sujet contrôlé</x:v>
      </x:c>
      <x:c r="D6" s="129" t="str">
        <x:v>Résultat de la vérification</x:v>
      </x:c>
      <x:c r="E6" s="129" t="str">
        <x:v>Action ou règle de cohérence</x:v>
      </x:c>
      <x:c r="F6" s="129" t="str">
        <x:v>Priorité</x:v>
      </x:c>
      <x:c r="G6" s="129" t="str">
        <x:v>État du contrôle</x:v>
      </x:c>
      <x:c r="H6" s="129" t="str">
        <x:v>Œuvre / périmètre</x:v>
      </x:c>
      <x:c r="I6" s="129" t="str">
        <x:v>Preuve ou limite</x:v>
      </x:c>
      <x:c r="J6" s="129" t="str">
        <x:v>Liens des preuves</x:v>
      </x:c>
      <x:c r="K6" s="129" t="str">
        <x:v>Profils / opérations concernés</x:v>
      </x:c>
      <x:c r="L6" s="130" t="str">
        <x:v>Date du contrôle</x:v>
      </x:c>
    </x:row>
    <x:row r="7" ht="24" hidden="0" customHeight="1">
      <x:c r="A7" s="131" t="str">
        <x:v>CTRL-001</x:v>
      </x:c>
      <x:c r="B7" s="131" t="str">
        <x:v>Code et cohérence</x:v>
      </x:c>
      <x:c r="C7" s="131" t="str">
        <x:v>AFF-16 : synthétiques Weyland-Yutani remplacés par humains</x:v>
      </x:c>
      <x:c r="D7" s="131" t="str">
        <x:v>La fabrique d’AFF-16 garde GRP-46, mais génère original_human_soldier/officer de type marine. Aucun profil synthetic, weyland_combat ou Working Joe n’est généré.</x:v>
      </x:c>
      <x:c r="E7" s="131" t="str">
        <x:v>Conserver une faction synthetic et une correspondance explicite groupe → profil. Vérifier les 192 synthétiques alloués sans ajouter d’humains ni modifier les comptes.</x:v>
      </x:c>
      <x:c r="F7" s="131" t="str">
        <x:v>P0</x:v>
      </x:c>
      <x:c r="G7" s="131" t="str">
        <x:v>Écart reproduit</x:v>
      </x:c>
      <x:c r="H7" s="131" t="str">
        <x:v>Code 39871c45</x:v>
      </x:c>
      <x:c r="I7" s="131" t="str">
        <x:v>Exécution de getBattleOperationConfig(AFF-16) au SHA audité ; classification allocatedCamp et profils genericProfile.</x:v>
      </x:c>
      <x:c r="J7" s="133" t="str">
        <x:v>https://github.com/darknigthmare/Yautja-hive-warriors/blob/39871c450379225de8174711237632e6aa883f04/js/data/BattleCatalog.js#L145-L163</x:v>
      </x:c>
      <x:c r="K7" s="131" t="str">
        <x:v>AFF-16, GRP-46, HUM-015</x:v>
      </x:c>
      <x:c r="L7" s="135" t="d">
        <x:v>2026-10-27T12:00:00.000Z</x:v>
      </x:c>
    </x:row>
    <x:row r="8" ht="24" hidden="0" customHeight="1">
      <x:c r="A8" s="132" t="str">
        <x:v>CTRL-002</x:v>
      </x:c>
      <x:c r="B8" s="132" t="str">
        <x:v>Code et cohérence</x:v>
      </x:c>
      <x:c r="C8" s="132" t="str">
        <x:v>AFF-13 : Working Joes remplacés par humains</x:v>
      </x:c>
      <x:c r="D8" s="132" t="str">
        <x:v>La fabrique d’AFF-13 garde GRP-50, mais ses unités utilisent les mêmes profils marine que les forces humaines. Aucun working_joe n’est instancié par la configuration.</x:v>
      </x:c>
      <x:c r="E8" s="132" t="str">
        <x:v>Associer GRP-50 au véritable manager des synthétiques et au profil Working Joe. Conserver 32 Joes et 8 adultes xénomorphes dans la force ennemie source.</x:v>
      </x:c>
      <x:c r="F8" s="132" t="str">
        <x:v>P0</x:v>
      </x:c>
      <x:c r="G8" s="132" t="str">
        <x:v>Écart reproduit</x:v>
      </x:c>
      <x:c r="H8" s="132" t="str">
        <x:v>Code 39871c45</x:v>
      </x:c>
      <x:c r="I8" s="132" t="str">
        <x:v>Exécution de getBattleOperationConfig(AFF-13) ; BattleCatalog.js et registre d’acteurs.</x:v>
      </x:c>
      <x:c r="J8" s="134" t="str">
        <x:v>https://github.com/darknigthmare/Yautja-hive-warriors/blob/39871c450379225de8174711237632e6aa883f04/js/data/BattleCatalog.js#L240-L265</x:v>
      </x:c>
      <x:c r="K8" s="132" t="str">
        <x:v>AFF-13, GRP-50, HUM-016</x:v>
      </x:c>
      <x:c r="L8" s="136" t="d">
        <x:v>2026-10-27T12:00:00.000Z</x:v>
      </x:c>
    </x:row>
    <x:row r="9" ht="24" hidden="0" customHeight="1">
      <x:c r="A9" s="131" t="str">
        <x:v>CTRL-003</x:v>
      </x:c>
      <x:c r="B9" s="131" t="str">
        <x:v>Code et cohérence</x:v>
      </x:c>
      <x:c r="C9" s="131" t="str">
        <x:v>Relations entre camps générées toutes hostiles</x:v>
      </x:c>
      <x:c r="D9" s="131" t="str">
        <x:v>getBattleOperationConfig initialise toutes les paires de factions en hostile, indépendamment du comportement spécifique des organismes, des synthétiques ou des factions du média.</x:v>
      </x:c>
      <x:c r="E9" s="131" t="str">
        <x:v>Définir une matrice par œuvre et opération. Une affiliation corporative ne prouve pas une hostilité universelle, et trois camps ne prouvent pas trois duels permanents.</x:v>
      </x:c>
      <x:c r="F9" s="131" t="str">
        <x:v>P1</x:v>
      </x:c>
      <x:c r="G9" s="131" t="str">
        <x:v>Écart de conception</x:v>
      </x:c>
      <x:c r="H9" s="131" t="str">
        <x:v>Code 39871c45</x:v>
      </x:c>
      <x:c r="I9" s="131" t="str">
        <x:v>Lecture de la construction des relations au SHA audité ; aucune scène jouée pour cette vérification.</x:v>
      </x:c>
      <x:c r="J9" s="133" t="str">
        <x:v>https://github.com/darknigthmare/Yautja-hive-warriors/blob/39871c450379225de8174711237632e6aa883f04/js/data/BattleCatalog.js#L225-L231</x:v>
      </x:c>
      <x:c r="K9" s="131" t="str">
        <x:v>AFF-13, AFF-16, opérations à trois camps</x:v>
      </x:c>
      <x:c r="L9" s="135" t="d">
        <x:v>2026-10-27T12:00:00.000Z</x:v>
      </x:c>
    </x:row>
    <x:row r="10" ht="24" hidden="0" customHeight="1">
      <x:c r="A10" s="132" t="str">
        <x:v>CTRL-004</x:v>
      </x:c>
      <x:c r="B10" s="132" t="str">
        <x:v>Code et cohérence</x:v>
      </x:c>
      <x:c r="C10" s="132" t="str">
        <x:v>115 fiches ne constituent pas 115 acteurs spécialisés</x:v>
      </x:c>
      <x:c r="D10" s="132" t="str">
        <x:v>Import du catalogue : 115 profils, 7 personnages jouables nommés, 18 identités de boss. Les 27 configurations se construisent mais la plupart des soldats utilisent warrior, clan_hunter ou marine génériques.</x:v>
      </x:c>
      <x:c r="E10" s="132" t="str">
        <x:v>Lier chaque profil sélectionné à son modèle, son arsenal, ses animations et son comportement ; conserver un statut distinct pour catalogue, acteur et fidélité validée.</x:v>
      </x:c>
      <x:c r="F10" s="132" t="str">
        <x:v>P1</x:v>
      </x:c>
      <x:c r="G10" s="132" t="str">
        <x:v>Inventaire exécuté</x:v>
      </x:c>
      <x:c r="H10" s="132" t="str">
        <x:v>Code 39871c45</x:v>
      </x:c>
      <x:c r="I10" s="132" t="str">
        <x:v>Import JavaScript des registres et création des 27 configurations. Les deux variantes humaines ont été inspectées avec allowHumanController=true ; cela ne fournit pas un contrôleur humain.</x:v>
      </x:c>
      <x:c r="J10" s="134" t="str">
        <x:v>https://github.com/darknigthmare/Yautja-hive-warriors/blob/39871c450379225de8174711237632e6aa883f04/js/data/BattleCatalog.js#L41-L51</x:v>
      </x:c>
      <x:c r="K10" s="132" t="str">
        <x:v>115 profils historiques ; 27 opérations</x:v>
      </x:c>
      <x:c r="L10" s="136" t="d">
        <x:v>2026-10-27T12:00:00.000Z</x:v>
      </x:c>
    </x:row>
    <x:row r="11" ht="24" hidden="0" customHeight="1">
      <x:c r="A11" s="131" t="str">
        <x:v>CTRL-005</x:v>
      </x:c>
      <x:c r="B11" s="131" t="str">
        <x:v>Code et cohérence</x:v>
      </x:c>
      <x:c r="C11" s="131" t="str">
        <x:v>Profils humains et arsenaux d’époque</x:v>
      </x:c>
      <x:c r="D11" s="131" t="str">
        <x:v>ColonialMarines.spawnBattleUnit accepte marine/human/smartgunner/flametrooper ; marine et human aboutissent à smartgunner. Cette fonction ne distingue pas les commandos WY, PMC, trappeurs et classes de chaque jeu.</x:v>
      </x:c>
      <x:c r="E11" s="131" t="str">
        <x:v>Conserver l’œuvre, l’époque et l’arme de chaque groupe lors de la matérialisation. Les classes de catalogue ne doivent pas toutes devenir un même soldat futuriste.</x:v>
      </x:c>
      <x:c r="F11" s="131" t="str">
        <x:v>P1</x:v>
      </x:c>
      <x:c r="G11" s="131" t="str">
        <x:v>Lecture statique</x:v>
      </x:c>
      <x:c r="H11" s="131" t="str">
        <x:v>Code 39871c45</x:v>
      </x:c>
      <x:c r="I11" s="131" t="str">
        <x:v>Lecture du manager humain et de genericProfile ; le nombre de noms acceptés n’est pas le nombre de modèles distincts.</x:v>
      </x:c>
      <x:c r="J11" s="133" t="str">
        <x:v>https://github.com/darknigthmare/Yautja-hive-warriors/blob/39871c450379225de8174711237632e6aa883f04/js/entities/ColonialMarines.js#L190-L200</x:v>
      </x:c>
      <x:c r="K11" s="131" t="str">
        <x:v>HUM-001 à HUM-041 et nouveaux profils</x:v>
      </x:c>
      <x:c r="L11" s="135" t="d">
        <x:v>2026-10-27T12:00:00.000Z</x:v>
      </x:c>
    </x:row>
    <x:row r="12" ht="24" hidden="0" customHeight="1">
      <x:c r="A12" s="132" t="str">
        <x:v>CTRL-006</x:v>
      </x:c>
      <x:c r="B12" s="132" t="str">
        <x:v>Code et cohérence</x:v>
      </x:c>
      <x:c r="C12" s="132" t="str">
        <x:v>Branche la plus récente et version servie</x:v>
      </x:c>
      <x:c r="D12" s="132" t="str">
        <x:v>La branche codex/complete-pr3-20261026 est à 39871c45 et conserve un suivi plus récent que main af900001. Vercel sert dpl_39FAHCh8Z68e8d6vHt4ZXg3ZSbaY, READY, créé via CLI sans SHA Git exposé.</x:v>
      </x:c>
      <x:c r="E12" s="132" t="str">
        <x:v>Rattacher ce contrôle au commit 39871c45 ; ne pas présenter son catalogue ou ses nouveaux contrôles comme déjà déployés.</x:v>
      </x:c>
      <x:c r="F12" s="132" t="str">
        <x:v>P1</x:v>
      </x:c>
      <x:c r="G12" s="132" t="str">
        <x:v>Versions identifiées</x:v>
      </x:c>
      <x:c r="H12" s="132" t="str">
        <x:v>Code 39871c45</x:v>
      </x:c>
      <x:c r="I12" s="132" t="str">
        <x:v>Lecture GitHub des branches et PR3 fusionnée ; API Vercel get_deployment et liste production consultées le 27/10/2026.</x:v>
      </x:c>
      <x:c r="J12" s="134" t="str">
        <x:v>https://github.com/darknigthmare/Yautja-hive-warriors/tree/39871c450379225de8174711237632e6aa883f04
https://yautja-hive-warriors.vercel.app</x:v>
      </x:c>
      <x:c r="K12" s="132" t="str">
        <x:v>Commit audité / production</x:v>
      </x:c>
      <x:c r="L12" s="136" t="d">
        <x:v>2026-10-27T12:00:00.000Z</x:v>
      </x:c>
    </x:row>
    <x:row r="13" ht="24" hidden="0" customHeight="1">
      <x:c r="A13" s="131" t="str">
        <x:v>CTRL-007</x:v>
      </x:c>
      <x:c r="B13" s="131" t="str">
        <x:v>Code et cohérence</x:v>
      </x:c>
      <x:c r="C13" s="131" t="str">
        <x:v>Terme « Isco » non identifié</x:v>
      </x:c>
      <x:c r="D13" s="131" t="str">
        <x:v>Aucune occurrence du terme exact dans le code ou le catalogue inspecté. La recherche publique n’a pas permis de l’identifier comme faction ou type de cet univers.</x:v>
      </x:c>
      <x:c r="E13" s="131" t="str">
        <x:v>Garder le terme en attente de précision. Les xénomorphes, Colonial Marines et forces corporatives ont été contrôlés indépendamment ; aucun organisme ou sigle n’a été inventé.</x:v>
      </x:c>
      <x:c r="F13" s="131" t="str">
        <x:v>P2</x:v>
      </x:c>
      <x:c r="G13" s="131" t="str">
        <x:v>À préciser</x:v>
      </x:c>
      <x:c r="H13" s="131" t="str">
        <x:v>Code 39871c45</x:v>
      </x:c>
      <x:c r="I13" s="131" t="str">
        <x:v>Recherche exacte insensible à la casse dans js et docs/audits/2026-10-26, puis recherche publique du terme associé à Alien/Predator.</x:v>
      </x:c>
      <x:c r="J13" s="133" t="str">
        <x:v>https://github.com/darknigthmare/Yautja-hive-warriors/tree/39871c450379225de8174711237632e6aa883f04</x:v>
      </x:c>
      <x:c r="K13" s="131" t="str">
        <x:v>Terme utilisateur</x:v>
      </x:c>
      <x:c r="L13" s="135" t="d">
        <x:v>2026-10-27T12:00:00.000Z</x:v>
      </x:c>
    </x:row>
    <x:row r="14" ht="24" hidden="0" customHeight="1">
      <x:c r="A14" s="132" t="str">
        <x:v>CTRL-008</x:v>
      </x:c>
      <x:c r="B14" s="132" t="str">
        <x:v>Code et cohérence</x:v>
      </x:c>
      <x:c r="C14" s="132" t="str">
        <x:v>Dérivé d’audit et catalogue chargé par le jeu</x:v>
      </x:c>
      <x:c r="D14" s="132" t="str">
        <x:v>Le fichier du 27/10 conserve le suivi 54 Terminé / 47 À valider / 25 En cours. Le JSON historique et les 115 profils actuellement chargés par le jeu restent les preuves de départ.</x:v>
      </x:c>
      <x:c r="E14" s="132" t="str">
        <x:v>Importer ultérieurement les ajouts confirmés dans le catalogue du jeu, puis implémenter les acteurs et vérifier les restrictions. Les dossiers en attente ou hors socle restent exclus du spawn automatique.</x:v>
      </x:c>
      <x:c r="F14" s="132" t="str">
        <x:v>P1</x:v>
      </x:c>
      <x:c r="G14" s="132" t="str">
        <x:v>Périmètre de livraison</x:v>
      </x:c>
      <x:c r="H14" s="132" t="str">
        <x:v>Code 39871c45</x:v>
      </x:c>
      <x:c r="I14" s="132" t="str">
        <x:v>Comparaison du classeur de départ et des cellules de suivi ; cette PR contient seulement le nouveau dossier d’audit.</x:v>
      </x:c>
      <x:c r="J14" s="134" t="str">
        <x:v>https://github.com/darknigthmare/Yautja-hive-warriors/blob/39871c450379225de8174711237632e6aa883f04/docs/audits/2026-10-26/IMPLEMENTATION.md</x:v>
      </x:c>
      <x:c r="K14" s="132" t="str">
        <x:v>Bestiaire_medias / Manquants</x:v>
      </x:c>
      <x:c r="L14" s="136" t="d">
        <x:v>2026-10-27T12:00:00.000Z</x:v>
      </x:c>
    </x:row>
    <x:row r="15" ht="24" hidden="0" customHeight="1">
      <x:c r="A15" s="131" t="str">
        <x:v>CTRL-009</x:v>
      </x:c>
      <x:c r="B15" s="131" t="str">
        <x:v>Yautja</x:v>
      </x:c>
      <x:c r="C15" s="131" t="str">
        <x:v>15 classes PHG identifiées ne disposent ni d’une fiche dédiée dans les 37 YAU ni d’un acteur jouable spécifique dans les 7 personnages</x:v>
      </x:c>
      <x:c r="D15" s="131" t="str">
        <x:v>15 classes PHG identifiées ne disposent ni d’une fiche dédiée dans les 37 YAU ni d’un acteur jouable spécifique dans les 7 personnages.</x:v>
      </x:c>
      <x:c r="E15" s="131" t="str">
        <x:v>Séparer rang, classe, clan, individu et morphologie. Faire correspondre chaque incarnation à un acteur distinct lorsque son rôle l’exige.</x:v>
      </x:c>
      <x:c r="F15" s="131" t="str">
        <x:v>P1</x:v>
      </x:c>
      <x:c r="G15" s="131" t="str">
        <x:v>À traiter</x:v>
      </x:c>
      <x:c r="H15" s="131" t="str">
        <x:v>Code 39871c45</x:v>
      </x:c>
      <x:c r="I15" s="131" t="str">
        <x:v>Lecture des registres au SHA figé ; aucune équivalence de fidélité déduite du nom.</x:v>
      </x:c>
      <x:c r="J15" s="133" t="str">
        <x:v>https://github.com/darknigthmare/Yautja-hive-warriors/blob/39871c450379225de8174711237632e6aa883f04/js/data/charactersData.js#L49-L162</x:v>
      </x:c>
      <x:c r="K15" s="131" t="str"/>
      <x:c r="L15" s="135" t="d">
        <x:v>2026-10-27T12:00:00.000Z</x:v>
      </x:c>
    </x:row>
    <x:row r="16" ht="24" hidden="0" customHeight="1">
      <x:c r="A16" s="132" t="str">
        <x:v>CTRL-010</x:v>
      </x:c>
      <x:c r="B16" s="132" t="str">
        <x:v>Yautja</x:v>
      </x:c>
      <x:c r="C16" s="132" t="str">
        <x:v>Les quatre types yautja/honor_guard/clan_hunter/bad_blood partagent la même construction NPC ; ils ne prouvent pas des castes spécialisées</x:v>
      </x:c>
      <x:c r="D16" s="132" t="str">
        <x:v>Les quatre types yautja/honor_guard/clan_hunter/bad_blood partagent la même construction NPC ; ils ne prouvent pas des castes spécialisées.</x:v>
      </x:c>
      <x:c r="E16" s="132" t="str">
        <x:v>Séparer rang, classe, clan, individu et morphologie. Faire correspondre chaque incarnation à un acteur distinct lorsque son rôle l’exige.</x:v>
      </x:c>
      <x:c r="F16" s="132" t="str">
        <x:v>P1</x:v>
      </x:c>
      <x:c r="G16" s="132" t="str">
        <x:v>À traiter</x:v>
      </x:c>
      <x:c r="H16" s="132" t="str">
        <x:v>Code 39871c45</x:v>
      </x:c>
      <x:c r="I16" s="132" t="str">
        <x:v>Lecture des registres au SHA figé ; aucune équivalence de fidélité déduite du nom.</x:v>
      </x:c>
      <x:c r="J16" s="134" t="str">
        <x:v>https://github.com/darknigthmare/Yautja-hive-warriors/blob/39871c450379225de8174711237632e6aa883f04/js/entities/YautjaAllies.js#L74-L80</x:v>
      </x:c>
      <x:c r="K16" s="132" t="str"/>
      <x:c r="L16" s="136" t="d">
        <x:v>2026-10-27T12:00:00.000Z</x:v>
      </x:c>
    </x:row>
    <x:row r="17" ht="24" hidden="0" customHeight="1">
      <x:c r="A17" s="131" t="str">
        <x:v>CTRL-011</x:v>
      </x:c>
      <x:c r="B17" s="131" t="str">
        <x:v>Yautja</x:v>
      </x:c>
      <x:c r="C17" s="131" t="str">
        <x:v>Le codex conserve des statuts et règles locales formulés universellement, dont Clan Apex et accès au plasma après Blooded</x:v>
      </x:c>
      <x:c r="D17" s="131" t="str">
        <x:v>Le codex conserve des statuts et règles locales formulés universellement, dont Clan Apex et accès au plasma après Blooded.</x:v>
      </x:c>
      <x:c r="E17" s="131" t="str">
        <x:v>Séparer rang, classe, clan, individu et morphologie. Faire correspondre chaque incarnation à un acteur distinct lorsque son rôle l’exige.</x:v>
      </x:c>
      <x:c r="F17" s="131" t="str">
        <x:v>P1</x:v>
      </x:c>
      <x:c r="G17" s="131" t="str">
        <x:v>À traiter</x:v>
      </x:c>
      <x:c r="H17" s="131" t="str">
        <x:v>Code 39871c45</x:v>
      </x:c>
      <x:c r="I17" s="131" t="str">
        <x:v>Lecture des registres au SHA figé ; aucune équivalence de fidélité déduite du nom.</x:v>
      </x:c>
      <x:c r="J17" s="133" t="str">
        <x:v>https://github.com/darknigthmare/Yautja-hive-warriors/blob/39871c450379225de8174711237632e6aa883f04/js/ui/LoreCodex.js#L4-L52</x:v>
      </x:c>
      <x:c r="K17" s="131" t="str"/>
      <x:c r="L17" s="135" t="d">
        <x:v>2026-10-27T12:00:00.000Z</x:v>
      </x:c>
    </x:row>
    <x:row r="18" ht="24" hidden="0" customHeight="1">
      <x:c r="A18" s="132" t="str">
        <x:v>CTRL-012</x:v>
      </x:c>
      <x:c r="B18" s="132" t="str">
        <x:v>Yautja</x:v>
      </x:c>
      <x:c r="C18" s="132" t="str">
        <x:v>Le boss gladiateur de Killer of Killers ne couvre pas la classe Gladiator PHG ; les deux doivent avoir des identités distinctes</x:v>
      </x:c>
      <x:c r="D18" s="132" t="str">
        <x:v>Le boss gladiateur de Killer of Killers ne couvre pas la classe Gladiator PHG ; les deux doivent avoir des identités distinctes.</x:v>
      </x:c>
      <x:c r="E18" s="132" t="str">
        <x:v>Séparer rang, classe, clan, individu et morphologie. Faire correspondre chaque incarnation à un acteur distinct lorsque son rôle l’exige.</x:v>
      </x:c>
      <x:c r="F18" s="132" t="str">
        <x:v>P1</x:v>
      </x:c>
      <x:c r="G18" s="132" t="str">
        <x:v>À traiter</x:v>
      </x:c>
      <x:c r="H18" s="132" t="str">
        <x:v>Code 39871c45</x:v>
      </x:c>
      <x:c r="I18" s="132" t="str">
        <x:v>Lecture des registres au SHA figé ; aucune équivalence de fidélité déduite du nom.</x:v>
      </x:c>
      <x:c r="J18" s="134" t="str">
        <x:v>https://github.com/darknigthmare/Yautja-hive-warriors/blob/39871c450379225de8174711237632e6aa883f04/js/data/BossRegistry.js#L24</x:v>
      </x:c>
      <x:c r="K18" s="132" t="str"/>
      <x:c r="L18" s="136" t="d">
        <x:v>2026-10-27T12:00:00.000Z</x:v>
      </x:c>
    </x:row>
    <x:row r="19" ht="36" hidden="0" customHeight="1">
      <x:c r="A19" s="131" t="str">
        <x:v>CTRL-013</x:v>
      </x:c>
      <x:c r="B19" s="131" t="str">
        <x:v>Yautja</x:v>
      </x:c>
      <x:c r="C19" s="131" t="str">
        <x:v>Le récit premier Yautja / Amangi du personnage Alpha n’a pas de preuve primaire généalogique récupérée ; son statut jouable ne valide pas ce récit</x:v>
      </x:c>
      <x:c r="D19" s="131" t="str">
        <x:v>Le récit premier Yautja / Amangi du personnage Alpha n’a pas de preuve primaire généalogique récupérée ; son statut jouable ne valide pas ce récit.</x:v>
      </x:c>
      <x:c r="E19" s="131" t="str">
        <x:v>Séparer rang, classe, clan, individu et morphologie. Faire correspondre chaque incarnation à un acteur distinct lorsque son rôle l’exige.</x:v>
      </x:c>
      <x:c r="F19" s="131" t="str">
        <x:v>P1</x:v>
      </x:c>
      <x:c r="G19" s="131" t="str">
        <x:v>À traiter</x:v>
      </x:c>
      <x:c r="H19" s="131" t="str">
        <x:v>Code 39871c45</x:v>
      </x:c>
      <x:c r="I19" s="131" t="str">
        <x:v>Lecture des registres au SHA figé ; aucune équivalence de fidélité déduite du nom.</x:v>
      </x:c>
      <x:c r="J19" s="133" t="str">
        <x:v>https://github.com/darknigthmare/Yautja-hive-warriors/blob/39871c450379225de8174711237632e6aa883f04/js/data/charactersData.js#L83-L97</x:v>
      </x:c>
      <x:c r="K19" s="131" t="str"/>
      <x:c r="L19" s="135" t="d">
        <x:v>2026-10-27T12:00:00.000Z</x:v>
      </x:c>
    </x:row>
    <x:row r="20" ht="36" hidden="0" customHeight="1">
      <x:c r="A20" s="132" t="str">
        <x:v>CTRL-014</x:v>
      </x:c>
      <x:c r="B20" s="132" t="str">
        <x:v>Xénomorphes et organismes</x:v>
      </x:c>
      <x:c r="C20" s="132" t="str">
        <x:v>praetomorph</x:v>
      </x:c>
      <x:c r="D20" s="132" t="str">
        <x:v>Le nom praetomorph sert de type interne pour la créature de Covenant. Le catalogue est déjà prudent ; le nom commercial primaire est Xenomorph, distinct de Neomorph.</x:v>
      </x:c>
      <x:c r="E20" s="132" t="str">
        <x:v>Nom public : Xénomorphe de Covenant. Praetomorph reste un alias interne non validé comme caste universelle. Préserver la restriction déjà correcte de XEN-023 et mettre à jour la preuve de code au dernier SHA.</x:v>
      </x:c>
      <x:c r="F20" s="132" t="str">
        <x:v>P1</x:v>
      </x:c>
      <x:c r="G20" s="132" t="str">
        <x:v>Correction documentée</x:v>
      </x:c>
      <x:c r="H20" s="132" t="str">
        <x:v>39871c450379225de8174711237632e6aa883f04</x:v>
      </x:c>
      <x:c r="I20" s="132" t="str">
        <x:v>js/entities/XenomorphHorde.js 421
422</x:v>
      </x:c>
      <x:c r="J20" s="134" t="str">
        <x:v>https://github.com/darknigthmare/Yautja-hive-warriors/blob/39871c450379225de8174711237632e6aa883f04/js/entities/XenomorphHorde.js#L421-L422
https://store.necaonline.com/blogs/news/massive-photo-gallery-alien-covenant-products-revealed-1</x:v>
      </x:c>
      <x:c r="K20" s="132" t="str">
        <x:v>XEN-023</x:v>
      </x:c>
      <x:c r="L20" s="136" t="d">
        <x:v>2026-10-27T12:00:00.000Z</x:v>
      </x:c>
    </x:row>
    <x:row r="21" ht="36" hidden="0" customHeight="1">
      <x:c r="A21" s="131" t="str">
        <x:v>CTRL-015</x:v>
      </x:c>
      <x:c r="B21" s="131" t="str">
        <x:v>Xénomorphes et organismes</x:v>
      </x:c>
      <x:c r="C21" s="131" t="str">
        <x:v>cryo_xeno</x:v>
      </x:c>
      <x:c r="D21" s="131" t="str">
        <x:v>cryo_xeno est une variante acceptée par les paramètres de spawn. La preuve citée ne permet pas d'établir la totalité de la prétention du code.</x:v>
      </x:c>
      <x:c r="E21" s="131" t="str">
        <x:v>Profil cryo du projet : origine et pouvoirs à documenter avant toute attribution canonique à Aftermath. Classer en adaptation non vérifiée ; ne pas déduire des pouvoirs de glace d'une notice générale du comic.</x:v>
      </x:c>
      <x:c r="F21" s="131" t="str">
        <x:v>P1</x:v>
      </x:c>
      <x:c r="G21" s="131" t="str">
        <x:v>Correction documentée</x:v>
      </x:c>
      <x:c r="H21" s="131" t="str">
        <x:v>39871c450379225de8174711237632e6aa883f04</x:v>
      </x:c>
      <x:c r="I21" s="131" t="str">
        <x:v>js/entities/XenomorphHorde.js 2277
2279</x:v>
      </x:c>
      <x:c r="J21" s="133" t="str">
        <x:v>https://github.com/darknigthmare/Yautja-hive-warriors/blob/39871c450379225de8174711237632e6aa883f04/js/entities/XenomorphHorde.js#L2277-L2279
https://www.marvel.com/comics/issue/93626/aliens_aftermath_1_2021_1</x:v>
      </x:c>
      <x:c r="K21" s="131" t="str"/>
      <x:c r="L21" s="135" t="d">
        <x:v>2026-10-27T12:00:00.000Z</x:v>
      </x:c>
    </x:row>
    <x:row r="22" ht="48" hidden="0" customHeight="1">
      <x:c r="A22" s="132" t="str">
        <x:v>CTRL-016</x:v>
      </x:c>
      <x:c r="B22" s="132" t="str">
        <x:v>Xénomorphes et organismes</x:v>
      </x:c>
      <x:c r="C22" s="132" t="str">
        <x:v>cyber_xeno</x:v>
      </x:c>
      <x:c r="D22" s="132" t="str">
        <x:v>cyber_xeno est une variante acceptée par les paramètres de spawn. La preuve citée ne permet pas d'établir la totalité de la prétention du code.</x:v>
      </x:c>
      <x:c r="E22" s="132" t="str">
        <x:v>Correspondance candidate : Xenoborg du manuel AVP Classic, organisme cybernétique armé ; modèle et comportement à comparer. Ajouter Xenoborg comme fiche sourcée ; ne certifier la correspondance technique qu'après comparaison.</x:v>
      </x:c>
      <x:c r="F22" s="132" t="str">
        <x:v>P1</x:v>
      </x:c>
      <x:c r="G22" s="132" t="str">
        <x:v>Correction documentée</x:v>
      </x:c>
      <x:c r="H22" s="132" t="str">
        <x:v>39871c450379225de8174711237632e6aa883f04</x:v>
      </x:c>
      <x:c r="I22" s="132" t="str">
        <x:v>js/entities/XenomorphHorde.js 2277
2279</x:v>
      </x:c>
      <x:c r="J22" s="134" t="str">
        <x:v>https://github.com/darknigthmare/Yautja-hive-warriors/blob/39871c450379225de8174711237632e6aa883f04/js/entities/XenomorphHorde.js#L2277-L2279
https://shared.fastly.steamstatic.com/store_item_assets/steam/apps/3730/manuals/Aliens%20Versus%20Predator%20Classic%202000%20Manual.pdf?t=1579791217</x:v>
      </x:c>
      <x:c r="K22" s="132" t="str"/>
      <x:c r="L22" s="136" t="d">
        <x:v>2026-10-27T12:00:00.000Z</x:v>
      </x:c>
    </x:row>
    <x:row r="23" ht="36" hidden="0" customHeight="1">
      <x:c r="A23" s="131" t="str">
        <x:v>CTRL-017</x:v>
      </x:c>
      <x:c r="B23" s="131" t="str">
        <x:v>Xénomorphes et organismes</x:v>
      </x:c>
      <x:c r="C23" s="131" t="str">
        <x:v>xeno_raven</x:v>
      </x:c>
      <x:c r="D23" s="131" t="str">
        <x:v>Raven / Praetorian Raven attribué à Colonial Marines et Fireteam Elite avec ailes à plumes et bec. La preuve citée ne permet pas d'établir la totalité de la prétention du code.</x:v>
      </x:c>
      <x:c r="E23" s="131" t="str">
        <x:v>Raven : rencontre attestée dans Colonial Marines ; modèle ailé du projet et attribution Fireteam Elite non justifiés ici. Retirer la mention Canon 1:1 du modèle actuel ; contrôler le design et les mécaniques de la rencontre originale.</x:v>
      </x:c>
      <x:c r="F23" s="131" t="str">
        <x:v>P1</x:v>
      </x:c>
      <x:c r="G23" s="131" t="str">
        <x:v>Correction documentée</x:v>
      </x:c>
      <x:c r="H23" s="131" t="str">
        <x:v>39871c450379225de8174711237632e6aa883f04</x:v>
      </x:c>
      <x:c r="I23" s="131" t="str">
        <x:v>js/entities/XenomorphHorde.js 1305
1375</x:v>
      </x:c>
      <x:c r="J23" s="133" t="str">
        <x:v>https://github.com/darknigthmare/Yautja-hive-warriors/blob/39871c450379225de8174711237632e6aa883f04/js/entities/XenomorphHorde.js#L1305-L1375
https://steamcommunity.com/stats/AliensColonialMarines/achievements/</x:v>
      </x:c>
      <x:c r="K23" s="131" t="str"/>
      <x:c r="L23" s="135" t="d">
        <x:v>2026-10-27T12:00:00.000Z</x:v>
      </x:c>
    </x:row>
    <x:row r="24" ht="36" hidden="0" customHeight="1">
      <x:c r="A24" s="132" t="str">
        <x:v>CTRL-018</x:v>
      </x:c>
      <x:c r="B24" s="132" t="str">
        <x:v>Xénomorphes et organismes</x:v>
      </x:c>
      <x:c r="C24" s="132" t="str">
        <x:v>ancient_predalien</x:v>
      </x:c>
      <x:c r="D24" s="132" t="str">
        <x:v>Ancient Predalien Elder attribué à Primal Hunt, avec reliques de clan et régénération thermique. Le guide AVP2 consulté n'établit pas les attributs revendiqués de l'extension Primal Hunt ; cette extension reste à vérifier.</x:v>
      </x:c>
      <x:c r="E24" s="132" t="str">
        <x:v>Variante originale de Predalien tant qu'un passage de Primal Hunt ne valide pas l'ancienneté, le rang Elder et les aptitudes. Ne pas confondre l'âge ou la stase d'un hôte avec une caste biologique ; relever la campagne de Primal Hunt.</x:v>
      </x:c>
      <x:c r="F24" s="132" t="str">
        <x:v>P1</x:v>
      </x:c>
      <x:c r="G24" s="132" t="str">
        <x:v>Correction documentée</x:v>
      </x:c>
      <x:c r="H24" s="132" t="str">
        <x:v>39871c450379225de8174711237632e6aa883f04</x:v>
      </x:c>
      <x:c r="I24" s="132" t="str">
        <x:v>js/entities/XenomorphHorde.js 1376
1441</x:v>
      </x:c>
      <x:c r="J24" s="134" t="str">
        <x:v>https://github.com/darknigthmare/Yautja-hive-warriors/blob/39871c450379225de8174711237632e6aa883f04/js/entities/XenomorphHorde.js#L1376-L1441
https://oldgamesdownload.com/wp-content/uploads/manuals/aliens-versus-predator-2_strategy-guide_en_u4s.pdf</x:v>
      </x:c>
      <x:c r="K24" s="132" t="str">
        <x:v>XEN-011</x:v>
      </x:c>
      <x:c r="L24" s="136" t="d">
        <x:v>2026-10-27T12:00:00.000Z</x:v>
      </x:c>
    </x:row>
    <x:row r="25" ht="36" hidden="0" customHeight="1">
      <x:c r="A25" s="131" t="str">
        <x:v>CTRL-019</x:v>
      </x:c>
      <x:c r="B25" s="131" t="str">
        <x:v>Xénomorphes et organismes</x:v>
      </x:c>
      <x:c r="C25" s="131" t="str">
        <x:v>gestating_matriarch</x:v>
      </x:c>
      <x:c r="D25" s="131" t="str">
        <x:v>Gestating Alpha Female Hive Matriarch, mobile et pondeuse, attribuée à Aliens 1986 / Infestation. Le code définit une variante de gameplay ; aucune source primaire spécifique à cette forme composite n'a été retenue.</x:v>
      </x:c>
      <x:c r="E25" s="131" t="str">
        <x:v>Une phase royale de ponte n'établit pas une nouvelle caste Matriarch ; mobilité, ponte et anatomie doivent suivre l'incarnation choisie. Référencer une reine et ses phases, ou annoncer une adaptation originale ; ne pas créer de caste canonique supplémentaire.</x:v>
      </x:c>
      <x:c r="F25" s="131" t="str">
        <x:v>P1</x:v>
      </x:c>
      <x:c r="G25" s="131" t="str">
        <x:v>Correction documentée</x:v>
      </x:c>
      <x:c r="H25" s="131" t="str">
        <x:v>39871c450379225de8174711237632e6aa883f04</x:v>
      </x:c>
      <x:c r="I25" s="131" t="str">
        <x:v>js/entities/XenomorphHorde.js 1442
1511</x:v>
      </x:c>
      <x:c r="J25" s="133" t="str">
        <x:v>https://github.com/darknigthmare/Yautja-hive-warriors/blob/39871c450379225de8174711237632e6aa883f04/js/entities/XenomorphHorde.js#L1442-L1511
https://oldgamesdownload.com/wp-content/uploads/manuals/aliens-versus-predator-2_strategy-guide_en_u4s.pdf</x:v>
      </x:c>
      <x:c r="K25" s="131" t="str">
        <x:v>XEN-007</x:v>
      </x:c>
      <x:c r="L25" s="135" t="d">
        <x:v>2026-10-27T12:00:00.000Z</x:v>
      </x:c>
    </x:row>
    <x:row r="26" ht="36" hidden="0" customHeight="1">
      <x:c r="A26" s="132" t="str">
        <x:v>CTRL-020</x:v>
      </x:c>
      <x:c r="B26" s="132" t="str">
        <x:v>Xénomorphes et organismes</x:v>
      </x:c>
      <x:c r="C26" s="132" t="str">
        <x:v>chameleon_stalker</x:v>
      </x:c>
      <x:c r="D26" s="132" t="str">
        <x:v>Chameleon Stalker à camouflage actif attribué à Aliens: Rogue Canon 1:1. La preuve citée ne permet pas d'établir la totalité de la prétention du code.</x:v>
      </x:c>
      <x:c r="E26" s="132" t="str">
        <x:v>Profil à camouflage du projet ; attribution à Rogue non démontrée par les notices consultées. Exiger numéro/page ou source primaire de capacité ; conserver hors noyau canon jusqu'à preuve.</x:v>
      </x:c>
      <x:c r="F26" s="132" t="str">
        <x:v>P1</x:v>
      </x:c>
      <x:c r="G26" s="132" t="str">
        <x:v>Correction documentée</x:v>
      </x:c>
      <x:c r="H26" s="132" t="str">
        <x:v>39871c450379225de8174711237632e6aa883f04</x:v>
      </x:c>
      <x:c r="I26" s="132" t="str">
        <x:v>js/entities/XenomorphHorde.js 1542
1612</x:v>
      </x:c>
      <x:c r="J26" s="134" t="str">
        <x:v>https://github.com/darknigthmare/Yautja-hive-warriors/blob/39871c450379225de8174711237632e6aa883f04/js/entities/XenomorphHorde.js#L1542-L1612
https://www.marvel.com/comics/collection/127157/aliens_epic_collection_the_original_years_vol_3_trade_paperback</x:v>
      </x:c>
      <x:c r="K26" s="132" t="str"/>
      <x:c r="L26" s="136" t="d">
        <x:v>2026-10-27T12:00:00.000Z</x:v>
      </x:c>
    </x:row>
    <x:row r="27" ht="60" hidden="0" customHeight="1">
      <x:c r="A27" s="131" t="str">
        <x:v>CTRL-021</x:v>
      </x:c>
      <x:c r="B27" s="131" t="str">
        <x:v>Xénomorphes et organismes</x:v>
      </x:c>
      <x:c r="C27" s="131" t="str">
        <x:v>deacon_titan</x:v>
      </x:c>
      <x:c r="D27" s="131" t="str">
        <x:v>Deacon Titan quadrupède de combat attribué à Prometheus 2012 avec anatomie 1:1. La preuve citée ne permet pas d'établir la totalité de la prétention du code.</x:v>
      </x:c>
      <x:c r="E27" s="131" t="str">
        <x:v>Deacon est une identité attestée ; la forme Titan quadrupède de combat n'est pas validée par cette preuve. Distinguer le Deacon du film de l'adaptation géante du projet ; ne pas le fusionner avec Titan de Dark Descent.</x:v>
      </x:c>
      <x:c r="F27" s="131" t="str">
        <x:v>P1</x:v>
      </x:c>
      <x:c r="G27" s="131" t="str">
        <x:v>Correction documentée</x:v>
      </x:c>
      <x:c r="H27" s="131" t="str">
        <x:v>39871c450379225de8174711237632e6aa883f04</x:v>
      </x:c>
      <x:c r="I27" s="131" t="str">
        <x:v>js/entities/XenomorphHorde.js 1613
1707</x:v>
      </x:c>
      <x:c r="J27" s="133" t="str">
        <x:v>https://github.com/darknigthmare/Yautja-hive-warriors/blob/39871c450379225de8174711237632e6aa883f04/js/entities/XenomorphHorde.js#L1613-L1707
https://store.necaonline.com/blogs/behind-the-scenes/behind-the-scenes-wednesday-deacon-action-figure-from-prometheus-series-2
https://steamcommunity.com/app/1150440/allnews/</x:v>
      </x:c>
      <x:c r="K27" s="131" t="str">
        <x:v>XEN-024</x:v>
      </x:c>
      <x:c r="L27" s="135" t="d">
        <x:v>2026-10-27T12:00:00.000Z</x:v>
      </x:c>
    </x:row>
    <x:row r="28" ht="36" hidden="0" customHeight="1">
      <x:c r="A28" s="132" t="str">
        <x:v>CTRL-022</x:v>
      </x:c>
      <x:c r="B28" s="132" t="str">
        <x:v>Xénomorphes et organismes</x:v>
      </x:c>
      <x:c r="C28" s="132" t="str">
        <x:v>marvel_alpha</x:v>
      </x:c>
      <x:c r="D28" s="132" t="str">
        <x:v>Alpha Apex Epsilon de 3,8 m, yeux rouges, scythes dorsales et paramètres de blindage étiquetés Marvel Canon. La preuve citée ne permet pas d'établir la totalité de la prétention du code.</x:v>
      </x:c>
      <x:c r="E28" s="132" t="str">
        <x:v>Alpha de Marvel : individu nommé. Morphologie détaillée, taille et valeurs de combat restent à vérifier ou à déclarer adaptées. Conserver une seule identité narrative ; retirer l'équivalence entre paramètres de jeu et faits du comic.</x:v>
      </x:c>
      <x:c r="F28" s="132" t="str">
        <x:v>P1</x:v>
      </x:c>
      <x:c r="G28" s="132" t="str">
        <x:v>Correction documentée</x:v>
      </x:c>
      <x:c r="H28" s="132" t="str">
        <x:v>39871c450379225de8174711237632e6aa883f04</x:v>
      </x:c>
      <x:c r="I28" s="132" t="str">
        <x:v>js/entities/XenomorphHorde.js 1147
1224</x:v>
      </x:c>
      <x:c r="J28" s="134" t="str">
        <x:v>https://github.com/darknigthmare/Yautja-hive-warriors/blob/39871c450379225de8174711237632e6aa883f04/js/entities/XenomorphHorde.js#L1147-L1224
https://www.marvel.com/comics/issue/89576/alien_2021_5</x:v>
      </x:c>
      <x:c r="K28" s="132" t="str">
        <x:v>XEN-029</x:v>
      </x:c>
      <x:c r="L28" s="136" t="d">
        <x:v>2026-10-27T12:00:00.000Z</x:v>
      </x:c>
    </x:row>
    <x:row r="29" ht="36" hidden="0" customHeight="1">
      <x:c r="A29" s="131" t="str">
        <x:v>CTRL-023</x:v>
      </x:c>
      <x:c r="B29" s="131" t="str">
        <x:v>Xénomorphes et organismes</x:v>
      </x:c>
      <x:c r="C29" s="131" t="str">
        <x:v>rogue_king</x:v>
      </x:c>
      <x:c r="D29" s="131" t="str">
        <x:v>King Alien / Rogue Titan fusionne Aliens: Rogue et Kenner 1994 sous Canon 1:1. La preuve citée ne permet pas d'établir la totalité de la prétention du code.</x:v>
      </x:c>
      <x:c r="E29" s="131" t="str">
        <x:v>Rogue de Kleist : individu expérimental du récit retenu. Les noms Titan/Prime et les traits Kenner sont séparés. Éviter la fusion du comic, du roman et de la gamme de jouets ; une unique instance suivie par identité.</x:v>
      </x:c>
      <x:c r="F29" s="131" t="str">
        <x:v>P1</x:v>
      </x:c>
      <x:c r="G29" s="131" t="str">
        <x:v>Correction documentée</x:v>
      </x:c>
      <x:c r="H29" s="131" t="str">
        <x:v>39871c450379225de8174711237632e6aa883f04</x:v>
      </x:c>
      <x:c r="I29" s="131" t="str">
        <x:v>js/entities/XenomorphHorde.js 1226
1304</x:v>
      </x:c>
      <x:c r="J29" s="133" t="str">
        <x:v>https://github.com/darknigthmare/Yautja-hive-warriors/blob/39871c450379225de8174711237632e6aa883f04/js/entities/XenomorphHorde.js#L1226-L1304
https://www.marvel.com/comics/collection/127157/aliens_epic_collection_the_original_years_vol_3_trade_paperback</x:v>
      </x:c>
      <x:c r="K29" s="131" t="str">
        <x:v>XEN-030</x:v>
      </x:c>
      <x:c r="L29" s="135" t="d">
        <x:v>2026-10-27T12:00:00.000Z</x:v>
      </x:c>
    </x:row>
    <x:row r="30" ht="72" hidden="0" customHeight="1">
      <x:c r="A30" s="132" t="str">
        <x:v>CTRL-024</x:v>
      </x:c>
      <x:c r="B30" s="132" t="str">
        <x:v>Xénomorphes et organismes</x:v>
      </x:c>
      <x:c r="C30" s="132" t="str">
        <x:v>empress_matriarch, imperial_queen</x:v>
      </x:c>
      <x:c r="D30" s="132" t="str">
        <x:v>Empress Matriarch volante et catégories royales peuvent être rapprochées d'une même taxonomie. La preuve citée ne permet pas d'établir la totalité de la prétention du code.</x:v>
      </x:c>
      <x:c r="E30" s="132" t="str">
        <x:v>Empress d'AVP2, Queen Mother d'Earth War et Red Queen Mother de Genocide sont des profils d'œuvre distincts. Établir des références séparées ; aucun vol, souffle ou rang universel n'est validé par la simple appellation.</x:v>
      </x:c>
      <x:c r="F30" s="132" t="str">
        <x:v>P1</x:v>
      </x:c>
      <x:c r="G30" s="132" t="str">
        <x:v>Correction documentée</x:v>
      </x:c>
      <x:c r="H30" s="132" t="str">
        <x:v>39871c450379225de8174711237632e6aa883f04</x:v>
      </x:c>
      <x:c r="I30" s="132" t="str">
        <x:v>js/entities/Bosses.js 1
62</x:v>
      </x:c>
      <x:c r="J30" s="134" t="str">
        <x:v>https://github.com/darknigthmare/Yautja-hive-warriors/blob/39871c450379225de8174711237632e6aa883f04/js/entities/Bosses.js#L1-L62
https://oldgamesdownload.com/wp-content/uploads/manuals/aliens-versus-predator-2_strategy-guide_en_u4s.pdf
https://www.marvel.com/comics/collection/105315/aliens_epic_collection_the_original_years_vol_1_trade_paperback
https://store.necaonline.com/blogs/behind-the-scenes/172394311-closer-look-aliens-genocide-red-queen-mother-ultra-deluxe-action-figure</x:v>
      </x:c>
      <x:c r="K30" s="132" t="str">
        <x:v>XEN-032</x:v>
      </x:c>
      <x:c r="L30" s="136" t="d">
        <x:v>2026-10-27T12:00:00.000Z</x:v>
      </x:c>
    </x:row>
    <x:row r="31" ht="36" hidden="0" customHeight="1">
      <x:c r="A31" s="131" t="str">
        <x:v>CTRL-025</x:v>
      </x:c>
      <x:c r="B31" s="131" t="str">
        <x:v>Xénomorphes et organismes</x:v>
      </x:c>
      <x:c r="C31" s="131" t="str">
        <x:v>predalien_matriarch_titan, predalien_queen</x:v>
      </x:c>
      <x:c r="D31" s="131" t="str">
        <x:v>Le commentaire Canon 1:1 associe AVP Requiem à une Matriarch Titan d'AVP Extinction et des sacs de gestation jumelés. La preuve consultée sur AVP2 ne couvre ni cette forme composite ni une unité Matriarch Titan d'Extinction ; contrôle de l'œuvre requis.</x:v>
      </x:c>
      <x:c r="E31" s="131" t="str">
        <x:v>Boss composite du projet tant que chaque identité, forme et mécanisme reproductif n'est pas relié à son média. Supprimer l'étiquette de fidélité garantie ; ne pas présenter Matriarch Titan comme unité d'Extinction sur cette seule affirmation.</x:v>
      </x:c>
      <x:c r="F31" s="131" t="str">
        <x:v>P1</x:v>
      </x:c>
      <x:c r="G31" s="131" t="str">
        <x:v>Correction documentée</x:v>
      </x:c>
      <x:c r="H31" s="131" t="str">
        <x:v>39871c450379225de8174711237632e6aa883f04</x:v>
      </x:c>
      <x:c r="I31" s="131" t="str">
        <x:v>js/entities/Bosses.js 1271
1326</x:v>
      </x:c>
      <x:c r="J31" s="133" t="str">
        <x:v>https://github.com/darknigthmare/Yautja-hive-warriors/blob/39871c450379225de8174711237632e6aa883f04/js/entities/Bosses.js#L1271-L1326
https://oldgamesdownload.com/wp-content/uploads/manuals/aliens-versus-predator-2_strategy-guide_en_u4s.pdf</x:v>
      </x:c>
      <x:c r="K31" s="131" t="str">
        <x:v>XEN-011</x:v>
      </x:c>
      <x:c r="L31" s="135" t="d">
        <x:v>2026-10-27T12:00:00.000Z</x:v>
      </x:c>
    </x:row>
    <x:row r="32" ht="36" hidden="0" customHeight="1">
      <x:c r="A32" s="132" t="str">
        <x:v>CTRL-026</x:v>
      </x:c>
      <x:c r="B32" s="132" t="str">
        <x:v>Xénomorphes et organismes</x:v>
      </x:c>
      <x:c r="C32" s="132" t="str">
        <x:v>royal_facehugger, royalFacehugger</x:v>
      </x:c>
      <x:c r="D32" s="132" t="str">
        <x:v>Variante royale dotée de matériaux et attributs propres au projet. La preuve citée ne permet pas d'établir la totalité de la prétention du code.</x:v>
      </x:c>
      <x:c r="E32" s="132" t="str">
        <x:v>Queen Facehugger : appellation licenciée attestée ; les détails du modèle et de la mécanique doivent être comparés au support exact. Ne pas utiliser le nom comme preuve de vol ou de pouvoirs ; relier la fiche au montage/design pertinent.</x:v>
      </x:c>
      <x:c r="F32" s="132" t="str">
        <x:v>P1</x:v>
      </x:c>
      <x:c r="G32" s="132" t="str">
        <x:v>Correction documentée</x:v>
      </x:c>
      <x:c r="H32" s="132" t="str">
        <x:v>39871c450379225de8174711237632e6aa883f04</x:v>
      </x:c>
      <x:c r="I32" s="132" t="str">
        <x:v>js/entities/XenomorphHorde.js 2051
2086</x:v>
      </x:c>
      <x:c r="J32" s="134" t="str">
        <x:v>https://github.com/darknigthmare/Yautja-hive-warriors/blob/39871c450379225de8174711237632e6aa883f04/js/entities/XenomorphHorde.js#L2051-L2086
https://store.necaonline.com/blogs/news/shipping-this-week-alien-3-creature-pack-and-video-game-godzilla-restock</x:v>
      </x:c>
      <x:c r="K32" s="132" t="str">
        <x:v>XEN-002</x:v>
      </x:c>
      <x:c r="L32" s="136" t="d">
        <x:v>2026-10-27T12:00:00.000Z</x:v>
      </x:c>
    </x:row>
    <x:row r="33" ht="36" hidden="0" customHeight="1">
      <x:c r="A33" s="131" t="str">
        <x:v>CTRL-027</x:v>
      </x:c>
      <x:c r="B33" s="131" t="str">
        <x:v>Xénomorphes et organismes</x:v>
      </x:c>
      <x:c r="C33" s="131" t="str">
        <x:v>Incarnations locales Dark Descent</x:v>
      </x:c>
      <x:c r="D33" s="131" t="str">
        <x:v>Dans le catalogue initial, XEN-037 se limite à des adultes génériques et indique que cette preuve ne confirme pas Praetorian ou Queen dans Dark Descent. Correction documentaire de la couverture du catalogue ; cela ne prouve pas un spawn ou un modèle Dark Descent dans le projet.</x:v>
      </x:c>
      <x:c r="E33" s="131" t="str">
        <x:v>Les publications officielles Dark Descent attestent Facehuggers, Praetorians, Queens, Crushers et Titan ; compléter les incarnations du jeu. Ajouter les nouvelles sources et lever cette incertitude pour ces noms, sans en déduire Carrier, Ravager ou une population donnée.</x:v>
      </x:c>
      <x:c r="F33" s="131" t="str">
        <x:v>P1</x:v>
      </x:c>
      <x:c r="G33" s="131" t="str">
        <x:v>Correction documentée</x:v>
      </x:c>
      <x:c r="H33" s="131" t="str">
        <x:v>39871c450379225de8174711237632e6aa883f04</x:v>
      </x:c>
      <x:c r="I33" s="131" t="str">
        <x:v>js/entities/XenomorphHorde.js 2277
2279</x:v>
      </x:c>
      <x:c r="J33" s="133" t="str">
        <x:v>https://github.com/darknigthmare/Yautja-hive-warriors/blob/39871c450379225de8174711237632e6aa883f04/js/entities/XenomorphHorde.js#L2277-L2279
https://steamcommunity.com/app/1150440/allnews/</x:v>
      </x:c>
      <x:c r="K33" s="131" t="str">
        <x:v>XEN-037, XEN-007, XEN-008, XEN-014</x:v>
      </x:c>
      <x:c r="L33" s="135" t="d">
        <x:v>2026-10-27T12:00:00.000Z</x:v>
      </x:c>
    </x:row>
    <x:row r="34" ht="24" hidden="0" customHeight="1">
      <x:c r="A34" s="132" t="str">
        <x:v>CTRL-028</x:v>
      </x:c>
      <x:c r="B34" s="132" t="str">
        <x:v>Synthétiques</x:v>
      </x:c>
      <x:c r="C34" s="132" t="str">
        <x:v>Warden : homonyme à séparer</x:v>
      </x:c>
      <x:c r="D34" s="132" t="str">
        <x:v>Synth Warden d’AFE1 et Warden xénomorphe d’AFE2 désignent des profils différents.</x:v>
      </x:c>
      <x:c r="E34" s="132" t="str">
        <x:v>Conserver deux identifiants, deux espèces, des capacités et presets distincts.</x:v>
      </x:c>
      <x:c r="F34" s="132" t="str">
        <x:v>P1</x:v>
      </x:c>
      <x:c r="G34" s="132" t="str">
        <x:v>Distinction sourcée</x:v>
      </x:c>
      <x:c r="H34" s="132" t="str">
        <x:v>Fireteam Elite 1 / 2</x:v>
      </x:c>
      <x:c r="I34" s="132" t="str"/>
      <x:c r="J34" s="134" t="str">
        <x:v>https://www.aliensfireteamelite.com/en/releasenotes/
https://steamcommunity.com/app/3448650/allnews/?l=english</x:v>
      </x:c>
      <x:c r="K34" s="132" t="str">
        <x:v>XEN-038, HUM-042</x:v>
      </x:c>
      <x:c r="L34" s="136" t="d">
        <x:v>2026-10-27T12:00:00.000Z</x:v>
      </x:c>
    </x:row>
    <x:row r="35" ht="24" hidden="0" customHeight="1">
      <x:c r="A35" s="131" t="str">
        <x:v>CTRL-029</x:v>
      </x:c>
      <x:c r="B35" s="131" t="str">
        <x:v>Xénomorphes et organismes</x:v>
      </x:c>
      <x:c r="C35" s="131" t="str">
        <x:v>Boiler — Colonial Marines</x:v>
      </x:c>
      <x:c r="D35" s="131" t="str">
        <x:v>Les pistes secondaires convergent, mais les pages primaires consultées ne fournissent pas cette description. Confirmer le nom, la détection et l'explosion dans un codex, manuel ou extrait officiel identifiable.</x:v>
      </x:c>
      <x:c r="E35" s="131" t="str">
        <x:v>Conserver comme dossier à résoudre ; ne pas annoncer une preuve canon 1:1.</x:v>
      </x:c>
      <x:c r="F35" s="131" t="str">
        <x:v>P2</x:v>
      </x:c>
      <x:c r="G35" s="131" t="str">
        <x:v>À documenter</x:v>
      </x:c>
      <x:c r="H35" s="131" t="str">
        <x:v>Aliens: Colonial Marines</x:v>
      </x:c>
      <x:c r="I35" s="131" t="str">
        <x:v>Insuffisante pour une affirmation canonique détaillée.</x:v>
      </x:c>
      <x:c r="J35" s="133" t="str"/>
      <x:c r="K35" s="131" t="str">
        <x:v>boiler</x:v>
      </x:c>
      <x:c r="L35" s="135" t="d">
        <x:v>2026-10-27T12:00:00.000Z</x:v>
      </x:c>
    </x:row>
    <x:row r="36" ht="24" hidden="0" customHeight="1">
      <x:c r="A36" s="132" t="str">
        <x:v>CTRL-030</x:v>
      </x:c>
      <x:c r="B36" s="132" t="str">
        <x:v>Xénomorphes et organismes</x:v>
      </x:c>
      <x:c r="C36" s="132" t="str">
        <x:v>Pathogen Husk — Fireteam Elite 1</x:v>
      </x:c>
      <x:c r="D36" s="132" t="str">
        <x:v>Ne pas utiliser Engineer Husk de Fireteam Elite 2 comme preuve rétroactive de l'incarnation de 2021. Relever le nom et le modèle dans le codex ou une présentation officielle.</x:v>
      </x:c>
      <x:c r="E36" s="132" t="str">
        <x:v>Fiche distincte de Fifield et Engineer Husk ; pas de fusion biologique automatique.</x:v>
      </x:c>
      <x:c r="F36" s="132" t="str">
        <x:v>P2</x:v>
      </x:c>
      <x:c r="G36" s="132" t="str">
        <x:v>À documenter</x:v>
      </x:c>
      <x:c r="H36" s="132" t="str">
        <x:v>Aliens: Fireteam Elite</x:v>
      </x:c>
      <x:c r="I36" s="132" t="str">
        <x:v>Insuffisante pour une affirmation canonique détaillée.</x:v>
      </x:c>
      <x:c r="J36" s="134" t="str"/>
      <x:c r="K36" s="132" t="str"/>
      <x:c r="L36" s="136" t="d">
        <x:v>2026-10-27T12:00:00.000Z</x:v>
      </x:c>
    </x:row>
    <x:row r="37" ht="24" hidden="0" customHeight="1">
      <x:c r="A37" s="131" t="str">
        <x:v>CTRL-031</x:v>
      </x:c>
      <x:c r="B37" s="131" t="str">
        <x:v>Xénomorphes et organismes</x:v>
      </x:c>
      <x:c r="C37" s="131" t="str">
        <x:v>Monica, Irradiated Spitter et autres rencontres nommées de Fireteam Elite</x:v>
      </x:c>
      <x:c r="D37" s="131" t="str">
        <x:v>Le catalogue actuel couvre les archétypes de base, pas toutes les identités de mission. Retrouver les fiches de codex et missions officielles nommant chaque individu.</x:v>
      </x:c>
      <x:c r="E37" s="131" t="str">
        <x:v>Ajouter les identités seulement avec une source primaire et un besoin distinct.</x:v>
      </x:c>
      <x:c r="F37" s="131" t="str">
        <x:v>P2</x:v>
      </x:c>
      <x:c r="G37" s="131" t="str">
        <x:v>À documenter</x:v>
      </x:c>
      <x:c r="H37" s="131" t="str">
        <x:v>Aliens: Fireteam Elite</x:v>
      </x:c>
      <x:c r="I37" s="131" t="str">
        <x:v>Insuffisante pour une affirmation canonique détaillée.</x:v>
      </x:c>
      <x:c r="J37" s="133" t="str"/>
      <x:c r="K37" s="131" t="str"/>
      <x:c r="L37" s="135" t="d">
        <x:v>2026-10-27T12:00:00.000Z</x:v>
      </x:c>
    </x:row>
    <x:row r="38" ht="24" hidden="0" customHeight="1">
      <x:c r="A38" s="132" t="str">
        <x:v>CTRL-032</x:v>
      </x:c>
      <x:c r="B38" s="132" t="str">
        <x:v>Xénomorphes et organismes</x:v>
      </x:c>
      <x:c r="C38" s="132" t="str">
        <x:v>Ancient Citizen — Dark Descent</x:v>
      </x:c>
      <x:c r="D38" s="132" t="str">
        <x:v>Un concept final ne démontre pas une classe ennemie ou une mécanique jouable. Vérifier sa présence et sa fonction exactes dans la version finale du jeu.</x:v>
      </x:c>
      <x:c r="E38" s="132" t="str">
        <x:v>Hors roster de combat tant que la rencontre finale n'est pas attestée.</x:v>
      </x:c>
      <x:c r="F38" s="132" t="str">
        <x:v>P2</x:v>
      </x:c>
      <x:c r="G38" s="132" t="str">
        <x:v>À documenter</x:v>
      </x:c>
      <x:c r="H38" s="132" t="str">
        <x:v>Aliens: Dark Descent</x:v>
      </x:c>
      <x:c r="I38" s="132" t="str">
        <x:v>Insuffisante pour une affirmation canonique détaillée.</x:v>
      </x:c>
      <x:c r="J38" s="134" t="str">
        <x:v>https://sergeykritskiy.artstation.com/projects/8bPm2n</x:v>
      </x:c>
      <x:c r="K38" s="132" t="str"/>
      <x:c r="L38" s="136" t="d">
        <x:v>2026-10-27T12:00:00.000Z</x:v>
      </x:c>
    </x:row>
    <x:row r="39" ht="24" hidden="0" customHeight="1">
      <x:c r="A39" s="131" t="str">
        <x:v>CTRL-033</x:v>
      </x:c>
      <x:c r="B39" s="131" t="str">
        <x:v>Xénomorphes et organismes</x:v>
      </x:c>
      <x:c r="C39" s="131" t="str">
        <x:v>White Hybrids, Palatines, Royal Guards et variantes royales de comics</x:v>
      </x:c>
      <x:c r="D39" s="131" t="str">
        <x:v>Aucune chaîne universelle de castes ne peut être inférée d'une liste de wiki. Identifier numéro, page, incarnation et appellation de chaque forme.</x:v>
      </x:c>
      <x:c r="E39" s="131" t="str">
        <x:v>Ni exclusion définitive ni confirmation globale ; conserver une file de recherche explicite.</x:v>
      </x:c>
      <x:c r="F39" s="131" t="str">
        <x:v>P2</x:v>
      </x:c>
      <x:c r="G39" s="131" t="str">
        <x:v>À documenter</x:v>
      </x:c>
      <x:c r="H39" s="131" t="str">
        <x:v>Comics Alien / Aliens / AVP concernés</x:v>
      </x:c>
      <x:c r="I39" s="131" t="str">
        <x:v>Insuffisante pour une affirmation canonique détaillée.</x:v>
      </x:c>
      <x:c r="J39" s="133" t="str"/>
      <x:c r="K39" s="131" t="str"/>
      <x:c r="L39" s="135" t="d">
        <x:v>2026-10-27T12:00:00.000Z</x:v>
      </x:c>
    </x:row>
    <x:row r="40" ht="24" hidden="0" customHeight="1">
      <x:c r="A40" s="132" t="str">
        <x:v>CTRL-034</x:v>
      </x:c>
      <x:c r="B40" s="132" t="str">
        <x:v>Xénomorphes et organismes</x:v>
      </x:c>
      <x:c r="C40" s="132" t="str">
        <x:v>Jeri / Norbert et autres Xénomorphes entièrement synthétiques</x:v>
      </x:c>
      <x:c r="D40" s="132" t="str">
        <x:v>Le Xenoborg cybernétique ne couvre pas les robots imitant un Xénomorphe. Contrôler les noms et les rôles dans les pages ou notices primaires complètes.</x:v>
      </x:c>
      <x:c r="E40" s="132" t="str">
        <x:v>Ne pas compter comme caste naturelle ; coordination avec le registre des synthétiques. Dossier commun aux organismes et aux synthétiques : Jeri, Norbert et autres robots mimétiques, sans double comptage.</x:v>
      </x:c>
      <x:c r="F40" s="132" t="str">
        <x:v>P2</x:v>
      </x:c>
      <x:c r="G40" s="132" t="str">
        <x:v>À documenter</x:v>
      </x:c>
      <x:c r="H40" s="132" t="str">
        <x:v>Aliens: Stronghold et récits associés à vérifier</x:v>
      </x:c>
      <x:c r="I40" s="132" t="str">
        <x:v>Insuffisante pour une affirmation canonique détaillée.</x:v>
      </x:c>
      <x:c r="J40" s="134" t="str"/>
      <x:c r="K40" s="132" t="str"/>
      <x:c r="L40" s="136" t="d">
        <x:v>2026-10-27T12:00:00.000Z</x:v>
      </x:c>
    </x:row>
    <x:row r="41" ht="24" hidden="0" customHeight="1">
      <x:c r="A41" s="131" t="str">
        <x:v>CTRL-035</x:v>
      </x:c>
      <x:c r="B41" s="131" t="str">
        <x:v>Xénomorphes et organismes</x:v>
      </x:c>
      <x:c r="C41" s="131" t="str">
        <x:v>Defender, Smasher, Stalker et Royal Guard — AVP arcade</x:v>
      </x:c>
      <x:c r="D41" s="131" t="str">
        <x:v>Le produit NECA consulté confirme seulement Razor Claws, Chrysalis et Arachnoid. Identifier les noms dans le matériel officiel et les comportements dans le jeu.</x:v>
      </x:c>
      <x:c r="E41" s="131" t="str">
        <x:v>Ne pas compter les homonymes comme confirmations croisées entre jeux.</x:v>
      </x:c>
      <x:c r="F41" s="131" t="str">
        <x:v>P2</x:v>
      </x:c>
      <x:c r="G41" s="131" t="str">
        <x:v>À documenter</x:v>
      </x:c>
      <x:c r="H41" s="131" t="str">
        <x:v>Alien vs. Predator (Capcom, 1994)</x:v>
      </x:c>
      <x:c r="I41" s="131" t="str">
        <x:v>Insuffisante pour une affirmation canonique détaillée.</x:v>
      </x:c>
      <x:c r="J41" s="133" t="str"/>
      <x:c r="K41" s="131" t="str"/>
      <x:c r="L41" s="135" t="d">
        <x:v>2026-10-27T12:00:00.000Z</x:v>
      </x:c>
    </x:row>
    <x:row r="42" ht="24" hidden="0" customHeight="1">
      <x:c r="A42" s="132" t="str">
        <x:v>CTRL-036</x:v>
      </x:c>
      <x:c r="B42" s="132" t="str">
        <x:v>Xénomorphes et organismes</x:v>
      </x:c>
      <x:c r="C42" s="132" t="str">
        <x:v>Caste Cryo / Chameleon / Harpy / Manta et variantes volantes</x:v>
      </x:c>
      <x:c r="D42" s="132" t="str">
        <x:v>Le code mélange parfois titre de comic, nom de jouet et création originale. Associer chaque entité à une œuvre et à un passage démontrant son identité et ses capacités.</x:v>
      </x:c>
      <x:c r="E42" s="132" t="str">
        <x:v>Retirer l'étiquette canon 1:1 en l'absence de preuve ; ne pas supprimer arbitrairement la mécanique du projet.</x:v>
      </x:c>
      <x:c r="F42" s="132" t="str">
        <x:v>P2</x:v>
      </x:c>
      <x:c r="G42" s="132" t="str">
        <x:v>À documenter</x:v>
      </x:c>
      <x:c r="H42" s="132" t="str">
        <x:v>Sources revendiquées variables</x:v>
      </x:c>
      <x:c r="I42" s="132" t="str">
        <x:v>Insuffisante pour une affirmation canonique détaillée.</x:v>
      </x:c>
      <x:c r="J42" s="134" t="str"/>
      <x:c r="K42" s="132" t="str"/>
      <x:c r="L42" s="136" t="d">
        <x:v>2026-10-27T12:00:00.000Z</x:v>
      </x:c>
    </x:row>
    <x:row r="43" ht="24" hidden="0" customHeight="1">
      <x:c r="A43" s="131" t="str">
        <x:v>CTRL-037</x:v>
      </x:c>
      <x:c r="B43" s="131" t="str">
        <x:v>Yautja</x:v>
      </x:c>
      <x:c r="C43" s="131" t="str">
        <x:v>Tracker — film Predators</x:v>
      </x:c>
      <x:c r="D43" s="131" t="str">
        <x:v>L’image officielle NECA renvoie 403 ; chiens et gadgets présents dans le code ne prouvent pas seuls son identité exacte ou son comportement.</x:v>
      </x:c>
      <x:c r="E43" s="131" t="str">
        <x:v>Conserver le dossier existant ; ne pas annoncer comme nouveau profil omis.</x:v>
      </x:c>
      <x:c r="F43" s="131" t="str">
        <x:v>P2</x:v>
      </x:c>
      <x:c r="G43" s="131" t="str">
        <x:v>À documenter</x:v>
      </x:c>
      <x:c r="H43" s="131" t="str">
        <x:v>Périmètre indiqué dans le dossier</x:v>
      </x:c>
      <x:c r="I43" s="131" t="str">
        <x:v>Individu déjà suivi ; preuve primaire détaillée non récupérée</x:v>
      </x:c>
      <x:c r="J43" s="133" t="str">
        <x:v>https://store.necaonline.com/blogs/news/174239239-download-the-updated-visual-guide-for-our-predator-action-figures-free</x:v>
      </x:c>
      <x:c r="K43" s="131" t="str">
        <x:v>YAU-019</x:v>
      </x:c>
      <x:c r="L43" s="135" t="d">
        <x:v>2026-10-27T12:00:00.000Z</x:v>
      </x:c>
    </x:row>
    <x:row r="44" ht="24" hidden="0" customHeight="1">
      <x:c r="A44" s="132" t="str">
        <x:v>CTRL-038</x:v>
      </x:c>
      <x:c r="B44" s="132" t="str">
        <x:v>Yautja</x:v>
      </x:c>
      <x:c r="C44" s="132" t="str">
        <x:v>Predator Hunter / Predator Warrior / Mad Predator — AVP arcade 1994</x:v>
      </x:c>
      <x:c r="D44" s="132" t="str">
        <x:v>L’annonce NECA primaire confirme l’assortiment ; la fiche détaillée des trois noms est bloquée. Les noms sont reproduits dans une annonce NECA hébergée chez Toyark, mais aucune nouvelle capacité n’est validée ici.</x:v>
      </x:c>
      <x:c r="E44" s="132" t="str">
        <x:v>À vérifier dans la documentation ou le jeu Capcom avant activation ; ne pas fusionner Warrior arcade/Warrior Lost Tribe/Warrior xénomorphe.</x:v>
      </x:c>
      <x:c r="F44" s="132" t="str">
        <x:v>P2</x:v>
      </x:c>
      <x:c r="G44" s="132" t="str">
        <x:v>À documenter</x:v>
      </x:c>
      <x:c r="H44" s="132" t="str">
        <x:v>Périmètre indiqué dans le dossier</x:v>
      </x:c>
      <x:c r="I44" s="132" t="str">
        <x:v>Deux personnages jouables et un boss candidats</x:v>
      </x:c>
      <x:c r="J44" s="134" t="str">
        <x:v>https://store.necaonline.com/blogs/san-diego-comic-con/sdcc-2017-day-1-avp-arcade-figures-god-of-war-figure-and-prop-replica</x:v>
      </x:c>
      <x:c r="K44" s="132" t="str"/>
      <x:c r="L44" s="136" t="d">
        <x:v>2026-10-27T12:00:00.000Z</x:v>
      </x:c>
    </x:row>
    <x:row r="45" ht="15" hidden="0" customHeight="1">
      <x:c r="A45" s="131" t="str">
        <x:v>CTRL-039</x:v>
      </x:c>
      <x:c r="B45" s="131" t="str">
        <x:v>Yautja</x:v>
      </x:c>
      <x:c r="C45" s="131" t="str">
        <x:v>Dark / Serpent Hunter / Elite — AVP 2010</x:v>
      </x:c>
      <x:c r="D45" s="131" t="str">
        <x:v>Piste identifiée ; aucune source primaire assez détaillée consultée pour normaliser le roster complet.</x:v>
      </x:c>
      <x:c r="E45" s="131" t="str">
        <x:v>Éviter de prendre le nom Elite pour un rang universel ou de multiplier des individus uniques.</x:v>
      </x:c>
      <x:c r="F45" s="131" t="str">
        <x:v>P2</x:v>
      </x:c>
      <x:c r="G45" s="131" t="str">
        <x:v>À documenter</x:v>
      </x:c>
      <x:c r="H45" s="131" t="str">
        <x:v>Périmètre indiqué dans le dossier</x:v>
      </x:c>
      <x:c r="I45" s="131" t="str">
        <x:v>Personnages et qualification de jeu à documenter</x:v>
      </x:c>
      <x:c r="J45" s="133" t="str"/>
      <x:c r="K45" s="131" t="str"/>
      <x:c r="L45" s="135" t="d">
        <x:v>2026-10-27T12:00:00.000Z</x:v>
      </x:c>
    </x:row>
    <x:row r="46" ht="15" hidden="0" customHeight="1">
      <x:c r="A46" s="132" t="str">
        <x:v>CTRL-040</x:v>
      </x:c>
      <x:c r="B46" s="132" t="str">
        <x:v>Yautja</x:v>
      </x:c>
      <x:c r="C46" s="132" t="str">
        <x:v>Long Spear / Swift Knife — Concrete Jungle</x:v>
      </x:c>
      <x:c r="D46" s="132" t="str">
        <x:v>Piste de cyborgs vue dans les index secondaires ; source primaire détaillée non consultée.</x:v>
      </x:c>
      <x:c r="E46" s="132" t="str">
        <x:v>Ne pas assimiler tous les cyborgs de Borgia à Bionic PHG ou aux synthétiques Weyland-Yutani.</x:v>
      </x:c>
      <x:c r="F46" s="132" t="str">
        <x:v>P2</x:v>
      </x:c>
      <x:c r="G46" s="132" t="str">
        <x:v>À documenter</x:v>
      </x:c>
      <x:c r="H46" s="132" t="str">
        <x:v>Périmètre indiqué dans le dossier</x:v>
      </x:c>
      <x:c r="I46" s="132" t="str">
        <x:v>Individus candidats, distincts de Stone Heart</x:v>
      </x:c>
      <x:c r="J46" s="134" t="str"/>
      <x:c r="K46" s="132" t="str"/>
      <x:c r="L46" s="136" t="d">
        <x:v>2026-10-27T12:00:00.000Z</x:v>
      </x:c>
    </x:row>
    <x:row r="47" ht="24" hidden="0" customHeight="1">
      <x:c r="A47" s="131" t="str">
        <x:v>CTRL-041</x:v>
      </x:c>
      <x:c r="B47" s="131" t="str">
        <x:v>Yautja</x:v>
      </x:c>
      <x:c r="C47" s="131" t="str">
        <x:v>Killers — Three World War</x:v>
      </x:c>
      <x:c r="D47" s="131" t="str">
        <x:v>Titre confirmé au catalogue Dark Horse ; page de contenu inaccessible. Relire le comic avant de figer noms, contrôle des xénos et effectifs.</x:v>
      </x:c>
      <x:c r="E47" s="131" t="str">
        <x:v>Dossier de guerre de clans à vérifier ; ne pas remplacer par les Super Predators du film 2010.</x:v>
      </x:c>
      <x:c r="F47" s="131" t="str">
        <x:v>P2</x:v>
      </x:c>
      <x:c r="G47" s="131" t="str">
        <x:v>À documenter</x:v>
      </x:c>
      <x:c r="H47" s="131" t="str">
        <x:v>Périmètre indiqué dans le dossier</x:v>
      </x:c>
      <x:c r="I47" s="131" t="str">
        <x:v>Clan/faction rival, pas race à valider automatiquement</x:v>
      </x:c>
      <x:c r="J47" s="133" t="str"/>
      <x:c r="K47" s="131" t="str"/>
      <x:c r="L47" s="135" t="d">
        <x:v>2026-10-27T12:00:00.000Z</x:v>
      </x:c>
    </x:row>
    <x:row r="48" ht="15" hidden="0" customHeight="1">
      <x:c r="A48" s="132" t="str">
        <x:v>CTRL-042</x:v>
      </x:c>
      <x:c r="B48" s="132" t="str">
        <x:v>Yautja</x:v>
      </x:c>
      <x:c r="C48" s="132" t="str">
        <x:v>Hish-Qu-Ten ; Widow Clan ; Wounded Clan</x:v>
      </x:c>
      <x:c r="D48" s="132" t="str">
        <x:v>Romans non inclus dans le noyau demandé films/jeux/séries/comics ; nomenclature primaire non auditée.</x:v>
      </x:c>
      <x:c r="E48" s="132" t="str">
        <x:v>Registre d’extension livres séparé ; aucune race ajoutée sur seule foi d’un wiki.</x:v>
      </x:c>
      <x:c r="F48" s="132" t="str">
        <x:v>P2</x:v>
      </x:c>
      <x:c r="G48" s="132" t="str">
        <x:v>À documenter</x:v>
      </x:c>
      <x:c r="H48" s="132" t="str">
        <x:v>Périmètre indiqué dans le dossier</x:v>
      </x:c>
      <x:c r="I48" s="132" t="str">
        <x:v>Continuités de romans / appellations à vérifier</x:v>
      </x:c>
      <x:c r="J48" s="134" t="str"/>
      <x:c r="K48" s="132" t="str"/>
      <x:c r="L48" s="136" t="d">
        <x:v>2026-10-27T12:00:00.000Z</x:v>
      </x:c>
    </x:row>
    <x:row r="49" ht="24" hidden="0" customHeight="1">
      <x:c r="A49" s="131" t="str">
        <x:v>CTRL-043</x:v>
      </x:c>
      <x:c r="B49" s="131" t="str">
        <x:v>Yautja</x:v>
      </x:c>
      <x:c r="C49" s="131" t="str">
        <x:v>Unblooded / Elite / Ancient / Matriarch / Apex — échelle universelle</x:v>
      </x:c>
      <x:c r="D49" s="131" t="str">
        <x:v>Les sources collectées prouvent des statuts ou individus locaux ; elles ne prouvent pas une progression unique regroupant ces termes.</x:v>
      </x:c>
      <x:c r="E49" s="131" t="str">
        <x:v>Exclure l’échelle universelle ; préserver uniquement les occurrences précisément sourcées par œuvre.</x:v>
      </x:c>
      <x:c r="F49" s="131" t="str">
        <x:v>P2</x:v>
      </x:c>
      <x:c r="G49" s="131" t="str">
        <x:v>Hors socle</x:v>
      </x:c>
      <x:c r="H49" s="131" t="str">
        <x:v>Périmètre indiqué dans le dossier</x:v>
      </x:c>
      <x:c r="I49" s="131" t="str">
        <x:v>Hiérarchie universelle non démontrée</x:v>
      </x:c>
      <x:c r="J49" s="133" t="str"/>
      <x:c r="K49" s="131" t="str"/>
      <x:c r="L49" s="135" t="d">
        <x:v>2026-10-27T12:00:00.000Z</x:v>
      </x:c>
    </x:row>
    <x:row r="50" ht="15" hidden="0" customHeight="1">
      <x:c r="A50" s="132" t="str">
        <x:v>CTRL-044</x:v>
      </x:c>
      <x:c r="B50" s="132" t="str">
        <x:v>Yautja</x:v>
      </x:c>
      <x:c r="C50" s="132" t="str">
        <x:v>Clan Apex — Enforcers universels</x:v>
      </x:c>
      <x:c r="D50" s="132" t="str">
        <x:v>LoreCodex.js l’affirme sans preuve primaire liée ; les notices Enforcer prouvent un individu traquant un Bad Blood.</x:v>
      </x:c>
      <x:c r="E50" s="132" t="str">
        <x:v>Retirer l’affirmation de canon universel ; conserver l’Enforcer du comic.</x:v>
      </x:c>
      <x:c r="F50" s="132" t="str">
        <x:v>P2</x:v>
      </x:c>
      <x:c r="G50" s="132" t="str">
        <x:v>Hors socle</x:v>
      </x:c>
      <x:c r="H50" s="132" t="str">
        <x:v>Périmètre indiqué dans le dossier</x:v>
      </x:c>
      <x:c r="I50" s="132" t="str">
        <x:v>Nom de clan non établi par les sources consultées</x:v>
      </x:c>
      <x:c r="J50" s="134" t="str"/>
      <x:c r="K50" s="132" t="str"/>
      <x:c r="L50" s="136" t="d">
        <x:v>2026-10-27T12:00:00.000Z</x:v>
      </x:c>
    </x:row>
    <x:row r="51" ht="15" hidden="0" customHeight="1">
      <x:c r="A51" s="131" t="str">
        <x:v>CTRL-045</x:v>
      </x:c>
      <x:c r="B51" s="131" t="str">
        <x:v>Yautja</x:v>
      </x:c>
      <x:c r="C51" s="131" t="str">
        <x:v>Viking / Samurai / Feral / Jungle / City / Bad Blood comme races</x:v>
      </x:c>
      <x:c r="D51" s="131" t="str">
        <x:v>Ces appellations renvoient aux personnages, classes ou statuts déjà documentés, sans établir autant d’espèces biologiques.</x:v>
      </x:c>
      <x:c r="E51" s="131" t="str">
        <x:v>Mettre dans les colonnes classe/individu/statut ; ne pas gonfler le nombre de races.</x:v>
      </x:c>
      <x:c r="F51" s="131" t="str">
        <x:v>P2</x:v>
      </x:c>
      <x:c r="G51" s="131" t="str">
        <x:v>Hors socle</x:v>
      </x:c>
      <x:c r="H51" s="131" t="str">
        <x:v>Périmètre indiqué dans le dossier</x:v>
      </x:c>
      <x:c r="I51" s="131" t="str">
        <x:v>Confusion entre classe, individu, environnement et statut</x:v>
      </x:c>
      <x:c r="J51" s="133" t="str"/>
      <x:c r="K51" s="131" t="str"/>
      <x:c r="L51" s="135" t="d">
        <x:v>2026-10-27T12:00:00.000Z</x:v>
      </x:c>
    </x:row>
    <x:row r="52" ht="24" hidden="0" customHeight="1">
      <x:c r="A52" s="132" t="str">
        <x:v>CTRL-046</x:v>
      </x:c>
      <x:c r="B52" s="132" t="str">
        <x:v>Yautja</x:v>
      </x:c>
      <x:c r="C52" s="132" t="str">
        <x:v>Emissary coupés / mutants Gecko-Harpy-Arachnid coupés / anime AVP non diffusé</x:v>
      </x:c>
      <x:c r="D52" s="132" t="str">
        <x:v>Des concepts et scènes supprimées ne prouvent pas des ennemis présents dans les œuvres diffusées.</x:v>
      </x:c>
      <x:c r="E52" s="132" t="str">
        <x:v>Annexe making-of éventuelle ; aucun spawn canon dans le socle.</x:v>
      </x:c>
      <x:c r="F52" s="132" t="str">
        <x:v>P2</x:v>
      </x:c>
      <x:c r="G52" s="132" t="str">
        <x:v>Hors socle</x:v>
      </x:c>
      <x:c r="H52" s="132" t="str">
        <x:v>Périmètre indiqué dans le dossier</x:v>
      </x:c>
      <x:c r="I52" s="132" t="str">
        <x:v>Concepts ou versions non sortis</x:v>
      </x:c>
      <x:c r="J52" s="134" t="str"/>
      <x:c r="K52" s="132" t="str"/>
      <x:c r="L52" s="136" t="d">
        <x:v>2026-10-27T12:00:00.000Z</x:v>
      </x:c>
    </x:row>
    <x:row r="53" ht="24" hidden="0" customHeight="1">
      <x:c r="A53" s="131" t="str">
        <x:v>CTRL-047</x:v>
      </x:c>
      <x:c r="B53" s="131" t="str">
        <x:v>Yautja</x:v>
      </x:c>
      <x:c r="C53" s="131" t="str">
        <x:v>Predator X / princes et clans des autres crossovers</x:v>
      </x:c>
      <x:c r="D53" s="131" t="str">
        <x:v>Ne pas confondre le Predator X des X-Men de 2007 avec un Yautja plus récent ; inventaire complet des crossovers non examiné.</x:v>
      </x:c>
      <x:c r="E53" s="131" t="str">
        <x:v>Suivi optionnel distinct ; pas de prétention de zéro oubli sur tous les crossovers.</x:v>
      </x:c>
      <x:c r="F53" s="131" t="str">
        <x:v>P2</x:v>
      </x:c>
      <x:c r="G53" s="131" t="str">
        <x:v>À documenter</x:v>
      </x:c>
      <x:c r="H53" s="131" t="str">
        <x:v>Périmètre indiqué dans le dossier</x:v>
      </x:c>
      <x:c r="I53" s="131" t="str">
        <x:v>Individus et continuités crossover à vérifier</x:v>
      </x:c>
      <x:c r="J53" s="133" t="str"/>
      <x:c r="K53" s="131" t="str"/>
      <x:c r="L53" s="135" t="d">
        <x:v>2026-10-27T12:00:00.000Z</x:v>
      </x:c>
    </x:row>
    <x:row r="54" ht="24" hidden="0" customHeight="1">
      <x:c r="A54" s="132" t="str">
        <x:v>CTRL-048</x:v>
      </x:c>
      <x:c r="B54" s="132" t="str">
        <x:v>Humains et synthétiques</x:v>
      </x:c>
      <x:c r="C54" s="132" t="str">
        <x:v>Synth Trooper — AFE1</x:v>
      </x:c>
      <x:c r="D54" s="132" t="str">
        <x:v>HUM-015 : famille seulement. Obtenir entrée du codex ou présentation développeur du sous-type.</x:v>
      </x:c>
      <x:c r="E54" s="132" t="str">
        <x:v>Exclu du spawn tant que la fiche primaire et la continuité ne sont pas validées.</x:v>
      </x:c>
      <x:c r="F54" s="132" t="str">
        <x:v>P1</x:v>
      </x:c>
      <x:c r="G54" s="132" t="str">
        <x:v>À documenter</x:v>
      </x:c>
      <x:c r="H54" s="132" t="str">
        <x:v>Aliens: Fireteam Elite</x:v>
      </x:c>
      <x:c r="I54" s="132" t="str">
        <x:v>Source de contexte uniquement ; ne prouve pas ce profil. Non validé par une preuve primaire spécifique pendant ce contrôle</x:v>
      </x:c>
      <x:c r="J54" s="134" t="str"/>
      <x:c r="K54" s="132" t="str"/>
      <x:c r="L54" s="136" t="d">
        <x:v>2026-10-27T12:00:00.000Z</x:v>
      </x:c>
    </x:row>
    <x:row r="55" ht="24" hidden="0" customHeight="1">
      <x:c r="A55" s="131" t="str">
        <x:v>CTRL-049</x:v>
      </x:c>
      <x:c r="B55" s="131" t="str">
        <x:v>Humains et synthétiques</x:v>
      </x:c>
      <x:c r="C55" s="131" t="str">
        <x:v>Synth Guard — AFE1</x:v>
      </x:c>
      <x:c r="D55" s="131" t="str">
        <x:v>Vérifier différence exacte avec Trooper ; ne pas les fusionner sur la seule silhouette.</x:v>
      </x:c>
      <x:c r="E55" s="131" t="str">
        <x:v>Exclu du spawn tant que la fiche primaire et la continuité ne sont pas validées.</x:v>
      </x:c>
      <x:c r="F55" s="131" t="str">
        <x:v>P1</x:v>
      </x:c>
      <x:c r="G55" s="131" t="str">
        <x:v>À documenter</x:v>
      </x:c>
      <x:c r="H55" s="131" t="str">
        <x:v>Aliens: Fireteam Elite</x:v>
      </x:c>
      <x:c r="I55" s="131" t="str">
        <x:v>Source de contexte uniquement ; ne prouve pas ce profil. Non validé par une preuve primaire spécifique pendant ce contrôle</x:v>
      </x:c>
      <x:c r="J55" s="133" t="str"/>
      <x:c r="K55" s="131" t="str"/>
      <x:c r="L55" s="135" t="d">
        <x:v>2026-10-27T12:00:00.000Z</x:v>
      </x:c>
    </x:row>
    <x:row r="56" ht="24" hidden="0" customHeight="1">
      <x:c r="A56" s="132" t="str">
        <x:v>CTRL-050</x:v>
      </x:c>
      <x:c r="B56" s="132" t="str">
        <x:v>Humains et synthétiques</x:v>
      </x:c>
      <x:c r="C56" s="132" t="str">
        <x:v>Containment Synth — AFE1</x:v>
      </x:c>
      <x:c r="D56" s="132" t="str">
        <x:v>Attester nom, bouclier et doctrine par une source primaire spécifique.</x:v>
      </x:c>
      <x:c r="E56" s="132" t="str">
        <x:v>Exclu du spawn tant que la fiche primaire et la continuité ne sont pas validées.</x:v>
      </x:c>
      <x:c r="F56" s="132" t="str">
        <x:v>P1</x:v>
      </x:c>
      <x:c r="G56" s="132" t="str">
        <x:v>À documenter</x:v>
      </x:c>
      <x:c r="H56" s="132" t="str">
        <x:v>Aliens: Fireteam Elite</x:v>
      </x:c>
      <x:c r="I56" s="132" t="str">
        <x:v>Source de contexte uniquement ; ne prouve pas ce profil. Non validé par une preuve primaire spécifique pendant ce contrôle</x:v>
      </x:c>
      <x:c r="J56" s="134" t="str"/>
      <x:c r="K56" s="132" t="str"/>
      <x:c r="L56" s="136" t="d">
        <x:v>2026-10-27T12:00:00.000Z</x:v>
      </x:c>
    </x:row>
    <x:row r="57" ht="24" hidden="0" customHeight="1">
      <x:c r="A57" s="131" t="str">
        <x:v>CTRL-051</x:v>
      </x:c>
      <x:c r="B57" s="131" t="str">
        <x:v>Humains et synthétiques</x:v>
      </x:c>
      <x:c r="C57" s="131" t="str">
        <x:v>Overcharged Warden — AFE1</x:v>
      </x:c>
      <x:c r="D57" s="131" t="str">
        <x:v>Vérifier variante et conditions de mission ; pas caste nouvelle présumée.</x:v>
      </x:c>
      <x:c r="E57" s="131" t="str">
        <x:v>Exclu du spawn tant que la fiche primaire et la continuité ne sont pas validées.</x:v>
      </x:c>
      <x:c r="F57" s="131" t="str">
        <x:v>P1</x:v>
      </x:c>
      <x:c r="G57" s="131" t="str">
        <x:v>À documenter</x:v>
      </x:c>
      <x:c r="H57" s="131" t="str">
        <x:v>Aliens: Fireteam Elite</x:v>
      </x:c>
      <x:c r="I57" s="131" t="str">
        <x:v>Source de contexte uniquement ; ne prouve pas ce profil. Non validé par une preuve primaire spécifique pendant ce contrôle</x:v>
      </x:c>
      <x:c r="J57" s="133" t="str"/>
      <x:c r="K57" s="131" t="str"/>
      <x:c r="L57" s="135" t="d">
        <x:v>2026-10-27T12:00:00.000Z</x:v>
      </x:c>
    </x:row>
    <x:row r="58" ht="24" hidden="0" customHeight="1">
      <x:c r="A58" s="132" t="str">
        <x:v>CTRL-052</x:v>
      </x:c>
      <x:c r="B58" s="132" t="str">
        <x:v>Humains et synthétiques</x:v>
      </x:c>
      <x:c r="C58" s="132" t="str">
        <x:v>Synth Detonator — AFE1</x:v>
      </x:c>
      <x:c r="D58" s="132" t="str">
        <x:v>Preuve primaire AFE2 disponible mais ne pas la transférer rétroactivement à AFE1.</x:v>
      </x:c>
      <x:c r="E58" s="132" t="str">
        <x:v>Exclu du spawn tant que la fiche primaire et la continuité ne sont pas validées.</x:v>
      </x:c>
      <x:c r="F58" s="132" t="str">
        <x:v>P1</x:v>
      </x:c>
      <x:c r="G58" s="132" t="str">
        <x:v>À documenter</x:v>
      </x:c>
      <x:c r="H58" s="132" t="str">
        <x:v>Aliens: Fireteam Elite</x:v>
      </x:c>
      <x:c r="I58" s="132" t="str">
        <x:v>Source de contexte uniquement ; ne prouve pas ce profil. Non validé par une preuve primaire spécifique pendant ce contrôle</x:v>
      </x:c>
      <x:c r="J58" s="134" t="str"/>
      <x:c r="K58" s="132" t="str"/>
      <x:c r="L58" s="136" t="d">
        <x:v>2026-10-27T12:00:00.000Z</x:v>
      </x:c>
    </x:row>
    <x:row r="59" ht="24" hidden="0" customHeight="1">
      <x:c r="A59" s="131" t="str">
        <x:v>CTRL-053</x:v>
      </x:c>
      <x:c r="B59" s="131" t="str">
        <x:v>Humains et synthétiques</x:v>
      </x:c>
      <x:c r="C59" s="131" t="str">
        <x:v>Synth Sniper — AFE1</x:v>
      </x:c>
      <x:c r="D59" s="131" t="str">
        <x:v>Preuve primaire AFE2 disponible ; relever fiche AFE1 séparément.</x:v>
      </x:c>
      <x:c r="E59" s="131" t="str">
        <x:v>Exclu du spawn tant que la fiche primaire et la continuité ne sont pas validées.</x:v>
      </x:c>
      <x:c r="F59" s="131" t="str">
        <x:v>P1</x:v>
      </x:c>
      <x:c r="G59" s="131" t="str">
        <x:v>À documenter</x:v>
      </x:c>
      <x:c r="H59" s="131" t="str">
        <x:v>Aliens: Fireteam Elite</x:v>
      </x:c>
      <x:c r="I59" s="131" t="str">
        <x:v>Source de contexte uniquement ; ne prouve pas ce profil. Non validé par une preuve primaire spécifique pendant ce contrôle</x:v>
      </x:c>
      <x:c r="J59" s="133" t="str"/>
      <x:c r="K59" s="131" t="str"/>
      <x:c r="L59" s="135" t="d">
        <x:v>2026-10-27T12:00:00.000Z</x:v>
      </x:c>
    </x:row>
    <x:row r="60" ht="24" hidden="0" customHeight="1">
      <x:c r="A60" s="132" t="str">
        <x:v>CTRL-054</x:v>
      </x:c>
      <x:c r="B60" s="132" t="str">
        <x:v>Humains et synthétiques</x:v>
      </x:c>
      <x:c r="C60" s="132" t="str">
        <x:v>Synth Heavy — AFE1</x:v>
      </x:c>
      <x:c r="D60" s="132" t="str">
        <x:v>Vérifier nom officiel, modèle et attaque ; ne pas remplacer par simple bonus de PV.</x:v>
      </x:c>
      <x:c r="E60" s="132" t="str">
        <x:v>Exclu du spawn tant que la fiche primaire et la continuité ne sont pas validées.</x:v>
      </x:c>
      <x:c r="F60" s="132" t="str">
        <x:v>P1</x:v>
      </x:c>
      <x:c r="G60" s="132" t="str">
        <x:v>À documenter</x:v>
      </x:c>
      <x:c r="H60" s="132" t="str">
        <x:v>Aliens: Fireteam Elite</x:v>
      </x:c>
      <x:c r="I60" s="132" t="str">
        <x:v>Source de contexte uniquement ; ne prouve pas ce profil. Non validé par une preuve primaire spécifique pendant ce contrôle</x:v>
      </x:c>
      <x:c r="J60" s="134" t="str"/>
      <x:c r="K60" s="132" t="str"/>
      <x:c r="L60" s="136" t="d">
        <x:v>2026-10-27T12:00:00.000Z</x:v>
      </x:c>
    </x:row>
    <x:row r="61" ht="24" hidden="0" customHeight="1">
      <x:c r="A61" s="131" t="str">
        <x:v>CTRL-055</x:v>
      </x:c>
      <x:c r="B61" s="131" t="str">
        <x:v>Humains et synthétiques</x:v>
      </x:c>
      <x:c r="C61" s="131" t="str">
        <x:v>Synth Incinerator — AFE1</x:v>
      </x:c>
      <x:c r="D61" s="131" t="str">
        <x:v>Vérifier l’unité AFE1 ; Flamer AFE2 ne prouve pas une équivalence exacte.</x:v>
      </x:c>
      <x:c r="E61" s="131" t="str">
        <x:v>Exclu du spawn tant que la fiche primaire et la continuité ne sont pas validées.</x:v>
      </x:c>
      <x:c r="F61" s="131" t="str">
        <x:v>P1</x:v>
      </x:c>
      <x:c r="G61" s="131" t="str">
        <x:v>À documenter</x:v>
      </x:c>
      <x:c r="H61" s="131" t="str">
        <x:v>Aliens: Fireteam Elite</x:v>
      </x:c>
      <x:c r="I61" s="131" t="str">
        <x:v>Source de contexte uniquement ; ne prouve pas ce profil. Non validé par une preuve primaire spécifique pendant ce contrôle</x:v>
      </x:c>
      <x:c r="J61" s="133" t="str"/>
      <x:c r="K61" s="131" t="str"/>
      <x:c r="L61" s="135" t="d">
        <x:v>2026-10-27T12:00:00.000Z</x:v>
      </x:c>
    </x:row>
    <x:row r="62" ht="24" hidden="0" customHeight="1">
      <x:c r="A62" s="132" t="str">
        <x:v>CTRL-056</x:v>
      </x:c>
      <x:c r="B62" s="132" t="str">
        <x:v>Humains et synthétiques</x:v>
      </x:c>
      <x:c r="C62" s="132" t="str">
        <x:v>Darwin Era — Cultist et Guardian</x:v>
      </x:c>
      <x:c r="D62" s="132" t="str">
        <x:v>HUM-012 commandos rebelles trop large. Relever le codex pour noms, biologie, implantation et relations avec xénomorphes.</x:v>
      </x:c>
      <x:c r="E62" s="132" t="str">
        <x:v>Exclu du spawn tant que la fiche primaire et la continuité ne sont pas validées.</x:v>
      </x:c>
      <x:c r="F62" s="132" t="str">
        <x:v>P1</x:v>
      </x:c>
      <x:c r="G62" s="132" t="str">
        <x:v>À documenter</x:v>
      </x:c>
      <x:c r="H62" s="132" t="str">
        <x:v>Aliens: Dark Descent</x:v>
      </x:c>
      <x:c r="I62" s="132" t="str">
        <x:v>Source de contexte uniquement ; ne prouve pas ce profil. Non validé par une preuve primaire spécifique pendant ce contrôle</x:v>
      </x:c>
      <x:c r="J62" s="134" t="str"/>
      <x:c r="K62" s="132" t="str"/>
      <x:c r="L62" s="136" t="d">
        <x:v>2026-10-27T12:00:00.000Z</x:v>
      </x:c>
    </x:row>
    <x:row r="63" ht="24" hidden="0" customHeight="1">
      <x:c r="A63" s="131" t="str">
        <x:v>CTRL-057</x:v>
      </x:c>
      <x:c r="B63" s="131" t="str">
        <x:v>Humains et synthétiques</x:v>
      </x:c>
      <x:c r="C63" s="131" t="str">
        <x:v>Weyland-Yutani mercenaires / commandos — Dark Descent</x:v>
      </x:c>
      <x:c r="D63" s="131" t="str">
        <x:v>Page de lancement confirme les agents WY, sans établir les classes et équipements. Séparer des rebelles.</x:v>
      </x:c>
      <x:c r="E63" s="131" t="str">
        <x:v>Exclu du spawn tant que la fiche primaire et la continuité ne sont pas validées.</x:v>
      </x:c>
      <x:c r="F63" s="131" t="str">
        <x:v>P1</x:v>
      </x:c>
      <x:c r="G63" s="131" t="str">
        <x:v>À documenter</x:v>
      </x:c>
      <x:c r="H63" s="131" t="str">
        <x:v>Aliens: Dark Descent</x:v>
      </x:c>
      <x:c r="I63" s="131" t="str">
        <x:v>Source de contexte uniquement ; ne prouve pas ce profil. Non validé par une preuve primaire spécifique pendant ce contrôle</x:v>
      </x:c>
      <x:c r="J63" s="133" t="str"/>
      <x:c r="K63" s="131" t="str"/>
      <x:c r="L63" s="135" t="d">
        <x:v>2026-10-27T12:00:00.000Z</x:v>
      </x:c>
    </x:row>
    <x:row r="64" ht="24" hidden="0" customHeight="1">
      <x:c r="A64" s="132" t="str">
        <x:v>CTRL-058</x:v>
      </x:c>
      <x:c r="B64" s="132" t="str">
        <x:v>Humains et synthétiques</x:v>
      </x:c>
      <x:c r="C64" s="132" t="str">
        <x:v>Weyland-Yutani PMC / Hazmat / Heavy — Colonial Marines</x:v>
      </x:c>
      <x:c r="D64" s="132" t="str">
        <x:v>Source exacte Colonial Marines et sous-types non vérifiés ici ; page Dark Descent n’est pas une preuve. Relevé du jeu requis.</x:v>
      </x:c>
      <x:c r="E64" s="132" t="str">
        <x:v>Exclu du spawn tant que la fiche primaire et la continuité ne sont pas validées.</x:v>
      </x:c>
      <x:c r="F64" s="132" t="str">
        <x:v>P1</x:v>
      </x:c>
      <x:c r="G64" s="132" t="str">
        <x:v>À documenter</x:v>
      </x:c>
      <x:c r="H64" s="132" t="str">
        <x:v>Aliens: Colonial Marines</x:v>
      </x:c>
      <x:c r="I64" s="132" t="str">
        <x:v>Source de contexte uniquement ; ne prouve pas ce profil. Non validé par une preuve primaire spécifique pendant ce contrôle</x:v>
      </x:c>
      <x:c r="J64" s="134" t="str"/>
      <x:c r="K64" s="132" t="str"/>
      <x:c r="L64" s="136" t="d">
        <x:v>2026-10-27T12:00:00.000Z</x:v>
      </x:c>
    </x:row>
    <x:row r="65" ht="24" hidden="0" customHeight="1">
      <x:c r="A65" s="131" t="str">
        <x:v>CTRL-059</x:v>
      </x:c>
      <x:c r="B65" s="131" t="str">
        <x:v>Humains et synthétiques</x:v>
      </x:c>
      <x:c r="C65" s="131" t="str">
        <x:v>Combat synthetics / Karl Bishop Weyland — AVP2010</x:v>
      </x:c>
      <x:c r="D65" s="131" t="str">
        <x:v>La source AFE1 ne prouve pas leur modèle AVP2010. Relever personnages et unités dans le jeu de référence.</x:v>
      </x:c>
      <x:c r="E65" s="131" t="str">
        <x:v>Exclu du spawn tant que la fiche primaire et la continuité ne sont pas validées.</x:v>
      </x:c>
      <x:c r="F65" s="131" t="str">
        <x:v>P1</x:v>
      </x:c>
      <x:c r="G65" s="131" t="str">
        <x:v>À documenter</x:v>
      </x:c>
      <x:c r="H65" s="131" t="str">
        <x:v>Aliens vs. Predator (2010)</x:v>
      </x:c>
      <x:c r="I65" s="131" t="str">
        <x:v>Source de contexte uniquement ; ne prouve pas ce profil. Non validé par une preuve primaire spécifique pendant ce contrôle</x:v>
      </x:c>
      <x:c r="J65" s="133" t="str"/>
      <x:c r="K65" s="131" t="str"/>
      <x:c r="L65" s="135" t="d">
        <x:v>2026-10-27T12:00:00.000Z</x:v>
      </x:c>
    </x:row>
    <x:row r="66" ht="24" hidden="0" customHeight="1">
      <x:c r="A66" s="132" t="str">
        <x:v>CTRL-060</x:v>
      </x:c>
      <x:c r="B66" s="132" t="str">
        <x:v>Humains et synthétiques</x:v>
      </x:c>
      <x:c r="C66" s="132" t="str">
        <x:v>UPP / forces rivales / commandos corporatifs du RPG</x:v>
      </x:c>
      <x:c r="D66" s="132" t="str">
        <x:v>Livre source nécessaire pour affiliations et roster ; page du scénario insuffisante.</x:v>
      </x:c>
      <x:c r="E66" s="132" t="str">
        <x:v>Exclu du spawn tant que la fiche primaire et la continuité ne sont pas validées.</x:v>
      </x:c>
      <x:c r="F66" s="132" t="str">
        <x:v>P1</x:v>
      </x:c>
      <x:c r="G66" s="132" t="str">
        <x:v>À documenter</x:v>
      </x:c>
      <x:c r="H66" s="132" t="str">
        <x:v>ALIEN: The Roleplaying Game</x:v>
      </x:c>
      <x:c r="I66" s="132" t="str">
        <x:v>Source de contexte uniquement ; ne prouve pas ce profil. Non validé par une preuve primaire spécifique pendant ce contrôle</x:v>
      </x:c>
      <x:c r="J66" s="134" t="str"/>
      <x:c r="K66" s="132" t="str"/>
      <x:c r="L66" s="136" t="d">
        <x:v>2026-10-27T12:00:00.000Z</x:v>
      </x:c>
    </x:row>
    <x:row r="67" ht="24" hidden="0" customHeight="1">
      <x:c r="A67" s="131" t="str">
        <x:v>CTRL-061</x:v>
      </x:c>
      <x:c r="B67" s="131" t="str">
        <x:v>Humains et synthétiques</x:v>
      </x:c>
      <x:c r="C67" s="131" t="str">
        <x:v>MAX / Berserker et équipe de chasse</x:v>
      </x:c>
      <x:c r="D67" s="131" t="str">
        <x:v>Relevé primaire du comic nécessaire ; ne pas confondre avec Berserker Yautja.</x:v>
      </x:c>
      <x:c r="E67" s="131" t="str">
        <x:v>Exclu du spawn tant que la fiche primaire et la continuité ne sont pas validées.</x:v>
      </x:c>
      <x:c r="F67" s="131" t="str">
        <x:v>P1</x:v>
      </x:c>
      <x:c r="G67" s="131" t="str">
        <x:v>À documenter</x:v>
      </x:c>
      <x:c r="H67" s="131" t="str">
        <x:v>Aliens: Berserker / AVP: War</x:v>
      </x:c>
      <x:c r="I67" s="131" t="str">
        <x:v>Source de contexte uniquement ; ne prouve pas ce profil. Non validé par une preuve primaire spécifique pendant ce contrôle</x:v>
      </x:c>
      <x:c r="J67" s="133" t="str"/>
      <x:c r="K67" s="131" t="str"/>
      <x:c r="L67" s="135" t="d">
        <x:v>2026-10-27T12:00:00.000Z</x:v>
      </x:c>
    </x:row>
    <x:row r="68" ht="15" hidden="0" customHeight="1">
      <x:c r="A68" s="132" t="str">
        <x:v>CTRL-062</x:v>
      </x:c>
      <x:c r="B68" s="132" t="str">
        <x:v>Limites du périmètre</x:v>
      </x:c>
      <x:c r="C68" s="132" t="str">
        <x:v>Variantes exclusivement Kenner / figurines, y compris Movie Deco</x:v>
      </x:c>
      <x:c r="D68" s="132" t="str">
        <x:v>NECA présente Movie Deco comme une interprétation de personnages arcade s'ils apparaissaient au cinéma.</x:v>
      </x:c>
      <x:c r="E68" s="132" t="str">
        <x:v>Exclu du noyau filmique 1:1 ; une apparition dans un comic doit être documentée séparément.</x:v>
      </x:c>
      <x:c r="F68" s="132" t="str">
        <x:v>P2</x:v>
      </x:c>
      <x:c r="G68" s="132" t="str">
        <x:v>Hors socle</x:v>
      </x:c>
      <x:c r="H68" s="132" t="str">
        <x:v>Gammes de jouets et figurines</x:v>
      </x:c>
      <x:c r="I68" s="132" t="str">
        <x:v>Élevée pour la limite de provenance.</x:v>
      </x:c>
      <x:c r="J68" s="134" t="str">
        <x:v>https://store.necaonline.com/products/alien-vs-predator-arachnoid-alien-action-figure-movie-deco</x:v>
      </x:c>
      <x:c r="K68" s="132" t="str"/>
      <x:c r="L68" s="136" t="d">
        <x:v>2026-10-27T12:00:00.000Z</x:v>
      </x:c>
    </x:row>
    <x:row r="69" ht="15" hidden="0" customHeight="1">
      <x:c r="A69" s="131" t="str">
        <x:v>CTRL-063</x:v>
      </x:c>
      <x:c r="B69" s="131" t="str">
        <x:v>Limites du périmètre</x:v>
      </x:c>
      <x:c r="C69" s="131" t="str">
        <x:v>Fusion universelle de toutes les castes, mutations, stades et individus</x:v>
      </x:c>
      <x:c r="D69" s="131" t="str">
        <x:v>Les sources examinées attestent des identités locales et des portées différentes.</x:v>
      </x:c>
      <x:c r="E69" s="131" t="str">
        <x:v>Ne pas appeler race/caste chaque ligne du bestiaire ; garder les types ontologiques distincts.</x:v>
      </x:c>
      <x:c r="F69" s="131" t="str">
        <x:v>P2</x:v>
      </x:c>
      <x:c r="G69" s="131" t="str">
        <x:v>Hors socle</x:v>
      </x:c>
      <x:c r="H69" s="131" t="str">
        <x:v>Mélange de médias</x:v>
      </x:c>
      <x:c r="I69" s="131" t="str">
        <x:v>Règle méthodologique, non fait de fiction.</x:v>
      </x:c>
      <x:c r="J69" s="133" t="str"/>
      <x:c r="K69" s="131" t="str"/>
      <x:c r="L69" s="135" t="d">
        <x:v>2026-10-27T12:00:00.000Z</x:v>
      </x:c>
    </x:row>
    <x:row r="70" ht="15" hidden="0" customHeight="1">
      <x:c r="A70" s="132" t="str">
        <x:v>CTRL-064</x:v>
      </x:c>
      <x:c r="B70" s="132" t="str">
        <x:v>Limites du périmètre</x:v>
      </x:c>
      <x:c r="C70" s="132" t="str">
        <x:v>Abe — Badlands (scène supprimée)</x:v>
      </x:c>
      <x:c r="D70" s="132" t="str">
        <x:v>Abe apparaît dans une scène supprimée annoncée officiellement.</x:v>
      </x:c>
      <x:c r="E70" s="132" t="str">
        <x:v>Exclu d’une reconstitution du film final ; ne pas compter comme caste manquante canonique.</x:v>
      </x:c>
      <x:c r="F70" s="132" t="str">
        <x:v>P2</x:v>
      </x:c>
      <x:c r="G70" s="132" t="str">
        <x:v>Hors socle</x:v>
      </x:c>
      <x:c r="H70" s="132" t="str">
        <x:v>Predator: Badlands — bonus vidéo</x:v>
      </x:c>
      <x:c r="I70" s="132" t="str">
        <x:v>Élevée sur le statut de scène supprimée</x:v>
      </x:c>
      <x:c r="J70" s="134" t="str">
        <x:v>https://press.disney.co.uk/news/be-the-first-to-watch-predator-badlands-at-home-on-digital-jan-6</x:v>
      </x:c>
      <x:c r="K70" s="132" t="str"/>
      <x:c r="L70" s="136" t="d">
        <x:v>2026-10-27T12:00:00.000Z</x:v>
      </x:c>
    </x:row>
    <x:row r="71" ht="24" hidden="0" customHeight="1">
      <x:c r="A71" s="131" t="str">
        <x:v>CTRL-065</x:v>
      </x:c>
      <x:c r="B71" s="131" t="str">
        <x:v>Limites du périmètre</x:v>
      </x:c>
      <x:c r="C71" s="131" t="str">
        <x:v>Fifield infecté — fiche de design à contrôler</x:v>
      </x:c>
      <x:c r="D71" s="131" t="str">
        <x:v>NECA mentionne Infected Fifield dans une annonce de design.</x:v>
      </x:c>
      <x:c r="E71" s="131" t="str">
        <x:v>Ne pas assimiler à caste xénomorphe ; ne pas valider une forme coupée ou de préproduction comme modèle film.</x:v>
      </x:c>
      <x:c r="F71" s="131" t="str">
        <x:v>P2</x:v>
      </x:c>
      <x:c r="G71" s="131" t="str">
        <x:v>À documenter</x:v>
      </x:c>
      <x:c r="H71" s="131" t="str">
        <x:v>Prometheus / produits NECA</x:v>
      </x:c>
      <x:c r="I71" s="131" t="str">
        <x:v>Nom de produit seulement ; apparence finale film non vérifiée</x:v>
      </x:c>
      <x:c r="J71" s="133" t="str">
        <x:v>https://store.necaonline.com/blogs/behind-the-scenes/behind-the-scenes-wednesday-deacon-action-figure-from-prometheus-series-2</x:v>
      </x:c>
      <x:c r="K71" s="131" t="str"/>
      <x:c r="L71" s="135" t="d">
        <x:v>2026-10-27T12:00:00.000Z</x:v>
      </x:c>
    </x:row>
    <x:row r="72" ht="24" hidden="0" customHeight="1">
      <x:c r="A72" s="132" t="str">
        <x:v>CTRL-066</x:v>
      </x:c>
      <x:c r="B72" s="132" t="str">
        <x:v>Faune et organismes associés</x:v>
      </x:c>
      <x:c r="C72" s="132" t="str">
        <x:v>Amengi / Amangi — dossier à vérifier</x:v>
      </x:c>
      <x:c r="D72" s="132" t="str">
        <x:v>Aucune source primaire consultée ne valide ici les Amengi ou le récit de révolte attribué à Alpha.</x:v>
      </x:c>
      <x:c r="E72" s="132" t="str">
        <x:v>Dossier documentaire seulement. Ne pas transformer Amengi en race Yautja ; ne pas déclarer le nom inexistant ou non canon sur cette seule absence de preuve.</x:v>
      </x:c>
      <x:c r="F72" s="132" t="str">
        <x:v>P1</x:v>
      </x:c>
      <x:c r="G72" s="132" t="str">
        <x:v>À documenter</x:v>
      </x:c>
      <x:c r="H72" s="132" t="str">
        <x:v>NECA — récit Alpha à retrouver</x:v>
      </x:c>
      <x:c r="I72" s="132" t="str">
        <x:v>Non établi dans les sources primaires consultées</x:v>
      </x:c>
      <x:c r="J72" s="134" t="str"/>
      <x:c r="K72" s="132" t="str"/>
      <x:c r="L72" s="136" t="d">
        <x:v>2026-10-27T12:00:00.000Z</x:v>
      </x:c>
    </x:row>
    <x:row r="73" ht="15" hidden="0" customHeight="1">
      <x:c r="A73" s="131" t="str">
        <x:v>CTRL-067</x:v>
      </x:c>
      <x:c r="B73" s="131" t="str">
        <x:v>Couverture des œuvres</x:v>
      </x:c>
      <x:c r="C73" s="131" t="str">
        <x:v>Cycle, formes royales et synthétiques nommés</x:v>
      </x:c>
      <x:c r="D73" s="131" t="str">
        <x:v>Formes de base conservées. Variantes Alien 3 limitées au nom/design licencié ; montage et mécanismes à relever.</x:v>
      </x:c>
      <x:c r="E73" s="131" t="str">
        <x:v>Consulter les sources par fiche et les dossiers en attente avant d’activer un preset.</x:v>
      </x:c>
      <x:c r="F73" s="131" t="str">
        <x:v>P2</x:v>
      </x:c>
      <x:c r="G73" s="131" t="str">
        <x:v>Périmètre explicite</x:v>
      </x:c>
      <x:c r="H73" s="131" t="str">
        <x:v>Alien / Aliens / Alien 3 / Resurrection</x:v>
      </x:c>
      <x:c r="I73" s="131" t="str">
        <x:v>Synthèse des sources et limites du présent contrôle.</x:v>
      </x:c>
      <x:c r="J73" s="133" t="str"/>
      <x:c r="K73" s="131" t="str"/>
      <x:c r="L73" s="135" t="d">
        <x:v>2026-10-27T12:00:00.000Z</x:v>
      </x:c>
    </x:row>
    <x:row r="74" ht="24" hidden="0" customHeight="1">
      <x:c r="A74" s="132" t="str">
        <x:v>CTRL-068</x:v>
      </x:c>
      <x:c r="B74" s="132" t="str">
        <x:v>Couverture des œuvres</x:v>
      </x:c>
      <x:c r="C74" s="132" t="str">
        <x:v>Ingénieur, Hammerpede, organismes associés, synthétiques et Offspring</x:v>
      </x:c>
      <x:c r="D74" s="132" t="str">
        <x:v>Les espèces distinctes restent séparées. Mutations, formes géantes du projet et variantes de production ne deviennent pas des castes universelles.</x:v>
      </x:c>
      <x:c r="E74" s="132" t="str">
        <x:v>Consulter les sources par fiche et les dossiers en attente avant d’activer un preset.</x:v>
      </x:c>
      <x:c r="F74" s="132" t="str">
        <x:v>P2</x:v>
      </x:c>
      <x:c r="G74" s="132" t="str">
        <x:v>Périmètre explicite</x:v>
      </x:c>
      <x:c r="H74" s="132" t="str">
        <x:v>Prometheus / Covenant / Romulus</x:v>
      </x:c>
      <x:c r="I74" s="132" t="str">
        <x:v>Synthèse des sources et limites du présent contrôle.</x:v>
      </x:c>
      <x:c r="J74" s="134" t="str"/>
      <x:c r="K74" s="132" t="str"/>
      <x:c r="L74" s="136" t="d">
        <x:v>2026-10-27T12:00:00.000Z</x:v>
      </x:c>
    </x:row>
    <x:row r="75" ht="15" hidden="0" customHeight="1">
      <x:c r="A75" s="131" t="str">
        <x:v>CTRL-069</x:v>
      </x:c>
      <x:c r="B75" s="131" t="str">
        <x:v>Couverture des œuvres</x:v>
      </x:c>
      <x:c r="C75" s="131" t="str">
        <x:v>Xénomorphe, Eye, Ticks, Fly, Orchid ; Prodigy et synthétiques</x:v>
      </x:c>
      <x:c r="D75" s="131" t="str">
        <x:v>Présence et faits précis sourcés. Les organismes autres que Xénomorphes n’entrent pas dans le quota de la ruche.</x:v>
      </x:c>
      <x:c r="E75" s="131" t="str">
        <x:v>Consulter les sources par fiche et les dossiers en attente avant d’activer un preset.</x:v>
      </x:c>
      <x:c r="F75" s="131" t="str">
        <x:v>P2</x:v>
      </x:c>
      <x:c r="G75" s="131" t="str">
        <x:v>Périmètre explicite</x:v>
      </x:c>
      <x:c r="H75" s="131" t="str">
        <x:v>Alien: Earth</x:v>
      </x:c>
      <x:c r="I75" s="131" t="str">
        <x:v>Synthèse des sources et limites du présent contrôle.</x:v>
      </x:c>
      <x:c r="J75" s="133" t="str"/>
      <x:c r="K75" s="131" t="str"/>
      <x:c r="L75" s="135" t="d">
        <x:v>2026-10-27T12:00:00.000Z</x:v>
      </x:c>
    </x:row>
    <x:row r="76" ht="24" hidden="0" customHeight="1">
      <x:c r="A76" s="132" t="str">
        <x:v>CTRL-070</x:v>
      </x:c>
      <x:c r="B76" s="132" t="str">
        <x:v>Couverture des œuvres</x:v>
      </x:c>
      <x:c r="C76" s="132" t="str">
        <x:v>Individus, Lost Tribe, Super Predators, forces humaines et faune</x:v>
      </x:c>
      <x:c r="D76" s="132" t="str">
        <x:v>L’appellation Super Predators est contextualisée à la source PHG. Feral, Jungle, City, Samurai et Viking ne sont pas autant de races.</x:v>
      </x:c>
      <x:c r="E76" s="132" t="str">
        <x:v>Consulter les sources par fiche et les dossiers en attente avant d’activer un preset.</x:v>
      </x:c>
      <x:c r="F76" s="132" t="str">
        <x:v>P2</x:v>
      </x:c>
      <x:c r="G76" s="132" t="str">
        <x:v>Périmètre explicite</x:v>
      </x:c>
      <x:c r="H76" s="132" t="str">
        <x:v>Predator / Predator 2 / Predators / The Predator / Prey</x:v>
      </x:c>
      <x:c r="I76" s="132" t="str">
        <x:v>Synthèse des sources et limites du présent contrôle.</x:v>
      </x:c>
      <x:c r="J76" s="134" t="str"/>
      <x:c r="K76" s="132" t="str"/>
      <x:c r="L76" s="136" t="d">
        <x:v>2026-10-27T12:00:00.000Z</x:v>
      </x:c>
    </x:row>
    <x:row r="77" ht="15" hidden="0" customHeight="1">
      <x:c r="A77" s="131" t="str">
        <x:v>CTRL-071</x:v>
      </x:c>
      <x:c r="B77" s="131" t="str">
        <x:v>Couverture des œuvres</x:v>
      </x:c>
      <x:c r="C77" s="131" t="str">
        <x:v>Oni, Jotun, Father, Kwei, humains et organismes associés</x:v>
      </x:c>
      <x:c r="D77" s="131" t="str">
        <x:v>Identités de jeu, film et concepts de production distinguées. L’inventaire des concepts non diffusés reste hors socle.</x:v>
      </x:c>
      <x:c r="E77" s="131" t="str">
        <x:v>Consulter les sources par fiche et les dossiers en attente avant d’activer un preset.</x:v>
      </x:c>
      <x:c r="F77" s="131" t="str">
        <x:v>P2</x:v>
      </x:c>
      <x:c r="G77" s="131" t="str">
        <x:v>Périmètre explicite</x:v>
      </x:c>
      <x:c r="H77" s="131" t="str">
        <x:v>Killer of Killers / Badlands</x:v>
      </x:c>
      <x:c r="I77" s="131" t="str">
        <x:v>Synthèse des sources et limites du présent contrôle.</x:v>
      </x:c>
      <x:c r="J77" s="133" t="str"/>
      <x:c r="K77" s="131" t="str"/>
      <x:c r="L77" s="135" t="d">
        <x:v>2026-10-27T12:00:00.000Z</x:v>
      </x:c>
    </x:row>
    <x:row r="78" ht="15" hidden="0" customHeight="1">
      <x:c r="A78" s="132" t="str">
        <x:v>CTRL-072</x:v>
      </x:c>
      <x:c r="B78" s="132" t="str">
        <x:v>Couverture des œuvres</x:v>
      </x:c>
      <x:c r="C78" s="132" t="str">
        <x:v>Classes initiales, DLC et Elder séparé de Greyback</x:v>
      </x:c>
      <x:c r="D78" s="132" t="str">
        <x:v>16 fiches de classes manquantes dans le catalogue au sens retenu ici ; aucun nombre d’espèces ne se déduit de ces classes.</x:v>
      </x:c>
      <x:c r="E78" s="132" t="str">
        <x:v>Consulter les sources par fiche et les dossiers en attente avant d’activer un preset.</x:v>
      </x:c>
      <x:c r="F78" s="132" t="str">
        <x:v>P2</x:v>
      </x:c>
      <x:c r="G78" s="132" t="str">
        <x:v>Périmètre explicite</x:v>
      </x:c>
      <x:c r="H78" s="132" t="str">
        <x:v>Predator: Hunting Grounds</x:v>
      </x:c>
      <x:c r="I78" s="132" t="str">
        <x:v>Synthèse des sources et limites du présent contrôle.</x:v>
      </x:c>
      <x:c r="J78" s="134" t="str"/>
      <x:c r="K78" s="132" t="str"/>
      <x:c r="L78" s="136" t="d">
        <x:v>2026-10-27T12:00:00.000Z</x:v>
      </x:c>
    </x:row>
    <x:row r="79" ht="24" hidden="0" customHeight="1">
      <x:c r="A79" s="131" t="str">
        <x:v>CTRL-073</x:v>
      </x:c>
      <x:c r="B79" s="131" t="str">
        <x:v>Couverture des œuvres</x:v>
      </x:c>
      <x:c r="C79" s="131" t="str">
        <x:v>Xenoborg, Android, Empress, Corporate, Dunya et classes tactiques</x:v>
      </x:c>
      <x:c r="D79" s="131" t="str">
        <x:v>Les neuf classes Yautja/matériel et neuf rôles humains Extinction sont préservés. Les sous-types et castes demeurent propres au jeu.</x:v>
      </x:c>
      <x:c r="E79" s="131" t="str">
        <x:v>Consulter les sources par fiche et les dossiers en attente avant d’activer un preset.</x:v>
      </x:c>
      <x:c r="F79" s="131" t="str">
        <x:v>P2</x:v>
      </x:c>
      <x:c r="G79" s="131" t="str">
        <x:v>Périmètre explicite</x:v>
      </x:c>
      <x:c r="H79" s="131" t="str">
        <x:v>AVP Classic / AVP2 / Primal Hunt / Extinction</x:v>
      </x:c>
      <x:c r="I79" s="131" t="str">
        <x:v>Synthèse des sources et limites du présent contrôle.</x:v>
      </x:c>
      <x:c r="J79" s="133" t="str"/>
      <x:c r="K79" s="131" t="str"/>
      <x:c r="L79" s="135" t="d">
        <x:v>2026-10-27T12:00:00.000Z</x:v>
      </x:c>
    </x:row>
    <x:row r="80" ht="15" hidden="0" customHeight="1">
      <x:c r="A80" s="132" t="str">
        <x:v>CTRL-074</x:v>
      </x:c>
      <x:c r="B80" s="132" t="str">
        <x:v>Couverture des œuvres</x:v>
      </x:c>
      <x:c r="C80" s="132" t="str">
        <x:v>Profils déjà documentés et dossiers non résolus</x:v>
      </x:c>
      <x:c r="D80" s="132" t="str">
        <x:v>Roster complet des synthétiques AVP2010, Dark/Elite/Serpent Hunter et certains cyborgs à relever dans les œuvres.</x:v>
      </x:c>
      <x:c r="E80" s="132" t="str">
        <x:v>Consulter les sources par fiche et les dossiers en attente avant d’activer un preset.</x:v>
      </x:c>
      <x:c r="F80" s="132" t="str">
        <x:v>P2</x:v>
      </x:c>
      <x:c r="G80" s="132" t="str">
        <x:v>Périmètre explicite</x:v>
      </x:c>
      <x:c r="H80" s="132" t="str">
        <x:v>AVP 2010 / Concrete Jungle</x:v>
      </x:c>
      <x:c r="I80" s="132" t="str">
        <x:v>Synthèse des sources et limites du présent contrôle.</x:v>
      </x:c>
      <x:c r="J80" s="134" t="str"/>
      <x:c r="K80" s="132" t="str"/>
      <x:c r="L80" s="136" t="d">
        <x:v>2026-10-27T12:00:00.000Z</x:v>
      </x:c>
    </x:row>
    <x:row r="81" ht="15" hidden="0" customHeight="1">
      <x:c r="A81" s="131" t="str">
        <x:v>CTRL-075</x:v>
      </x:c>
      <x:c r="B81" s="131" t="str">
        <x:v>Couverture des œuvres</x:v>
      </x:c>
      <x:c r="C81" s="131" t="str">
        <x:v>Lurker, Spitter, Raven et incarnations Crusher/Queen</x:v>
      </x:c>
      <x:c r="D81" s="131" t="str">
        <x:v>Boiler et roster précis PMC/Hazmat/Heavy restent en attente de preuve primaire spécifique.</x:v>
      </x:c>
      <x:c r="E81" s="131" t="str">
        <x:v>Consulter les sources par fiche et les dossiers en attente avant d’activer un preset.</x:v>
      </x:c>
      <x:c r="F81" s="131" t="str">
        <x:v>P2</x:v>
      </x:c>
      <x:c r="G81" s="131" t="str">
        <x:v>Périmètre explicite</x:v>
      </x:c>
      <x:c r="H81" s="131" t="str">
        <x:v>Aliens: Colonial Marines</x:v>
      </x:c>
      <x:c r="I81" s="131" t="str">
        <x:v>Synthèse des sources et limites du présent contrôle.</x:v>
      </x:c>
      <x:c r="J81" s="133" t="str"/>
      <x:c r="K81" s="131" t="str"/>
      <x:c r="L81" s="135" t="d">
        <x:v>2026-10-27T12:00:00.000Z</x:v>
      </x:c>
    </x:row>
    <x:row r="82" ht="24" hidden="0" customHeight="1">
      <x:c r="A82" s="132" t="str">
        <x:v>CTRL-076</x:v>
      </x:c>
      <x:c r="B82" s="132" t="str">
        <x:v>Couverture des œuvres</x:v>
      </x:c>
      <x:c r="C82" s="132" t="str">
        <x:v>Variantes de xénomorphes, organismes, synthétiques et classes humaines</x:v>
      </x:c>
      <x:c r="D82" s="132" t="str">
        <x:v>AFE2 est couvert par ses annonces et correctifs 2026. Plusieurs sous-types AFE1 sont nommés comme dossiers à confirmer ; aucun transfert rétroactif entre jeux.</x:v>
      </x:c>
      <x:c r="E82" s="132" t="str">
        <x:v>Consulter les sources par fiche et les dossiers en attente avant d’activer un preset.</x:v>
      </x:c>
      <x:c r="F82" s="132" t="str">
        <x:v>P2</x:v>
      </x:c>
      <x:c r="G82" s="132" t="str">
        <x:v>Périmètre explicite</x:v>
      </x:c>
      <x:c r="H82" s="132" t="str">
        <x:v>Fireteam Elite / Pathogen / Fireteam Elite 2</x:v>
      </x:c>
      <x:c r="I82" s="132" t="str">
        <x:v>Synthèse des sources et limites du présent contrôle.</x:v>
      </x:c>
      <x:c r="J82" s="134" t="str"/>
      <x:c r="K82" s="132" t="str"/>
      <x:c r="L82" s="136" t="d">
        <x:v>2026-10-27T12:00:00.000Z</x:v>
      </x:c>
    </x:row>
    <x:row r="83" ht="15" hidden="0" customHeight="1">
      <x:c r="A83" s="131" t="str">
        <x:v>CTRL-077</x:v>
      </x:c>
      <x:c r="B83" s="131" t="str">
        <x:v>Couverture des œuvres</x:v>
      </x:c>
      <x:c r="C83" s="131" t="str">
        <x:v>Profils locaux et Titan</x:v>
      </x:c>
      <x:c r="D83" s="131" t="str">
        <x:v>Noms royaux et lourds attestés. Biologie de Titan, Ancient Citizen, Darwin Era et détails des commandos encore à qualifier.</x:v>
      </x:c>
      <x:c r="E83" s="131" t="str">
        <x:v>Consulter les sources par fiche et les dossiers en attente avant d’activer un preset.</x:v>
      </x:c>
      <x:c r="F83" s="131" t="str">
        <x:v>P2</x:v>
      </x:c>
      <x:c r="G83" s="131" t="str">
        <x:v>Périmètre explicite</x:v>
      </x:c>
      <x:c r="H83" s="131" t="str">
        <x:v>Dark Descent</x:v>
      </x:c>
      <x:c r="I83" s="131" t="str">
        <x:v>Synthèse des sources et limites du présent contrôle.</x:v>
      </x:c>
      <x:c r="J83" s="133" t="str"/>
      <x:c r="K83" s="131" t="str"/>
      <x:c r="L83" s="135" t="d">
        <x:v>2026-10-27T12:00:00.000Z</x:v>
      </x:c>
    </x:row>
    <x:row r="84" ht="24" hidden="0" customHeight="1">
      <x:c r="A84" s="132" t="str">
        <x:v>CTRL-078</x:v>
      </x:c>
      <x:c r="B84" s="132" t="str">
        <x:v>Couverture des œuvres</x:v>
      </x:c>
      <x:c r="C84" s="132" t="str">
        <x:v>Adversaires, synthétiques et commandos privés</x:v>
      </x:c>
      <x:c r="D84" s="132" t="str">
        <x:v>Figurines Movie Deco ne prouvent pas une apparition filmique. Unleashed est un jeu de figurines sous licence explicitement identifié.</x:v>
      </x:c>
      <x:c r="E84" s="132" t="str">
        <x:v>Consulter les sources par fiche et les dossiers en attente avant d’activer un preset.</x:v>
      </x:c>
      <x:c r="F84" s="132" t="str">
        <x:v>P2</x:v>
      </x:c>
      <x:c r="G84" s="132" t="str">
        <x:v>Périmètre explicite</x:v>
      </x:c>
      <x:c r="H84" s="132" t="str">
        <x:v>AVP arcade / Extermination / Unleashed</x:v>
      </x:c>
      <x:c r="I84" s="132" t="str">
        <x:v>Synthèse des sources et limites du présent contrôle.</x:v>
      </x:c>
      <x:c r="J84" s="134" t="str"/>
      <x:c r="K84" s="132" t="str"/>
      <x:c r="L84" s="136" t="d">
        <x:v>2026-10-27T12:00:00.000Z</x:v>
      </x:c>
    </x:row>
    <x:row r="85" ht="15" hidden="0" customHeight="1">
      <x:c r="A85" s="131" t="str">
        <x:v>CTRL-079</x:v>
      </x:c>
      <x:c r="B85" s="131" t="str">
        <x:v>Couverture des œuvres</x:v>
      </x:c>
      <x:c r="C85" s="131" t="str">
        <x:v>Queen Mother, Hybrid, chasseurs nommés et dossiers de factions</x:v>
      </x:c>
      <x:c r="D85" s="131" t="str">
        <x:v>Sélection des récits effectivement sourcés ; inventaire complet de tous les numéros, covers et crossovers non revendiqué.</x:v>
      </x:c>
      <x:c r="E85" s="131" t="str">
        <x:v>Consulter les sources par fiche et les dossiers en attente avant d’activer un preset.</x:v>
      </x:c>
      <x:c r="F85" s="131" t="str">
        <x:v>P2</x:v>
      </x:c>
      <x:c r="G85" s="131" t="str">
        <x:v>Périmètre explicite</x:v>
      </x:c>
      <x:c r="H85" s="131" t="str">
        <x:v>Comics Dark Horse / Marvel retenus</x:v>
      </x:c>
      <x:c r="I85" s="131" t="str">
        <x:v>Synthèse des sources et limites du présent contrôle.</x:v>
      </x:c>
      <x:c r="J85" s="133" t="str"/>
      <x:c r="K85" s="131" t="str"/>
      <x:c r="L85" s="135" t="d">
        <x:v>2026-10-27T12:00:00.000Z</x:v>
      </x:c>
    </x:row>
    <x:row r="86" ht="24" hidden="0" customHeight="1">
      <x:c r="A86" s="132" t="str">
        <x:v>CTRL-080</x:v>
      </x:c>
      <x:c r="B86" s="132" t="str">
        <x:v>Couverture des œuvres</x:v>
      </x:c>
      <x:c r="C86" s="132" t="str">
        <x:v>Extensions optionnelles</x:v>
      </x:c>
      <x:c r="D86" s="132" t="str">
        <x:v>Dog Catchers, Viper/Serpent Clan et crossovers sont délimités. Aucun ajout automatique au socle films/jeux/séries/comics cohérent.</x:v>
      </x:c>
      <x:c r="E86" s="132" t="str">
        <x:v>Consulter les sources par fiche et les dossiers en attente avant d’activer un preset.</x:v>
      </x:c>
      <x:c r="F86" s="132" t="str">
        <x:v>P2</x:v>
      </x:c>
      <x:c r="G86" s="132" t="str">
        <x:v>Périmètre explicite</x:v>
      </x:c>
      <x:c r="H86" s="132" t="str">
        <x:v>Romans, figurines originales et crossovers Marvel</x:v>
      </x:c>
      <x:c r="I86" s="132" t="str">
        <x:v>Synthèse des sources et limites du présent contrôle.</x:v>
      </x:c>
      <x:c r="J86" s="134" t="str"/>
      <x:c r="K86" s="132" t="str"/>
      <x:c r="L86" s="136" t="d">
        <x:v>2026-10-27T12:00:00.000Z</x:v>
      </x:c>
    </x:row>
  </x:sheetData>
  <x:conditionalFormatting sqref="F7:F86">
    <x:cfRule type="containsText" dxfId="73" priority="1" operator="containsText" text="P0"/>
  </x:conditionalFormatting>
  <x:conditionalFormatting sqref="G7:G86">
    <x:cfRule type="containsText" dxfId="74" priority="2" operator="containsText" text="À documenter"/>
    <x:cfRule type="containsText" dxfId="75" priority="3" operator="containsText" text="À corriger"/>
  </x:conditionalFormatting>
  <x:pageMargins left="0.7" right="0.7" top="0.75" bottom="0.75" header="0.3" footer="0.3"/>
  <x:tableParts count="1">
    <x:tablePart xmlns:r="http://schemas.openxmlformats.org/officeDocument/2006/relationships" r:id="Ra96a8b53d1f2435f"/>
  </x:tableParts>
</x:worksheet>
</file>